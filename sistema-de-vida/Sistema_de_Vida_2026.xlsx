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da da Vida" sheetId="2" state="visible" r:id="rId2"/>
    <sheet name="Metas" sheetId="3" state="visible" r:id="rId3"/>
    <sheet name="Tarefas" sheetId="4" state="visible" r:id="rId4"/>
    <sheet name="Finanças" sheetId="5" state="visible" r:id="rId5"/>
    <sheet name="Orçamento" sheetId="6" state="visible" r:id="rId6"/>
    <sheet name="Saúde" sheetId="7" state="visible" r:id="rId7"/>
    <sheet name="Hábitos" sheetId="8" state="visible" r:id="rId8"/>
    <sheet name="Carreira" sheetId="9" state="visible" r:id="rId9"/>
    <sheet name="Relações" sheetId="10" state="visible" r:id="rId10"/>
    <sheet name="Aprendizado" sheetId="11" state="visible" r:id="rId11"/>
    <sheet name="Lazer" sheetId="12" state="visible" r:id="rId12"/>
    <sheet name="Casa" sheetId="13" state="visible" r:id="rId13"/>
    <sheet name="Guia" sheetId="14" state="visible" r:id="rId14"/>
    <sheet name="Config" sheetId="15" state="visible" r:id="rId15"/>
    <sheet name="Cálculos" sheetId="16" state="visible" r:id="rId16"/>
  </sheets>
  <definedNames>
    <definedName name="Nome">'Config'!$C$6</definedName>
    <definedName name="Ano">'Config'!$C$7</definedName>
    <definedName name="Moeda">'Config'!$C$8</definedName>
    <definedName name="MetaPoup">'Config'!$C$9</definedName>
    <definedName name="MetaReserva">'Config'!$C$10</definedName>
    <definedName name="MetaSono">'Config'!$C$11</definedName>
    <definedName name="MetaTreinosSem">'Config'!$C$12</definedName>
    <definedName name="MetaPassos">'Config'!$C$13</definedName>
    <definedName name="PesoAlvo">'Config'!$C$14</definedName>
    <definedName name="MetaEstudoMes">'Config'!$C$15</definedName>
    <definedName name="MetaLivrosAno">'Config'!$C$16</definedName>
    <definedName name="MetaLazerSem">'Config'!$C$17</definedName>
    <definedName name="AlertaDocs">'Config'!$C$18</definedName>
    <definedName name="AlertaAniv">'Config'!$C$19</definedName>
    <definedName name="FollowUpDias">'Config'!$C$20</definedName>
    <definedName name="Hoje">'Config'!$C$23</definedName>
    <definedName name="RefMes">'Config'!$C$24</definedName>
    <definedName name="RefIni">'Config'!$C$25</definedName>
    <definedName name="RefFim">'Config'!$C$26</definedName>
    <definedName name="Corte">'Config'!$C$27</definedName>
    <definedName name="DiasRef">'Config'!$C$28</definedName>
    <definedName name="IniAno">'Config'!$C$29</definedName>
    <definedName name="FimAno">'Config'!$C$30</definedName>
    <definedName name="DiasAno">'Config'!$C$31</definedName>
    <definedName name="IdxHoje">'Config'!$C$32</definedName>
    <definedName name="RotuloMes">'Config'!$C$33</definedName>
    <definedName name="DiasMes">'Config'!$C$34</definedName>
    <definedName name="lst_Areas">'Config'!$F$6:$F$16</definedName>
    <definedName name="Meses">'Config'!$G$6:$G$17</definedName>
    <definedName name="lst_MesSel">'Config'!$H$6:$H$18</definedName>
    <definedName name="lst_CatDesp">OFFSET('Config'!$I$6,0,0,MAX(1,COUNTA('Config'!$I$6:$I$40)),1)</definedName>
    <definedName name="lst_GrupoDesp">OFFSET('Config'!$J$6,0,0,MAX(1,COUNTA('Config'!$J$6:$J$40)),1)</definedName>
    <definedName name="lst_CatRec">OFFSET('Config'!$K$6,0,0,MAX(1,COUNTA('Config'!$K$6:$K$40)),1)</definedName>
    <definedName name="lst_CatAporte">OFFSET('Config'!$L$6,0,0,MAX(1,COUNTA('Config'!$L$6:$L$40)),1)</definedName>
    <definedName name="lst_Contas">OFFSET('Config'!$M$6,0,0,MAX(1,COUNTA('Config'!$M$6:$M$40)),1)</definedName>
    <definedName name="lst_TipoLanc">OFFSET('Config'!$N$6,0,0,MAX(1,COUNTA('Config'!$N$6:$N$40)),1)</definedName>
    <definedName name="lst_FixVar">OFFSET('Config'!$O$6,0,0,MAX(1,COUNTA('Config'!$O$6:$O$40)),1)</definedName>
    <definedName name="lst_StatusTarefa">OFFSET('Config'!$P$6,0,0,MAX(1,COUNTA('Config'!$P$6:$P$40)),1)</definedName>
    <definedName name="lst_Prioridade">OFFSET('Config'!$Q$6,0,0,MAX(1,COUNTA('Config'!$Q$6:$Q$40)),1)</definedName>
    <definedName name="lst_StatusProjeto">OFFSET('Config'!$R$6,0,0,MAX(1,COUNTA('Config'!$R$6:$R$40)),1)</definedName>
    <definedName name="lst_StatusMeta">OFFSET('Config'!$S$6,0,0,MAX(1,COUNTA('Config'!$S$6:$S$40)),1)</definedName>
    <definedName name="lst_Treino">OFFSET('Config'!$T$6,0,0,MAX(1,COUNTA('Config'!$T$6:$T$40)),1)</definedName>
    <definedName name="lst_TipoConsulta">OFFSET('Config'!$U$6,0,0,MAX(1,COUNTA('Config'!$U$6:$U$40)),1)</definedName>
    <definedName name="lst_StatusConsulta">OFFSET('Config'!$V$6,0,0,MAX(1,COUNTA('Config'!$V$6:$V$40)),1)</definedName>
    <definedName name="lst_Relacao">OFFSET('Config'!$W$6,0,0,MAX(1,COUNTA('Config'!$W$6:$W$40)),1)</definedName>
    <definedName name="lst_Circulo">OFFSET('Config'!$X$6,0,0,MAX(1,COUNTA('Config'!$X$6:$X$40)),1)</definedName>
    <definedName name="lst_TipoInter">OFFSET('Config'!$Y$6,0,0,MAX(1,COUNTA('Config'!$Y$6:$Y$40)),1)</definedName>
    <definedName name="lst_TipoApr">OFFSET('Config'!$Z$6,0,0,MAX(1,COUNTA('Config'!$Z$6:$Z$40)),1)</definedName>
    <definedName name="lst_StatusApr">OFFSET('Config'!$AA$6,0,0,MAX(1,COUNTA('Config'!$AA$6:$AA$40)),1)</definedName>
    <definedName name="lst_AtivEstudo">OFFSET('Config'!$AB$6,0,0,MAX(1,COUNTA('Config'!$AB$6:$AB$40)),1)</definedName>
    <definedName name="lst_CatLazer">OFFSET('Config'!$AC$6,0,0,MAX(1,COUNTA('Config'!$AC$6:$AC$40)),1)</definedName>
    <definedName name="lst_StatusSonho">OFFSET('Config'!$AD$6,0,0,MAX(1,COUNTA('Config'!$AD$6:$AD$40)),1)</definedName>
    <definedName name="lst_Etapa">OFFSET('Config'!$AE$6,0,0,MAX(1,COUNTA('Config'!$AE$6:$AE$40)),1)</definedName>
    <definedName name="lst_TipoMarco">OFFSET('Config'!$AF$6,0,0,MAX(1,COUNTA('Config'!$AF$6:$AF$40)),1)</definedName>
    <definedName name="lst_CatComp">OFFSET('Config'!$AG$6,0,0,MAX(1,COUNTA('Config'!$AG$6:$AG$40)),1)</definedName>
    <definedName name="lst_CatManut">OFFSET('Config'!$AH$6,0,0,MAX(1,COUNTA('Config'!$AH$6:$AH$40)),1)</definedName>
    <definedName name="lst_Periodo">OFFSET('Config'!$AI$6,0,0,MAX(1,COUNTA('Config'!$AI$6:$AI$40)),1)</definedName>
    <definedName name="lst_PeriodoMeses">OFFSET('Config'!$AJ$6,0,0,MAX(1,COUNTA('Config'!$AJ$6:$AJ$40)),1)</definedName>
    <definedName name="lst_Uso">OFFSET('Config'!$AK$6,0,0,MAX(1,COUNTA('Config'!$AK$6:$AK$40)),1)</definedName>
    <definedName name="lst_SimNao">OFFSET('Config'!$AL$6,0,0,MAX(1,COUNTA('Config'!$AL$6:$AL$40)),1)</definedName>
    <definedName name="lst_Projetos">OFFSET('Tarefas'!$B$11,0,0,MAX(1,COUNTA('Tarefas'!$B$11:$B$30)),1)</definedName>
    <definedName name="lst_Metas">OFFSET('Metas'!$C$15,0,0,MAX(1,COUNTA('Metas'!$C$15:$C$74)),1)</definedName>
    <definedName name="lst_Pessoas">OFFSET('Relações'!$B$10,0,0,MAX(1,COUNTA('Relações'!$B$10:$B$69)),1)</definedName>
    <definedName name="lst_ItensApr">OFFSET('Aprendizado'!$B$10,0,0,MAX(1,COUNTA('Aprendizado'!$B$10:$B$89)),1)</definedName>
    <definedName name="_xlnm.Print_Area" localSheetId="0">'Dashboard'!$A$1:$AD$176</definedName>
    <definedName name="_xlnm._FilterDatabase" localSheetId="2" hidden="1">'Metas'!$B$14:$T$74</definedName>
    <definedName name="_xlnm._FilterDatabase" localSheetId="3" hidden="1">'Tarefas'!$B$33:$M$333</definedName>
    <definedName name="_xlnm._FilterDatabase" localSheetId="4" hidden="1">'Finanças'!$B$9:$K$1509</definedName>
  </definedNames>
  <calcPr calcId="124519" fullCalcOnLoad="1"/>
</workbook>
</file>

<file path=xl/styles.xml><?xml version="1.0" encoding="utf-8"?>
<styleSheet xmlns="http://schemas.openxmlformats.org/spreadsheetml/2006/main">
  <numFmts count="31">
    <numFmt numFmtId="164" formatCode="0.0"/>
    <numFmt numFmtId="165" formatCode="dd/mm/yyyy"/>
    <numFmt numFmtId="166" formatCode="€ #,##0;[Red]-€ #,##0;€ 0"/>
    <numFmt numFmtId="167" formatCode="#,##0;[Red]-#,##0;&quot;–&quot;"/>
    <numFmt numFmtId="168" formatCode="0%;[Red]-0%;&quot;–&quot;"/>
    <numFmt numFmtId="169" formatCode="#,##0;;&quot;–&quot;"/>
    <numFmt numFmtId="170" formatCode="0.0;;&quot;–&quot;"/>
    <numFmt numFmtId="171" formatCode="0.0&quot; h&quot;"/>
    <numFmt numFmtId="172" formatCode="0.0&quot;/5&quot;"/>
    <numFmt numFmtId="173" formatCode="0.0&quot; kg&quot;"/>
    <numFmt numFmtId="174" formatCode="0;;&quot;–&quot;"/>
    <numFmt numFmtId="175" formatCode="0;[Red]-0"/>
    <numFmt numFmtId="176" formatCode="#,##0.##"/>
    <numFmt numFmtId="177" formatCode="€ #,##0"/>
    <numFmt numFmtId="178" formatCode="0&quot;/10&quot;"/>
    <numFmt numFmtId="179" formatCode="0.0&quot; anos&quot;"/>
    <numFmt numFmtId="180" formatCode="0&quot; h&quot;"/>
    <numFmt numFmtId="181" formatCode="#,##0.00;;&quot;–&quot;"/>
    <numFmt numFmtId="182" formatCode="0.0;[Red]-0.0;&quot;0&quot;"/>
    <numFmt numFmtId="183" formatCode="0%;;0%"/>
    <numFmt numFmtId="184" formatCode="0.0;[Red]-0.0;0.0"/>
    <numFmt numFmtId="185" formatCode="#,##0.0;[Red]-#,##0.0;0"/>
    <numFmt numFmtId="186" formatCode="0%;[Red]-0%;0%"/>
    <numFmt numFmtId="187" formatCode="#,##0;[Red]-#,##0;0"/>
    <numFmt numFmtId="188" formatCode="dd/mm"/>
    <numFmt numFmtId="189" formatCode="0&quot; /100&quot;"/>
    <numFmt numFmtId="190" formatCode="0&quot; item(ns)&quot;"/>
    <numFmt numFmtId="191" formatCode="0.0&quot; meses&quot;"/>
    <numFmt numFmtId="192" formatCode="0&quot; alerta(s)&quot;"/>
    <numFmt numFmtId="193" formatCode="[&gt;=7]&quot;✔ &quot;0.0;[&gt;=5]&quot;▲ &quot;0.0;&quot;✖ &quot;0.0"/>
    <numFmt numFmtId="194" formatCode=";;;"/>
  </numFmts>
  <fonts count="41">
    <font>
      <name val="Arial"/>
      <sz val="10"/>
    </font>
    <font>
      <name val="Arial"/>
      <b val="1"/>
      <color rgb="00FFFFFF"/>
      <sz val="16"/>
    </font>
    <font>
      <name val="Arial"/>
      <i val="1"/>
      <color rgb="0052514E"/>
      <sz val="9"/>
    </font>
    <font>
      <name val="Arial"/>
      <b val="1"/>
      <color rgb="00FFFFFF"/>
      <sz val="9"/>
      <u val="single"/>
    </font>
    <font>
      <name val="Arial"/>
      <b val="1"/>
      <color rgb="000B0B0B"/>
      <sz val="11"/>
    </font>
    <font>
      <name val="Arial"/>
      <color rgb="000B0B0B"/>
      <sz val="9"/>
    </font>
    <font>
      <name val="Arial"/>
      <b val="1"/>
      <color rgb="000B0B0B"/>
      <sz val="10"/>
    </font>
    <font>
      <name val="Arial"/>
      <i val="1"/>
      <color rgb="00898781"/>
      <sz val="8"/>
    </font>
    <font>
      <name val="Arial"/>
      <color rgb="0052514E"/>
      <sz val="9"/>
    </font>
    <font>
      <name val="Arial"/>
      <b val="1"/>
      <color rgb="00FFFFFF"/>
      <sz val="9"/>
    </font>
    <font>
      <name val="Arial"/>
      <color rgb="00898781"/>
      <sz val="8"/>
    </font>
    <font>
      <name val="Arial"/>
      <b val="1"/>
      <color rgb="00898781"/>
      <sz val="7.5"/>
    </font>
    <font>
      <name val="Arial"/>
      <b val="1"/>
      <color rgb="000B0B0B"/>
      <sz val="16"/>
    </font>
    <font>
      <name val="Arial"/>
      <color rgb="0052514E"/>
      <sz val="8"/>
    </font>
    <font>
      <name val="Arial"/>
      <b val="1"/>
      <color rgb="000B0B0B"/>
      <sz val="9"/>
    </font>
    <font>
      <name val="Arial"/>
      <b val="1"/>
      <color rgb="002A78D6"/>
      <sz val="9"/>
      <u val="single"/>
    </font>
    <font>
      <name val="Arial"/>
      <i val="1"/>
      <color rgb="000B0B0B"/>
      <sz val="10"/>
    </font>
    <font>
      <name val="Arial"/>
      <b val="1"/>
      <color rgb="000B0B0B"/>
      <sz val="12"/>
    </font>
    <font>
      <name val="Arial"/>
      <color rgb="000B0B0B"/>
      <sz val="10"/>
    </font>
    <font>
      <name val="Arial"/>
      <color rgb="004A3AA7"/>
      <sz val="10"/>
    </font>
    <font>
      <name val="Arial"/>
      <b val="1"/>
      <color rgb="000B0B0B"/>
      <sz val="13"/>
    </font>
    <font>
      <name val="Arial"/>
      <b val="1"/>
      <color rgb="00FFFFFF"/>
      <sz val="18"/>
    </font>
    <font>
      <name val="Arial"/>
      <b val="1"/>
      <color rgb="00C3C2B7"/>
      <sz val="8"/>
    </font>
    <font>
      <name val="Arial"/>
      <i val="1"/>
      <color rgb="00C3C2B7"/>
      <sz val="9"/>
    </font>
    <font>
      <name val="Arial"/>
      <b val="1"/>
      <color rgb="00FAB219"/>
      <sz val="9"/>
    </font>
    <font>
      <name val="Arial"/>
      <b val="1"/>
      <color rgb="001F2430"/>
      <sz val="8"/>
      <u val="single"/>
    </font>
    <font>
      <name val="Arial"/>
      <b val="1"/>
      <color rgb="001F2430"/>
      <sz val="8"/>
    </font>
    <font>
      <name val="Arial"/>
      <b val="1"/>
      <color rgb="001F2430"/>
      <sz val="11"/>
    </font>
    <font>
      <name val="Arial"/>
      <b val="1"/>
      <color rgb="000B0B0B"/>
      <sz val="20"/>
    </font>
    <font>
      <name val="Arial"/>
      <b val="1"/>
      <color rgb="00FFFFFF"/>
      <sz val="8"/>
    </font>
    <font>
      <name val="Arial"/>
      <i val="1"/>
      <color rgb="00898781"/>
      <sz val="7.5"/>
    </font>
    <font>
      <name val="Arial"/>
      <b val="1"/>
      <color rgb="00898781"/>
      <sz val="8"/>
    </font>
    <font>
      <name val="Arial"/>
      <i val="1"/>
      <color rgb="000B0B0B"/>
      <sz val="9.5"/>
    </font>
    <font>
      <name val="Arial"/>
      <b val="1"/>
      <color rgb="002A78D6"/>
      <sz val="9"/>
    </font>
    <font>
      <name val="Arial"/>
      <b val="1"/>
      <color rgb="000B0B0B"/>
      <sz val="8.5"/>
    </font>
    <font>
      <name val="Arial"/>
      <color rgb="000B0B0B"/>
      <sz val="8"/>
    </font>
    <font>
      <name val="Arial"/>
      <color rgb="00898781"/>
      <sz val="7"/>
    </font>
    <font>
      <name val="Arial"/>
      <b val="1"/>
      <color rgb="00006300"/>
      <sz val="11"/>
    </font>
    <font>
      <name val="Arial"/>
      <b val="1"/>
      <color rgb="008A5A00"/>
      <sz val="11"/>
    </font>
    <font>
      <name val="Arial"/>
      <b val="1"/>
      <color rgb="00B42323"/>
      <sz val="11"/>
    </font>
    <font>
      <name val="Arial"/>
      <b val="1"/>
      <color rgb="00898781"/>
      <sz val="11"/>
    </font>
  </fonts>
  <fills count="17">
    <fill>
      <patternFill/>
    </fill>
    <fill>
      <patternFill patternType="gray125"/>
    </fill>
    <fill>
      <patternFill patternType="solid">
        <fgColor rgb="001F2430"/>
        <bgColor rgb="001F2430"/>
      </patternFill>
    </fill>
    <fill>
      <patternFill patternType="solid">
        <fgColor rgb="00898781"/>
        <bgColor rgb="00898781"/>
      </patternFill>
    </fill>
    <fill>
      <patternFill patternType="solid">
        <fgColor rgb="00FFFFFF"/>
        <bgColor rgb="00FFFFFF"/>
      </patternFill>
    </fill>
    <fill>
      <patternFill patternType="solid">
        <fgColor rgb="00F1F0EC"/>
        <bgColor rgb="00F1F0EC"/>
      </patternFill>
    </fill>
    <fill>
      <patternFill patternType="solid">
        <fgColor rgb="001BAF7A"/>
        <bgColor rgb="001BAF7A"/>
      </patternFill>
    </fill>
    <fill>
      <patternFill patternType="solid">
        <fgColor rgb="006B6A65"/>
        <bgColor rgb="006B6A65"/>
      </patternFill>
    </fill>
    <fill>
      <patternFill patternType="solid">
        <fgColor rgb="00EB6834"/>
        <bgColor rgb="00EB6834"/>
      </patternFill>
    </fill>
    <fill>
      <patternFill patternType="solid">
        <fgColor rgb="00E8F1FC"/>
        <bgColor rgb="00E8F1FC"/>
      </patternFill>
    </fill>
    <fill>
      <patternFill patternType="solid">
        <fgColor rgb="002A78D6"/>
        <bgColor rgb="002A78D6"/>
      </patternFill>
    </fill>
    <fill>
      <patternFill patternType="solid">
        <fgColor rgb="004A3AA7"/>
        <bgColor rgb="004A3AA7"/>
      </patternFill>
    </fill>
    <fill>
      <patternFill patternType="solid">
        <fgColor rgb="00E87BA4"/>
        <bgColor rgb="00E87BA4"/>
      </patternFill>
    </fill>
    <fill>
      <patternFill patternType="solid">
        <fgColor rgb="00EDA100"/>
        <bgColor rgb="00EDA100"/>
      </patternFill>
    </fill>
    <fill>
      <patternFill patternType="solid">
        <fgColor rgb="00F6F5F2"/>
        <bgColor rgb="00F6F5F2"/>
      </patternFill>
    </fill>
    <fill>
      <patternFill patternType="solid">
        <fgColor rgb="00FCFCFB"/>
        <bgColor rgb="00FCFCFB"/>
      </patternFill>
    </fill>
    <fill>
      <patternFill patternType="solid">
        <fgColor rgb="00FFF4CC"/>
        <bgColor rgb="00FFF4CC"/>
      </patternFill>
    </fill>
  </fills>
  <borders count="103">
    <border>
      <left/>
      <right/>
      <top/>
      <bottom/>
      <diagonal/>
    </border>
    <border>
      <bottom style="medium">
        <color rgb="00898781"/>
      </bottom>
    </border>
    <border>
      <left style="thin">
        <color rgb="002A78D6"/>
      </left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D9D7D0"/>
      </left>
      <right style="thin">
        <color rgb="00D9D7D0"/>
      </right>
      <top style="thin">
        <color rgb="00D9D7D0"/>
      </top>
      <bottom style="thin">
        <color rgb="00D9D7D0"/>
      </bottom>
    </border>
    <border>
      <left style="thin">
        <color rgb="00D9D7D0"/>
      </left>
      <top style="thick">
        <color rgb="001BAF7A"/>
      </top>
    </border>
    <border>
      <right style="thin">
        <color rgb="00D9D7D0"/>
      </right>
      <top style="thick">
        <color rgb="001BAF7A"/>
      </top>
    </border>
    <border>
      <left style="thin">
        <color rgb="00D9D7D0"/>
      </left>
    </border>
    <border>
      <right style="thin">
        <color rgb="00D9D7D0"/>
      </right>
    </border>
    <border>
      <left style="thin">
        <color rgb="00D9D7D0"/>
      </left>
      <bottom style="thin">
        <color rgb="00D9D7D0"/>
      </bottom>
    </border>
    <border>
      <right style="thin">
        <color rgb="00D9D7D0"/>
      </right>
      <bottom style="thin">
        <color rgb="00D9D7D0"/>
      </bottom>
    </border>
    <border>
      <left style="thin">
        <color rgb="00D9D7D0"/>
      </left>
      <right style="thin">
        <color rgb="00D9D7D0"/>
      </right>
      <top style="thick">
        <color rgb="001BAF7A"/>
      </top>
    </border>
    <border>
      <left style="thin">
        <color rgb="00D9D7D0"/>
      </left>
      <right style="thin">
        <color rgb="00D9D7D0"/>
      </right>
    </border>
    <border>
      <left style="thin">
        <color rgb="00D9D7D0"/>
      </left>
      <right style="thin">
        <color rgb="00D9D7D0"/>
      </right>
      <bottom style="thin">
        <color rgb="00D9D7D0"/>
      </bottom>
    </border>
    <border>
      <left style="thin">
        <color rgb="00FFFFFF"/>
      </left>
      <right style="thin">
        <color rgb="00FFFFFF"/>
      </right>
    </border>
    <border>
      <bottom style="medium">
        <color rgb="001BAF7A"/>
      </bottom>
    </border>
    <border>
      <top style="thin">
        <color rgb="000B0B0B"/>
      </top>
      <bottom style="thin">
        <color rgb="000B0B0B"/>
      </bottom>
    </border>
    <border>
      <left/>
      <right style="thin">
        <color rgb="00FFFFFF"/>
      </right>
      <top/>
      <bottom/>
      <diagonal/>
    </border>
    <border>
      <left style="thin">
        <color rgb="00D9D7D0"/>
      </left>
      <top style="thick">
        <color rgb="00EB6834"/>
      </top>
    </border>
    <border>
      <right style="thin">
        <color rgb="00D9D7D0"/>
      </right>
      <top style="thick">
        <color rgb="00EB6834"/>
      </top>
    </border>
    <border>
      <top style="thick">
        <color rgb="00EB6834"/>
      </top>
    </border>
    <border/>
    <border>
      <bottom style="thin">
        <color rgb="00D9D7D0"/>
      </bottom>
    </border>
    <border>
      <left style="thin">
        <color rgb="00D9D7D0"/>
      </left>
      <right style="thin">
        <color rgb="00D9D7D0"/>
      </right>
      <top style="thick">
        <color rgb="00EB6834"/>
      </top>
    </border>
    <border>
      <bottom style="medium">
        <color rgb="00EB6834"/>
      </bottom>
    </border>
    <border>
      <left/>
      <right/>
      <top style="thin">
        <color rgb="00D9D7D0"/>
      </top>
      <bottom/>
      <diagonal/>
    </border>
    <border>
      <left/>
      <right style="thin">
        <color rgb="00D9D7D0"/>
      </right>
      <top style="thin">
        <color rgb="00D9D7D0"/>
      </top>
      <bottom/>
      <diagonal/>
    </border>
    <border>
      <left/>
      <right style="thin">
        <color rgb="00D9D7D0"/>
      </right>
      <top style="thin">
        <color rgb="00D9D7D0"/>
      </top>
      <bottom style="thin">
        <color rgb="00D9D7D0"/>
      </bottom>
      <diagonal/>
    </border>
    <border>
      <left/>
      <right/>
      <top style="thin">
        <color rgb="00D9D7D0"/>
      </top>
      <bottom style="thin">
        <color rgb="00D9D7D0"/>
      </bottom>
      <diagonal/>
    </border>
    <border>
      <left style="thin">
        <color rgb="00D9D7D0"/>
      </left>
      <right style="thin">
        <color rgb="00D9D7D0"/>
      </right>
      <top style="thick">
        <color rgb="002A78D6"/>
      </top>
    </border>
    <border>
      <left style="thin">
        <color rgb="00D9D7D0"/>
      </left>
      <top style="thick">
        <color rgb="002A78D6"/>
      </top>
    </border>
    <border>
      <right style="thin">
        <color rgb="00D9D7D0"/>
      </right>
      <top style="thick">
        <color rgb="002A78D6"/>
      </top>
    </border>
    <border>
      <top style="thick">
        <color rgb="002A78D6"/>
      </top>
    </border>
    <border>
      <bottom style="medium">
        <color rgb="002A78D6"/>
      </bottom>
    </border>
    <border>
      <bottom style="medium">
        <color rgb="004A3AA7"/>
      </bottom>
    </border>
    <border>
      <left style="thin">
        <color rgb="00D9D7D0"/>
      </left>
      <right style="thin">
        <color rgb="00D9D7D0"/>
      </right>
      <top style="thick">
        <color rgb="00E87BA4"/>
      </top>
    </border>
    <border>
      <left style="thin">
        <color rgb="00D9D7D0"/>
      </left>
      <top style="thick">
        <color rgb="00E87BA4"/>
      </top>
    </border>
    <border>
      <right style="thin">
        <color rgb="00D9D7D0"/>
      </right>
      <top style="thick">
        <color rgb="00E87BA4"/>
      </top>
    </border>
    <border>
      <top style="thick">
        <color rgb="00E87BA4"/>
      </top>
    </border>
    <border>
      <bottom style="medium">
        <color rgb="00E87BA4"/>
      </bottom>
    </border>
    <border>
      <left style="thin">
        <color rgb="00D9D7D0"/>
      </left>
      <right style="thin">
        <color rgb="00D9D7D0"/>
      </right>
      <top style="thick">
        <color rgb="004A3AA7"/>
      </top>
    </border>
    <border>
      <left style="thin">
        <color rgb="00D9D7D0"/>
      </left>
      <top style="thick">
        <color rgb="004A3AA7"/>
      </top>
    </border>
    <border>
      <right style="thin">
        <color rgb="00D9D7D0"/>
      </right>
      <top style="thick">
        <color rgb="004A3AA7"/>
      </top>
    </border>
    <border>
      <top style="thick">
        <color rgb="004A3AA7"/>
      </top>
    </border>
    <border>
      <left style="thin">
        <color rgb="00D9D7D0"/>
      </left>
      <right style="thin">
        <color rgb="00D9D7D0"/>
      </right>
      <top style="thick">
        <color rgb="00EDA100"/>
      </top>
    </border>
    <border>
      <left style="thin">
        <color rgb="00D9D7D0"/>
      </left>
      <top style="thick">
        <color rgb="00EDA100"/>
      </top>
    </border>
    <border>
      <right style="thin">
        <color rgb="00D9D7D0"/>
      </right>
      <top style="thick">
        <color rgb="00EDA100"/>
      </top>
    </border>
    <border>
      <bottom style="medium">
        <color rgb="00EDA100"/>
      </bottom>
    </border>
    <border>
      <left style="medium">
        <color rgb="002A78D6"/>
      </left>
      <right style="medium">
        <color rgb="002A78D6"/>
      </right>
      <top style="medium">
        <color rgb="002A78D6"/>
      </top>
      <bottom style="medium">
        <color rgb="002A78D6"/>
      </bottom>
    </border>
    <border>
      <left/>
      <right/>
      <top style="medium">
        <color rgb="002A78D6"/>
      </top>
      <bottom/>
      <diagonal/>
    </border>
    <border>
      <left/>
      <right style="medium">
        <color rgb="002A78D6"/>
      </right>
      <top style="medium">
        <color rgb="002A78D6"/>
      </top>
      <bottom/>
      <diagonal/>
    </border>
    <border>
      <left/>
      <right/>
      <top style="medium">
        <color rgb="002A78D6"/>
      </top>
      <bottom style="medium">
        <color rgb="002A78D6"/>
      </bottom>
      <diagonal/>
    </border>
    <border>
      <left/>
      <right style="medium">
        <color rgb="002A78D6"/>
      </right>
      <top style="medium">
        <color rgb="002A78D6"/>
      </top>
      <bottom style="medium">
        <color rgb="002A78D6"/>
      </bottom>
      <diagonal/>
    </border>
    <border>
      <left style="medium">
        <color rgb="00F6F5F2"/>
      </left>
      <right style="medium">
        <color rgb="00F6F5F2"/>
      </right>
      <bottom style="thick">
        <color rgb="002A78D6"/>
      </bottom>
    </border>
    <border>
      <left/>
      <right style="medium">
        <color rgb="00F6F5F2"/>
      </right>
      <top/>
      <bottom/>
      <diagonal/>
    </border>
    <border>
      <left/>
      <right style="medium">
        <color rgb="00F6F5F2"/>
      </right>
      <top/>
      <bottom style="thick">
        <color rgb="002A78D6"/>
      </bottom>
      <diagonal/>
    </border>
    <border>
      <left style="medium">
        <color rgb="00F6F5F2"/>
      </left>
      <right style="medium">
        <color rgb="00F6F5F2"/>
      </right>
      <bottom style="thick">
        <color rgb="001BAF7A"/>
      </bottom>
    </border>
    <border>
      <left/>
      <right style="medium">
        <color rgb="00F6F5F2"/>
      </right>
      <top/>
      <bottom style="thick">
        <color rgb="001BAF7A"/>
      </bottom>
      <diagonal/>
    </border>
    <border>
      <left style="medium">
        <color rgb="00F6F5F2"/>
      </left>
      <right style="medium">
        <color rgb="00F6F5F2"/>
      </right>
      <bottom style="thick">
        <color rgb="00EB6834"/>
      </bottom>
    </border>
    <border>
      <left/>
      <right style="medium">
        <color rgb="00F6F5F2"/>
      </right>
      <top/>
      <bottom style="thick">
        <color rgb="00EB6834"/>
      </bottom>
      <diagonal/>
    </border>
    <border>
      <left style="medium">
        <color rgb="00F6F5F2"/>
      </left>
      <right style="medium">
        <color rgb="00F6F5F2"/>
      </right>
      <bottom style="thick">
        <color rgb="004A3AA7"/>
      </bottom>
    </border>
    <border>
      <left/>
      <right style="medium">
        <color rgb="00F6F5F2"/>
      </right>
      <top/>
      <bottom style="thick">
        <color rgb="004A3AA7"/>
      </bottom>
      <diagonal/>
    </border>
    <border>
      <left style="medium">
        <color rgb="00F6F5F2"/>
      </left>
      <right style="medium">
        <color rgb="00F6F5F2"/>
      </right>
      <bottom style="thick">
        <color rgb="00E87BA4"/>
      </bottom>
    </border>
    <border>
      <left/>
      <right style="medium">
        <color rgb="00F6F5F2"/>
      </right>
      <top/>
      <bottom style="thick">
        <color rgb="00E87BA4"/>
      </bottom>
      <diagonal/>
    </border>
    <border>
      <left style="medium">
        <color rgb="00F6F5F2"/>
      </left>
      <right style="medium">
        <color rgb="00F6F5F2"/>
      </right>
      <bottom style="thick">
        <color rgb="00EDA100"/>
      </bottom>
    </border>
    <border>
      <left/>
      <right style="medium">
        <color rgb="00F6F5F2"/>
      </right>
      <top/>
      <bottom style="thick">
        <color rgb="00EDA100"/>
      </bottom>
      <diagonal/>
    </border>
    <border>
      <left style="medium">
        <color rgb="00F6F5F2"/>
      </left>
      <right style="medium">
        <color rgb="00F6F5F2"/>
      </right>
      <bottom style="thick">
        <color rgb="00898781"/>
      </bottom>
    </border>
    <border>
      <left/>
      <right style="medium">
        <color rgb="00F6F5F2"/>
      </right>
      <top/>
      <bottom style="thick">
        <color rgb="00898781"/>
      </bottom>
      <diagonal/>
    </border>
    <border>
      <bottom style="medium">
        <color rgb="001F2430"/>
      </bottom>
    </border>
    <border>
      <left style="thick">
        <color rgb="001F2430"/>
      </left>
      <top style="thin">
        <color rgb="00D9D7D0"/>
      </top>
    </border>
    <border>
      <top style="thin">
        <color rgb="00D9D7D0"/>
      </top>
    </border>
    <border>
      <right style="thin">
        <color rgb="00D9D7D0"/>
      </right>
      <top style="thin">
        <color rgb="00D9D7D0"/>
      </top>
    </border>
    <border>
      <left style="thick">
        <color rgb="001F2430"/>
      </left>
    </border>
    <border>
      <left style="thick">
        <color rgb="001F2430"/>
      </left>
      <bottom style="thin">
        <color rgb="00D9D7D0"/>
      </bottom>
    </border>
    <border>
      <left style="thick">
        <color rgb="002A78D6"/>
      </left>
      <top style="thin">
        <color rgb="00D9D7D0"/>
      </top>
    </border>
    <border>
      <left style="thick">
        <color rgb="002A78D6"/>
      </left>
    </border>
    <border>
      <left style="thick">
        <color rgb="002A78D6"/>
      </left>
      <bottom style="thin">
        <color rgb="00D9D7D0"/>
      </bottom>
    </border>
    <border>
      <left style="thick">
        <color rgb="001BAF7A"/>
      </left>
      <top style="thin">
        <color rgb="00D9D7D0"/>
      </top>
    </border>
    <border>
      <left style="thick">
        <color rgb="001BAF7A"/>
      </left>
    </border>
    <border>
      <left style="thick">
        <color rgb="001BAF7A"/>
      </left>
      <bottom style="thin">
        <color rgb="00D9D7D0"/>
      </bottom>
    </border>
    <border>
      <left style="thick">
        <color rgb="00EB6834"/>
      </left>
      <top style="thin">
        <color rgb="00D9D7D0"/>
      </top>
    </border>
    <border>
      <left style="thick">
        <color rgb="00EB6834"/>
      </left>
    </border>
    <border>
      <left style="thick">
        <color rgb="00EB6834"/>
      </left>
      <bottom style="thin">
        <color rgb="00D9D7D0"/>
      </bottom>
    </border>
    <border>
      <left style="thick">
        <color rgb="00E87BA4"/>
      </left>
      <top style="thin">
        <color rgb="00D9D7D0"/>
      </top>
    </border>
    <border>
      <left style="thick">
        <color rgb="00E87BA4"/>
      </left>
    </border>
    <border>
      <left style="thick">
        <color rgb="00E87BA4"/>
      </left>
      <bottom style="thin">
        <color rgb="00D9D7D0"/>
      </bottom>
    </border>
    <border>
      <left style="thick">
        <color rgb="004A3AA7"/>
      </left>
      <top style="thin">
        <color rgb="00D9D7D0"/>
      </top>
    </border>
    <border>
      <left style="thick">
        <color rgb="004A3AA7"/>
      </left>
    </border>
    <border>
      <left style="thick">
        <color rgb="004A3AA7"/>
      </left>
      <bottom style="thin">
        <color rgb="00D9D7D0"/>
      </bottom>
    </border>
    <border>
      <left style="thick">
        <color rgb="00EDA100"/>
      </left>
      <top style="thin">
        <color rgb="00D9D7D0"/>
      </top>
    </border>
    <border>
      <left style="thick">
        <color rgb="00EDA100"/>
      </left>
    </border>
    <border>
      <left style="thick">
        <color rgb="00EDA100"/>
      </left>
      <bottom style="thin">
        <color rgb="00D9D7D0"/>
      </bottom>
    </border>
    <border>
      <bottom style="thin">
        <color rgb="00E1E0D9"/>
      </bottom>
    </border>
    <border>
      <left/>
      <right/>
      <top/>
      <bottom style="thin">
        <color rgb="00E1E0D9"/>
      </bottom>
      <diagonal/>
    </border>
    <border>
      <left/>
      <right/>
      <top style="thick">
        <color rgb="002A78D6"/>
      </top>
      <bottom/>
      <diagonal/>
    </border>
    <border>
      <left/>
      <right/>
      <top/>
      <bottom style="thin">
        <color rgb="00D9D7D0"/>
      </bottom>
      <diagonal/>
    </border>
    <border>
      <top style="thick">
        <color rgb="00006300"/>
      </top>
    </border>
    <border>
      <left/>
      <right/>
      <top style="thick">
        <color rgb="00006300"/>
      </top>
      <bottom/>
      <diagonal/>
    </border>
    <border>
      <left/>
      <right/>
      <top style="thick">
        <color rgb="00EB6834"/>
      </top>
      <bottom/>
      <diagonal/>
    </border>
    <border>
      <left/>
      <right/>
      <top style="thick">
        <color rgb="004A3AA7"/>
      </top>
      <bottom/>
      <diagonal/>
    </border>
    <border>
      <left/>
      <right/>
      <top style="thick">
        <color rgb="00E87BA4"/>
      </top>
      <bottom/>
      <diagonal/>
    </border>
    <border>
      <top style="thick">
        <color rgb="00EDA100"/>
      </top>
    </border>
    <border>
      <left/>
      <right/>
      <top style="thick">
        <color rgb="00EDA100"/>
      </top>
      <bottom/>
      <diagonal/>
    </border>
    <border>
      <left style="medium">
        <color rgb="00F6F5F2"/>
      </left>
      <right style="medium">
        <color rgb="00F6F5F2"/>
      </right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0" fillId="2" borderId="0" pivotButton="0" quotePrefix="0" xfId="0"/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right" vertical="center"/>
    </xf>
    <xf numFmtId="0" fontId="4" fillId="4" borderId="47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right" vertical="center"/>
    </xf>
    <xf numFmtId="0" fontId="0" fillId="14" borderId="0" pivotButton="0" quotePrefix="0" xfId="0"/>
    <xf numFmtId="0" fontId="26" fillId="4" borderId="52" applyAlignment="1" pivotButton="0" quotePrefix="0" xfId="0">
      <alignment horizontal="center" vertical="center"/>
    </xf>
    <xf numFmtId="0" fontId="0" fillId="0" borderId="54" pivotButton="0" quotePrefix="0" xfId="0"/>
    <xf numFmtId="0" fontId="26" fillId="4" borderId="55" applyAlignment="1" pivotButton="0" quotePrefix="0" xfId="0">
      <alignment horizontal="center" vertical="center"/>
    </xf>
    <xf numFmtId="0" fontId="0" fillId="0" borderId="56" pivotButton="0" quotePrefix="0" xfId="0"/>
    <xf numFmtId="0" fontId="26" fillId="4" borderId="57" applyAlignment="1" pivotButton="0" quotePrefix="0" xfId="0">
      <alignment horizontal="center" vertical="center"/>
    </xf>
    <xf numFmtId="0" fontId="0" fillId="0" borderId="58" pivotButton="0" quotePrefix="0" xfId="0"/>
    <xf numFmtId="0" fontId="26" fillId="4" borderId="59" applyAlignment="1" pivotButton="0" quotePrefix="0" xfId="0">
      <alignment horizontal="center" vertical="center"/>
    </xf>
    <xf numFmtId="0" fontId="0" fillId="0" borderId="60" pivotButton="0" quotePrefix="0" xfId="0"/>
    <xf numFmtId="0" fontId="26" fillId="4" borderId="61" applyAlignment="1" pivotButton="0" quotePrefix="0" xfId="0">
      <alignment horizontal="center" vertical="center"/>
    </xf>
    <xf numFmtId="0" fontId="0" fillId="0" borderId="62" pivotButton="0" quotePrefix="0" xfId="0"/>
    <xf numFmtId="0" fontId="26" fillId="4" borderId="63" applyAlignment="1" pivotButton="0" quotePrefix="0" xfId="0">
      <alignment horizontal="center" vertical="center"/>
    </xf>
    <xf numFmtId="0" fontId="0" fillId="0" borderId="64" pivotButton="0" quotePrefix="0" xfId="0"/>
    <xf numFmtId="0" fontId="26" fillId="4" borderId="65" applyAlignment="1" pivotButton="0" quotePrefix="0" xfId="0">
      <alignment horizontal="center" vertical="center"/>
    </xf>
    <xf numFmtId="0" fontId="0" fillId="0" borderId="66" pivotButton="0" quotePrefix="0" xfId="0"/>
    <xf numFmtId="0" fontId="27" fillId="14" borderId="67" applyAlignment="1" pivotButton="0" quotePrefix="0" xfId="0">
      <alignment horizontal="left" vertical="bottom"/>
    </xf>
    <xf numFmtId="0" fontId="0" fillId="14" borderId="67" pivotButton="0" quotePrefix="0" xfId="0"/>
    <xf numFmtId="0" fontId="11" fillId="4" borderId="68" applyAlignment="1" pivotButton="0" quotePrefix="0" xfId="0">
      <alignment horizontal="left" vertical="bottom" indent="1"/>
    </xf>
    <xf numFmtId="0" fontId="0" fillId="0" borderId="69" pivotButton="0" quotePrefix="0" xfId="0"/>
    <xf numFmtId="0" fontId="0" fillId="0" borderId="70" pivotButton="0" quotePrefix="0" xfId="0"/>
    <xf numFmtId="0" fontId="11" fillId="4" borderId="73" applyAlignment="1" pivotButton="0" quotePrefix="0" xfId="0">
      <alignment horizontal="left" vertical="bottom" indent="1"/>
    </xf>
    <xf numFmtId="189" fontId="28" fillId="4" borderId="7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7" pivotButton="0" quotePrefix="0" xfId="0"/>
    <xf numFmtId="0" fontId="28" fillId="4" borderId="74" applyAlignment="1" pivotButton="0" quotePrefix="0" xfId="0">
      <alignment horizontal="left" vertical="center" indent="1"/>
    </xf>
    <xf numFmtId="1" fontId="28" fillId="4" borderId="74" applyAlignment="1" pivotButton="0" quotePrefix="0" xfId="0">
      <alignment horizontal="left" vertical="center" indent="1"/>
    </xf>
    <xf numFmtId="190" fontId="28" fillId="4" borderId="74" applyAlignment="1" pivotButton="0" quotePrefix="0" xfId="0">
      <alignment horizontal="left" vertical="center" indent="1"/>
    </xf>
    <xf numFmtId="0" fontId="13" fillId="4" borderId="72" applyAlignment="1" pivotButton="0" quotePrefix="0" xfId="0">
      <alignment horizontal="left" vertical="top" wrapText="1" indent="1"/>
    </xf>
    <xf numFmtId="0" fontId="0" fillId="0" borderId="21" pivotButton="0" quotePrefix="0" xfId="0"/>
    <xf numFmtId="0" fontId="0" fillId="0" borderId="9" pivotButton="0" quotePrefix="0" xfId="0"/>
    <xf numFmtId="0" fontId="13" fillId="4" borderId="75" applyAlignment="1" pivotButton="0" quotePrefix="0" xfId="0">
      <alignment horizontal="left" vertical="top" wrapText="1" indent="1"/>
    </xf>
    <xf numFmtId="0" fontId="11" fillId="4" borderId="76" applyAlignment="1" pivotButton="0" quotePrefix="0" xfId="0">
      <alignment horizontal="left" vertical="bottom" indent="1"/>
    </xf>
    <xf numFmtId="166" fontId="28" fillId="4" borderId="77" applyAlignment="1" pivotButton="0" quotePrefix="0" xfId="0">
      <alignment horizontal="left" vertical="center" indent="1"/>
    </xf>
    <xf numFmtId="9" fontId="28" fillId="4" borderId="77" applyAlignment="1" pivotButton="0" quotePrefix="0" xfId="0">
      <alignment horizontal="left" vertical="center" indent="1"/>
    </xf>
    <xf numFmtId="191" fontId="28" fillId="4" borderId="77" applyAlignment="1" pivotButton="0" quotePrefix="0" xfId="0">
      <alignment horizontal="left" vertical="center" indent="1"/>
    </xf>
    <xf numFmtId="0" fontId="13" fillId="4" borderId="78" applyAlignment="1" pivotButton="0" quotePrefix="0" xfId="0">
      <alignment horizontal="left" vertical="top" wrapText="1" indent="1"/>
    </xf>
    <xf numFmtId="0" fontId="11" fillId="4" borderId="79" applyAlignment="1" pivotButton="0" quotePrefix="0" xfId="0">
      <alignment horizontal="left" vertical="bottom" indent="1"/>
    </xf>
    <xf numFmtId="9" fontId="28" fillId="4" borderId="80" applyAlignment="1" pivotButton="0" quotePrefix="0" xfId="0">
      <alignment horizontal="left" vertical="center" indent="1"/>
    </xf>
    <xf numFmtId="171" fontId="28" fillId="4" borderId="80" applyAlignment="1" pivotButton="0" quotePrefix="0" xfId="0">
      <alignment horizontal="left" vertical="center" indent="1"/>
    </xf>
    <xf numFmtId="1" fontId="28" fillId="4" borderId="80" applyAlignment="1" pivotButton="0" quotePrefix="0" xfId="0">
      <alignment horizontal="left" vertical="center" indent="1"/>
    </xf>
    <xf numFmtId="172" fontId="28" fillId="4" borderId="80" applyAlignment="1" pivotButton="0" quotePrefix="0" xfId="0">
      <alignment horizontal="left" vertical="center" indent="1"/>
    </xf>
    <xf numFmtId="0" fontId="13" fillId="4" borderId="81" applyAlignment="1" pivotButton="0" quotePrefix="0" xfId="0">
      <alignment horizontal="left" vertical="top" wrapText="1" indent="1"/>
    </xf>
    <xf numFmtId="0" fontId="11" fillId="4" borderId="82" applyAlignment="1" pivotButton="0" quotePrefix="0" xfId="0">
      <alignment horizontal="left" vertical="bottom" indent="1"/>
    </xf>
    <xf numFmtId="0" fontId="11" fillId="4" borderId="85" applyAlignment="1" pivotButton="0" quotePrefix="0" xfId="0">
      <alignment horizontal="left" vertical="bottom" indent="1"/>
    </xf>
    <xf numFmtId="0" fontId="11" fillId="4" borderId="88" applyAlignment="1" pivotButton="0" quotePrefix="0" xfId="0">
      <alignment horizontal="left" vertical="bottom" indent="1"/>
    </xf>
    <xf numFmtId="9" fontId="28" fillId="4" borderId="83" applyAlignment="1" pivotButton="0" quotePrefix="0" xfId="0">
      <alignment horizontal="left" vertical="center" indent="1"/>
    </xf>
    <xf numFmtId="171" fontId="28" fillId="4" borderId="86" applyAlignment="1" pivotButton="0" quotePrefix="0" xfId="0">
      <alignment horizontal="left" vertical="center" indent="1"/>
    </xf>
    <xf numFmtId="171" fontId="28" fillId="4" borderId="83" applyAlignment="1" pivotButton="0" quotePrefix="0" xfId="0">
      <alignment horizontal="left" vertical="center" indent="1"/>
    </xf>
    <xf numFmtId="192" fontId="28" fillId="4" borderId="89" applyAlignment="1" pivotButton="0" quotePrefix="0" xfId="0">
      <alignment horizontal="left" vertical="center" indent="1"/>
    </xf>
    <xf numFmtId="0" fontId="13" fillId="4" borderId="84" applyAlignment="1" pivotButton="0" quotePrefix="0" xfId="0">
      <alignment horizontal="left" vertical="top" wrapText="1" indent="1"/>
    </xf>
    <xf numFmtId="0" fontId="13" fillId="4" borderId="87" applyAlignment="1" pivotButton="0" quotePrefix="0" xfId="0">
      <alignment horizontal="left" vertical="top" wrapText="1" indent="1"/>
    </xf>
    <xf numFmtId="0" fontId="13" fillId="4" borderId="90" applyAlignment="1" pivotButton="0" quotePrefix="0" xfId="0">
      <alignment horizontal="left" vertical="top" wrapText="1" indent="1"/>
    </xf>
    <xf numFmtId="0" fontId="29" fillId="2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 indent="1"/>
    </xf>
    <xf numFmtId="0" fontId="14" fillId="4" borderId="91" applyAlignment="1" pivotButton="0" quotePrefix="0" xfId="0">
      <alignment horizontal="left" vertical="center" indent="1"/>
    </xf>
    <xf numFmtId="0" fontId="0" fillId="0" borderId="92" pivotButton="0" quotePrefix="0" xfId="0"/>
    <xf numFmtId="193" fontId="14" fillId="4" borderId="91" applyAlignment="1" pivotButton="0" quotePrefix="0" xfId="0">
      <alignment horizontal="center" vertical="center"/>
    </xf>
    <xf numFmtId="0" fontId="4" fillId="4" borderId="91" applyAlignment="1" pivotButton="0" quotePrefix="0" xfId="0">
      <alignment horizontal="center" vertical="center"/>
    </xf>
    <xf numFmtId="0" fontId="13" fillId="4" borderId="91" applyAlignment="1" pivotButton="0" quotePrefix="0" xfId="0">
      <alignment horizontal="left" vertical="center" wrapText="1" indent="1"/>
    </xf>
    <xf numFmtId="0" fontId="30" fillId="14" borderId="0" applyAlignment="1" pivotButton="0" quotePrefix="0" xfId="0">
      <alignment horizontal="left" vertical="top" wrapText="1"/>
    </xf>
    <xf numFmtId="0" fontId="31" fillId="4" borderId="31" applyAlignment="1" pivotButton="0" quotePrefix="0" xfId="0">
      <alignment horizontal="left" vertical="bottom" indent="1"/>
    </xf>
    <xf numFmtId="0" fontId="0" fillId="0" borderId="93" pivotButton="0" quotePrefix="0" xfId="0"/>
    <xf numFmtId="0" fontId="32" fillId="4" borderId="21" applyAlignment="1" pivotButton="0" quotePrefix="0" xfId="0">
      <alignment horizontal="left" vertical="top" wrapText="1" indent="1"/>
    </xf>
    <xf numFmtId="0" fontId="33" fillId="4" borderId="0" applyAlignment="1" pivotButton="0" quotePrefix="0" xfId="0">
      <alignment horizontal="center" vertical="center"/>
    </xf>
    <xf numFmtId="0" fontId="18" fillId="4" borderId="8" applyAlignment="1" pivotButton="0" quotePrefix="0" xfId="0">
      <alignment horizontal="left" vertical="center" indent="1"/>
    </xf>
    <xf numFmtId="0" fontId="0" fillId="0" borderId="94" pivotButton="0" quotePrefix="0" xfId="0"/>
    <xf numFmtId="0" fontId="31" fillId="4" borderId="95" applyAlignment="1" pivotButton="0" quotePrefix="0" xfId="0">
      <alignment horizontal="left" vertical="bottom" indent="1"/>
    </xf>
    <xf numFmtId="0" fontId="0" fillId="0" borderId="96" pivotButton="0" quotePrefix="0" xfId="0"/>
    <xf numFmtId="0" fontId="31" fillId="4" borderId="19" applyAlignment="1" pivotButton="0" quotePrefix="0" xfId="0">
      <alignment horizontal="left" vertical="bottom" indent="1"/>
    </xf>
    <xf numFmtId="0" fontId="0" fillId="0" borderId="97" pivotButton="0" quotePrefix="0" xfId="0"/>
    <xf numFmtId="0" fontId="31" fillId="4" borderId="42" applyAlignment="1" pivotButton="0" quotePrefix="0" xfId="0">
      <alignment horizontal="left" vertical="bottom" indent="1"/>
    </xf>
    <xf numFmtId="0" fontId="0" fillId="0" borderId="98" pivotButton="0" quotePrefix="0" xfId="0"/>
    <xf numFmtId="0" fontId="34" fillId="4" borderId="31" applyAlignment="1" pivotButton="0" quotePrefix="0" xfId="0">
      <alignment horizontal="left" vertical="center" indent="1"/>
    </xf>
    <xf numFmtId="0" fontId="34" fillId="4" borderId="37" applyAlignment="1" pivotButton="0" quotePrefix="0" xfId="0">
      <alignment horizontal="left" vertical="center" indent="1"/>
    </xf>
    <xf numFmtId="0" fontId="0" fillId="0" borderId="99" pivotButton="0" quotePrefix="0" xfId="0"/>
    <xf numFmtId="0" fontId="34" fillId="4" borderId="100" applyAlignment="1" pivotButton="0" quotePrefix="0" xfId="0">
      <alignment horizontal="left" vertical="center" indent="1"/>
    </xf>
    <xf numFmtId="0" fontId="0" fillId="0" borderId="101" pivotButton="0" quotePrefix="0" xfId="0"/>
    <xf numFmtId="0" fontId="11" fillId="4" borderId="21" applyAlignment="1" pivotButton="0" quotePrefix="0" xfId="0">
      <alignment horizontal="left" vertical="center" indent="1"/>
    </xf>
    <xf numFmtId="0" fontId="35" fillId="4" borderId="91" applyAlignment="1" pivotButton="0" quotePrefix="0" xfId="0">
      <alignment horizontal="left" vertical="center" indent="1"/>
    </xf>
    <xf numFmtId="188" fontId="35" fillId="4" borderId="91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34" fillId="4" borderId="42" applyAlignment="1" pivotButton="0" quotePrefix="0" xfId="0">
      <alignment horizontal="left" vertical="center" indent="1"/>
    </xf>
    <xf numFmtId="9" fontId="35" fillId="4" borderId="91" applyAlignment="1" pivotButton="0" quotePrefix="0" xfId="0">
      <alignment horizontal="left" vertical="center" indent="1"/>
    </xf>
    <xf numFmtId="0" fontId="31" fillId="14" borderId="0" applyAlignment="1" pivotButton="0" quotePrefix="0" xfId="0">
      <alignment horizontal="left" vertical="bottom"/>
    </xf>
    <xf numFmtId="9" fontId="12" fillId="4" borderId="77" applyAlignment="1" pivotButton="0" quotePrefix="0" xfId="0">
      <alignment horizontal="left" vertical="center" indent="1"/>
    </xf>
    <xf numFmtId="0" fontId="36" fillId="14" borderId="0" applyAlignment="1" pivotButton="0" quotePrefix="0" xfId="0">
      <alignment horizontal="center" vertical="center"/>
    </xf>
    <xf numFmtId="194" fontId="0" fillId="15" borderId="102" pivotButton="0" quotePrefix="0" xfId="0"/>
    <xf numFmtId="0" fontId="0" fillId="1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4" fillId="0" borderId="32" applyAlignment="1" pivotButton="0" quotePrefix="0" xfId="0">
      <alignment horizontal="left" vertical="bottom"/>
    </xf>
    <xf numFmtId="0" fontId="0" fillId="0" borderId="32" pivotButton="0" quotePrefix="0" xfId="0"/>
    <xf numFmtId="0" fontId="9" fillId="2" borderId="13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left" vertical="center" indent="1"/>
    </xf>
    <xf numFmtId="1" fontId="5" fillId="4" borderId="3" applyAlignment="1" pivotButton="0" quotePrefix="0" xfId="0">
      <alignment horizontal="center" vertical="center"/>
    </xf>
    <xf numFmtId="182" fontId="8" fillId="5" borderId="3" applyAlignment="1" pivotButton="0" quotePrefix="0" xfId="0">
      <alignment horizontal="center" vertical="center"/>
    </xf>
    <xf numFmtId="0" fontId="14" fillId="5" borderId="15" applyAlignment="1" pivotButton="0" quotePrefix="0" xfId="0">
      <alignment horizontal="left" vertical="center" indent="1"/>
    </xf>
    <xf numFmtId="164" fontId="14" fillId="5" borderId="15" applyAlignment="1" pivotButton="0" quotePrefix="0" xfId="0">
      <alignment horizontal="center" vertical="center"/>
    </xf>
    <xf numFmtId="182" fontId="14" fillId="5" borderId="15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6" pivotButton="0" quotePrefix="0" xfId="0"/>
    <xf numFmtId="0" fontId="5" fillId="4" borderId="3" applyAlignment="1" pivotButton="0" quotePrefix="0" xfId="0">
      <alignment horizontal="left" vertical="top" wrapText="1" indent="1"/>
    </xf>
    <xf numFmtId="0" fontId="0" fillId="0" borderId="27" pivotButton="0" quotePrefix="0" xfId="0"/>
    <xf numFmtId="0" fontId="0" fillId="0" borderId="26" pivotButton="0" quotePrefix="0" xfId="0"/>
    <xf numFmtId="0" fontId="14" fillId="5" borderId="3" applyAlignment="1" pivotButton="0" quotePrefix="0" xfId="0">
      <alignment horizontal="left" vertical="center" wrapText="1" indent="1"/>
    </xf>
    <xf numFmtId="0" fontId="16" fillId="4" borderId="3" applyAlignment="1" pivotButton="0" quotePrefix="0" xfId="0">
      <alignment horizontal="left" vertical="center" wrapText="1" indent="1"/>
    </xf>
    <xf numFmtId="0" fontId="11" fillId="4" borderId="28" applyAlignment="1" pivotButton="0" quotePrefix="0" xfId="0">
      <alignment horizontal="left" vertical="bottom" indent="1"/>
    </xf>
    <xf numFmtId="0" fontId="11" fillId="4" borderId="29" applyAlignment="1" pivotButton="0" quotePrefix="0" xfId="0">
      <alignment horizontal="left" vertical="bottom" indent="1"/>
    </xf>
    <xf numFmtId="0" fontId="0" fillId="0" borderId="30" pivotButton="0" quotePrefix="0" xfId="0"/>
    <xf numFmtId="0" fontId="0" fillId="0" borderId="31" pivotButton="0" quotePrefix="0" xfId="0"/>
    <xf numFmtId="1" fontId="12" fillId="4" borderId="11" applyAlignment="1" pivotButton="0" quotePrefix="0" xfId="0">
      <alignment horizontal="left" vertical="center" indent="1"/>
    </xf>
    <xf numFmtId="1" fontId="12" fillId="4" borderId="6" applyAlignment="1" pivotButton="0" quotePrefix="0" xfId="0">
      <alignment horizontal="left" vertical="center" indent="1"/>
    </xf>
    <xf numFmtId="9" fontId="12" fillId="4" borderId="6" applyAlignment="1" pivotButton="0" quotePrefix="0" xfId="0">
      <alignment horizontal="left" vertical="center" indent="1"/>
    </xf>
    <xf numFmtId="0" fontId="17" fillId="4" borderId="6" applyAlignment="1" pivotButton="0" quotePrefix="0" xfId="0">
      <alignment horizontal="left" vertical="center" indent="1"/>
    </xf>
    <xf numFmtId="0" fontId="13" fillId="4" borderId="12" applyAlignment="1" pivotButton="0" quotePrefix="0" xfId="0">
      <alignment horizontal="left" vertical="top" wrapText="1" indent="1"/>
    </xf>
    <xf numFmtId="0" fontId="13" fillId="4" borderId="8" applyAlignment="1" pivotButton="0" quotePrefix="0" xfId="0">
      <alignment horizontal="left" vertical="top" wrapText="1" indent="1"/>
    </xf>
    <xf numFmtId="0" fontId="8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indent="1"/>
    </xf>
    <xf numFmtId="165" fontId="5" fillId="4" borderId="3" applyAlignment="1" pivotButton="0" quotePrefix="0" xfId="0">
      <alignment horizontal="center" vertical="center"/>
    </xf>
    <xf numFmtId="176" fontId="5" fillId="4" borderId="3" applyAlignment="1" pivotButton="0" quotePrefix="0" xfId="0">
      <alignment horizontal="center" vertical="center"/>
    </xf>
    <xf numFmtId="9" fontId="5" fillId="4" borderId="3" applyAlignment="1" pivotButton="0" quotePrefix="0" xfId="0">
      <alignment horizontal="center" vertical="center"/>
    </xf>
    <xf numFmtId="9" fontId="8" fillId="5" borderId="3" applyAlignment="1" pivotButton="0" quotePrefix="0" xfId="0">
      <alignment horizontal="center" vertical="center"/>
    </xf>
    <xf numFmtId="175" fontId="8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 indent="1"/>
    </xf>
    <xf numFmtId="174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indent="1"/>
    </xf>
    <xf numFmtId="0" fontId="0" fillId="6" borderId="0" pivotButton="0" quotePrefix="0" xfId="0"/>
    <xf numFmtId="0" fontId="11" fillId="4" borderId="4" applyAlignment="1" pivotButton="0" quotePrefix="0" xfId="0">
      <alignment horizontal="left" vertical="bottom" indent="1"/>
    </xf>
    <xf numFmtId="0" fontId="0" fillId="0" borderId="5" pivotButton="0" quotePrefix="0" xfId="0"/>
    <xf numFmtId="0" fontId="11" fillId="4" borderId="10" applyAlignment="1" pivotButton="0" quotePrefix="0" xfId="0">
      <alignment horizontal="left" vertical="bottom" indent="1"/>
    </xf>
    <xf numFmtId="166" fontId="12" fillId="4" borderId="6" applyAlignment="1" pivotButton="0" quotePrefix="0" xfId="0">
      <alignment horizontal="left" vertical="center" indent="1"/>
    </xf>
    <xf numFmtId="166" fontId="12" fillId="4" borderId="11" applyAlignment="1" pivotButton="0" quotePrefix="0" xfId="0">
      <alignment horizontal="left" vertical="center" indent="1"/>
    </xf>
    <xf numFmtId="4" fontId="5" fillId="4" borderId="3" applyAlignment="1" pivotButton="0" quotePrefix="0" xfId="0">
      <alignment horizontal="right" vertical="center"/>
    </xf>
    <xf numFmtId="0" fontId="4" fillId="0" borderId="14" applyAlignment="1" pivotButton="0" quotePrefix="0" xfId="0">
      <alignment horizontal="left" vertical="bottom"/>
    </xf>
    <xf numFmtId="0" fontId="0" fillId="0" borderId="14" pivotButton="0" quotePrefix="0" xfId="0"/>
    <xf numFmtId="0" fontId="14" fillId="4" borderId="3" applyAlignment="1" pivotButton="0" quotePrefix="0" xfId="0">
      <alignment horizontal="left" vertical="center" indent="1"/>
    </xf>
    <xf numFmtId="167" fontId="8" fillId="5" borderId="3" applyAlignment="1" pivotButton="0" quotePrefix="0" xfId="0">
      <alignment horizontal="right" vertical="center"/>
    </xf>
    <xf numFmtId="9" fontId="8" fillId="5" borderId="3" applyAlignment="1" pivotButton="0" quotePrefix="0" xfId="0">
      <alignment horizontal="right" vertical="center"/>
    </xf>
    <xf numFmtId="168" fontId="8" fillId="5" borderId="3" applyAlignment="1" pivotButton="0" quotePrefix="0" xfId="0">
      <alignment horizontal="right" vertical="center"/>
    </xf>
    <xf numFmtId="169" fontId="5" fillId="4" borderId="3" applyAlignment="1" pivotButton="0" quotePrefix="0" xfId="0">
      <alignment horizontal="right" vertical="center"/>
    </xf>
    <xf numFmtId="167" fontId="14" fillId="5" borderId="15" applyAlignment="1" pivotButton="0" quotePrefix="0" xfId="0">
      <alignment horizontal="left" vertical="center" indent="1"/>
    </xf>
    <xf numFmtId="167" fontId="14" fillId="5" borderId="15" applyAlignment="1" pivotButton="0" quotePrefix="0" xfId="0">
      <alignment horizontal="right" vertical="center"/>
    </xf>
    <xf numFmtId="9" fontId="14" fillId="5" borderId="15" applyAlignment="1" pivotButton="0" quotePrefix="0" xfId="0">
      <alignment horizontal="right" vertical="center"/>
    </xf>
    <xf numFmtId="167" fontId="7" fillId="5" borderId="3" applyAlignment="1" pivotButton="0" quotePrefix="0" xfId="0">
      <alignment horizontal="right" vertical="center"/>
    </xf>
    <xf numFmtId="167" fontId="5" fillId="4" borderId="3" applyAlignment="1" pivotButton="0" quotePrefix="0" xfId="0">
      <alignment horizontal="right" vertical="center"/>
    </xf>
    <xf numFmtId="167" fontId="14" fillId="5" borderId="3" applyAlignment="1" pivotButton="0" quotePrefix="0" xfId="0">
      <alignment horizontal="right" vertical="center"/>
    </xf>
    <xf numFmtId="170" fontId="8" fillId="5" borderId="3" applyAlignment="1" pivotButton="0" quotePrefix="0" xfId="0">
      <alignment horizontal="right" vertical="center"/>
    </xf>
    <xf numFmtId="3" fontId="8" fillId="5" borderId="3" applyAlignment="1" pivotButton="0" quotePrefix="0" xfId="0">
      <alignment horizontal="left" vertical="center" indent="1"/>
    </xf>
    <xf numFmtId="9" fontId="8" fillId="5" borderId="3" applyAlignment="1" pivotButton="0" quotePrefix="0" xfId="0">
      <alignment horizontal="left" vertical="center" indent="1"/>
    </xf>
    <xf numFmtId="0" fontId="0" fillId="8" borderId="0" pivotButton="0" quotePrefix="0" xfId="0"/>
    <xf numFmtId="0" fontId="15" fillId="0" borderId="0" pivotButton="0" quotePrefix="0" xfId="0"/>
    <xf numFmtId="0" fontId="11" fillId="4" borderId="17" applyAlignment="1" pivotButton="0" quotePrefix="0" xfId="0">
      <alignment horizontal="left" vertical="bottom" indent="1"/>
    </xf>
    <xf numFmtId="0" fontId="0" fillId="0" borderId="18" pivotButton="0" quotePrefix="0" xfId="0"/>
    <xf numFmtId="0" fontId="0" fillId="0" borderId="19" pivotButton="0" quotePrefix="0" xfId="0"/>
    <xf numFmtId="0" fontId="11" fillId="4" borderId="22" applyAlignment="1" pivotButton="0" quotePrefix="0" xfId="0">
      <alignment horizontal="left" vertical="bottom" indent="1"/>
    </xf>
    <xf numFmtId="171" fontId="12" fillId="4" borderId="6" applyAlignment="1" pivotButton="0" quotePrefix="0" xfId="0">
      <alignment horizontal="left" vertical="center" indent="1"/>
    </xf>
    <xf numFmtId="172" fontId="12" fillId="4" borderId="6" applyAlignment="1" pivotButton="0" quotePrefix="0" xfId="0">
      <alignment horizontal="left" vertical="center" indent="1"/>
    </xf>
    <xf numFmtId="3" fontId="12" fillId="4" borderId="6" applyAlignment="1" pivotButton="0" quotePrefix="0" xfId="0">
      <alignment horizontal="left" vertical="center" indent="1"/>
    </xf>
    <xf numFmtId="173" fontId="12" fillId="4" borderId="6" applyAlignment="1" pivotButton="0" quotePrefix="0" xfId="0">
      <alignment horizontal="left" vertical="center" indent="1"/>
    </xf>
    <xf numFmtId="0" fontId="4" fillId="0" borderId="23" applyAlignment="1" pivotButton="0" quotePrefix="0" xfId="0">
      <alignment horizontal="left" vertical="bottom"/>
    </xf>
    <xf numFmtId="0" fontId="0" fillId="0" borderId="23" pivotButton="0" quotePrefix="0" xfId="0"/>
    <xf numFmtId="164" fontId="5" fillId="4" borderId="3" applyAlignment="1" pivotButton="0" quotePrefix="0" xfId="0">
      <alignment horizontal="center" vertical="center"/>
    </xf>
    <xf numFmtId="3" fontId="5" fillId="4" borderId="3" applyAlignment="1" pivotButton="0" quotePrefix="0" xfId="0">
      <alignment horizontal="center" vertical="center"/>
    </xf>
    <xf numFmtId="170" fontId="8" fillId="5" borderId="3" applyAlignment="1" pivotButton="0" quotePrefix="0" xfId="0">
      <alignment horizontal="center" vertical="center"/>
    </xf>
    <xf numFmtId="169" fontId="8" fillId="5" borderId="3" applyAlignment="1" pivotButton="0" quotePrefix="0" xfId="0">
      <alignment horizontal="center" vertical="center"/>
    </xf>
    <xf numFmtId="170" fontId="14" fillId="5" borderId="3" applyAlignment="1" pivotButton="0" quotePrefix="0" xfId="0">
      <alignment horizontal="center" vertical="center"/>
    </xf>
    <xf numFmtId="169" fontId="14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26" pivotButton="0" quotePrefix="0" xfId="0"/>
    <xf numFmtId="9" fontId="5" fillId="5" borderId="3" applyAlignment="1" pivotButton="0" quotePrefix="0" xfId="0">
      <alignment horizontal="center" vertical="center"/>
    </xf>
    <xf numFmtId="9" fontId="14" fillId="5" borderId="3" applyAlignment="1" pivotButton="0" quotePrefix="0" xfId="0">
      <alignment horizontal="center" vertical="center"/>
    </xf>
    <xf numFmtId="0" fontId="14" fillId="0" borderId="26" pivotButton="0" quotePrefix="0" xfId="0"/>
    <xf numFmtId="0" fontId="14" fillId="9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4" fillId="0" borderId="33" applyAlignment="1" pivotButton="0" quotePrefix="0" xfId="0">
      <alignment horizontal="left" vertical="bottom"/>
    </xf>
    <xf numFmtId="0" fontId="0" fillId="0" borderId="33" pivotButton="0" quotePrefix="0" xfId="0"/>
    <xf numFmtId="0" fontId="18" fillId="4" borderId="3" applyAlignment="1" pivotButton="0" quotePrefix="0" xfId="0">
      <alignment horizontal="left" vertical="center" wrapText="1" indent="1"/>
    </xf>
    <xf numFmtId="1" fontId="4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 indent="1"/>
    </xf>
    <xf numFmtId="165" fontId="18" fillId="4" borderId="3" applyAlignment="1" pivotButton="0" quotePrefix="0" xfId="0">
      <alignment horizontal="left" vertical="center" wrapText="1" indent="1"/>
    </xf>
    <xf numFmtId="177" fontId="18" fillId="4" borderId="3" applyAlignment="1" pivotButton="0" quotePrefix="0" xfId="0">
      <alignment horizontal="left" vertical="center" wrapText="1" indent="1"/>
    </xf>
    <xf numFmtId="9" fontId="4" fillId="5" borderId="3" applyAlignment="1" pivotButton="0" quotePrefix="0" xfId="0">
      <alignment horizontal="center" vertical="center"/>
    </xf>
    <xf numFmtId="178" fontId="4" fillId="5" borderId="3" applyAlignment="1" pivotButton="0" quotePrefix="0" xfId="0">
      <alignment horizontal="center" vertical="center"/>
    </xf>
    <xf numFmtId="179" fontId="4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77" fontId="5" fillId="4" borderId="3" applyAlignment="1" pivotButton="0" quotePrefix="0" xfId="0">
      <alignment horizontal="right" vertical="center"/>
    </xf>
    <xf numFmtId="0" fontId="0" fillId="12" borderId="0" pivotButton="0" quotePrefix="0" xfId="0"/>
    <xf numFmtId="0" fontId="11" fillId="4" borderId="34" applyAlignment="1" pivotButton="0" quotePrefix="0" xfId="0">
      <alignment horizontal="left" vertical="bottom" indent="1"/>
    </xf>
    <xf numFmtId="0" fontId="11" fillId="4" borderId="35" applyAlignment="1" pivotButton="0" quotePrefix="0" xfId="0">
      <alignment horizontal="left" vertical="bottom" indent="1"/>
    </xf>
    <xf numFmtId="0" fontId="0" fillId="0" borderId="36" pivotButton="0" quotePrefix="0" xfId="0"/>
    <xf numFmtId="0" fontId="0" fillId="0" borderId="37" pivotButton="0" quotePrefix="0" xfId="0"/>
    <xf numFmtId="0" fontId="20" fillId="4" borderId="6" applyAlignment="1" pivotButton="0" quotePrefix="0" xfId="0">
      <alignment horizontal="left" vertical="center" indent="1"/>
    </xf>
    <xf numFmtId="0" fontId="4" fillId="0" borderId="38" applyAlignment="1" pivotButton="0" quotePrefix="0" xfId="0">
      <alignment horizontal="left" vertical="bottom"/>
    </xf>
    <xf numFmtId="0" fontId="0" fillId="0" borderId="38" pivotButton="0" quotePrefix="0" xfId="0"/>
    <xf numFmtId="1" fontId="8" fillId="5" borderId="3" applyAlignment="1" pivotButton="0" quotePrefix="0" xfId="0">
      <alignment horizontal="center" vertical="center"/>
    </xf>
    <xf numFmtId="0" fontId="11" fillId="4" borderId="39" applyAlignment="1" pivotButton="0" quotePrefix="0" xfId="0">
      <alignment horizontal="left" vertical="bottom" indent="1"/>
    </xf>
    <xf numFmtId="0" fontId="11" fillId="4" borderId="40" applyAlignment="1" pivotButton="0" quotePrefix="0" xfId="0">
      <alignment horizontal="left" vertical="bottom" indent="1"/>
    </xf>
    <xf numFmtId="0" fontId="0" fillId="0" borderId="41" pivotButton="0" quotePrefix="0" xfId="0"/>
    <xf numFmtId="0" fontId="0" fillId="0" borderId="42" pivotButton="0" quotePrefix="0" xfId="0"/>
    <xf numFmtId="171" fontId="12" fillId="4" borderId="11" applyAlignment="1" pivotButton="0" quotePrefix="0" xfId="0">
      <alignment horizontal="left" vertical="center" indent="1"/>
    </xf>
    <xf numFmtId="180" fontId="12" fillId="4" borderId="6" applyAlignment="1" pivotButton="0" quotePrefix="0" xfId="0">
      <alignment horizontal="left" vertical="center" indent="1"/>
    </xf>
    <xf numFmtId="3" fontId="5" fillId="4" borderId="3" applyAlignment="1" pivotButton="0" quotePrefix="0" xfId="0">
      <alignment horizontal="right" vertical="center"/>
    </xf>
    <xf numFmtId="0" fontId="0" fillId="13" borderId="0" pivotButton="0" quotePrefix="0" xfId="0"/>
    <xf numFmtId="0" fontId="11" fillId="4" borderId="43" applyAlignment="1" pivotButton="0" quotePrefix="0" xfId="0">
      <alignment horizontal="left" vertical="bottom" indent="1"/>
    </xf>
    <xf numFmtId="0" fontId="11" fillId="4" borderId="44" applyAlignment="1" pivotButton="0" quotePrefix="0" xfId="0">
      <alignment horizontal="left" vertical="bottom" indent="1"/>
    </xf>
    <xf numFmtId="0" fontId="0" fillId="0" borderId="45" pivotButton="0" quotePrefix="0" xfId="0"/>
    <xf numFmtId="0" fontId="4" fillId="0" borderId="46" applyAlignment="1" pivotButton="0" quotePrefix="0" xfId="0">
      <alignment horizontal="left" vertical="bottom"/>
    </xf>
    <xf numFmtId="0" fontId="0" fillId="0" borderId="46" pivotButton="0" quotePrefix="0" xfId="0"/>
    <xf numFmtId="181" fontId="8" fillId="5" borderId="3" applyAlignment="1" pivotButton="0" quotePrefix="0" xfId="0">
      <alignment horizontal="righ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5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 indent="1"/>
    </xf>
    <xf numFmtId="0" fontId="14" fillId="4" borderId="3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indent="1"/>
    </xf>
    <xf numFmtId="0" fontId="14" fillId="9" borderId="3" applyAlignment="1" pivotButton="0" quotePrefix="0" xfId="0">
      <alignment horizontal="left" vertical="center" indent="1"/>
    </xf>
    <xf numFmtId="0" fontId="14" fillId="16" borderId="3" applyAlignment="1" pivotButton="0" quotePrefix="0" xfId="0">
      <alignment horizontal="left" vertical="center" indent="1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0" borderId="3" pivotButton="0" quotePrefix="0" xfId="0"/>
    <xf numFmtId="1" fontId="6" fillId="4" borderId="2" applyAlignment="1" pivotButton="0" quotePrefix="0" xfId="0">
      <alignment horizontal="center" vertical="center"/>
    </xf>
    <xf numFmtId="9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0" fontId="8" fillId="0" borderId="0" pivotButton="0" quotePrefix="0" xfId="0"/>
    <xf numFmtId="183" fontId="8" fillId="5" borderId="3" applyAlignment="1" pivotButton="0" quotePrefix="0" xfId="0">
      <alignment horizontal="center" vertical="center"/>
    </xf>
    <xf numFmtId="184" fontId="8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 wrapText="1" indent="1"/>
    </xf>
    <xf numFmtId="0" fontId="6" fillId="5" borderId="3" applyAlignment="1" pivotButton="0" quotePrefix="0" xfId="0">
      <alignment horizontal="left" vertical="center" indent="1"/>
    </xf>
    <xf numFmtId="1" fontId="6" fillId="5" borderId="3" applyAlignment="1" pivotButton="0" quotePrefix="0" xfId="0">
      <alignment horizontal="center" vertical="center"/>
    </xf>
    <xf numFmtId="184" fontId="6" fillId="5" borderId="3" applyAlignment="1" pivotButton="0" quotePrefix="0" xfId="0">
      <alignment horizontal="center" vertical="center"/>
    </xf>
    <xf numFmtId="185" fontId="8" fillId="5" borderId="3" applyAlignment="1" pivotButton="0" quotePrefix="0" xfId="0">
      <alignment horizontal="center" vertical="center"/>
    </xf>
    <xf numFmtId="187" fontId="8" fillId="5" borderId="3" applyAlignment="1" pivotButton="0" quotePrefix="0" xfId="0">
      <alignment horizontal="center" vertical="center"/>
    </xf>
    <xf numFmtId="186" fontId="8" fillId="5" borderId="3" applyAlignment="1" pivotButton="0" quotePrefix="0" xfId="0">
      <alignment horizontal="center" vertical="center"/>
    </xf>
    <xf numFmtId="4" fontId="8" fillId="5" borderId="3" applyAlignment="1" pivotButton="0" quotePrefix="0" xfId="0">
      <alignment horizontal="center" vertical="center"/>
    </xf>
    <xf numFmtId="188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left" vertical="center"/>
    </xf>
    <xf numFmtId="1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 wrapText="1"/>
    </xf>
  </cellXfs>
  <cellStyles count="1">
    <cellStyle name="Normal" xfId="0" builtinId="0" hidden="0"/>
  </cellStyles>
  <dxfs count="24">
    <dxf>
      <font>
        <color rgb="00006300"/>
      </font>
    </dxf>
    <dxf>
      <font>
        <color rgb="00B42323"/>
      </font>
    </dxf>
    <dxf>
      <font>
        <color rgb="00006300"/>
      </font>
      <fill>
        <patternFill patternType="solid">
          <fgColor rgb="00E3F4E3"/>
          <bgColor rgb="00E3F4E3"/>
        </patternFill>
      </fill>
    </dxf>
    <dxf>
      <font>
        <color rgb="008A5A00"/>
      </font>
      <fill>
        <patternFill patternType="solid">
          <fgColor rgb="00FEF3D6"/>
          <bgColor rgb="00FEF3D6"/>
        </patternFill>
      </fill>
    </dxf>
    <dxf>
      <font>
        <color rgb="00B42323"/>
      </font>
      <fill>
        <patternFill patternType="solid">
          <fgColor rgb="00FBE4E4"/>
          <bgColor rgb="00FBE4E4"/>
        </patternFill>
      </fill>
    </dxf>
    <dxf>
      <font>
        <b val="1"/>
        <color rgb="00006300"/>
      </font>
    </dxf>
    <dxf>
      <font>
        <b val="1"/>
        <color rgb="008A5A00"/>
      </font>
    </dxf>
    <dxf>
      <font>
        <b val="1"/>
        <color rgb="00B42323"/>
      </font>
    </dxf>
    <dxf>
      <font>
        <b val="1"/>
        <color rgb="00898781"/>
      </font>
    </dxf>
    <dxf>
      <font>
        <b val="1"/>
        <color rgb="008A5A00"/>
      </font>
      <fill>
        <patternFill patternType="solid">
          <fgColor rgb="00FEF3D6"/>
          <bgColor rgb="00FEF3D6"/>
        </patternFill>
      </fill>
    </dxf>
    <dxf>
      <border>
        <left style="medium">
          <color rgb="000B0B0B"/>
        </left>
        <right style="medium">
          <color rgb="000B0B0B"/>
        </right>
      </border>
    </dxf>
    <dxf>
      <fill>
        <patternFill patternType="solid">
          <fgColor rgb="00FFF4CC"/>
          <bgColor rgb="00FFF4CC"/>
        </patternFill>
      </fill>
    </dxf>
    <dxf>
      <font>
        <strike val="1"/>
        <color rgb="00898781"/>
      </font>
    </dxf>
    <dxf>
      <font>
        <i val="1"/>
        <color rgb="004A3AA7"/>
      </font>
    </dxf>
    <dxf>
      <fill>
        <patternFill patternType="solid">
          <fgColor rgb="00FEF3D6"/>
          <bgColor rgb="00FEF3D6"/>
        </patternFill>
      </fill>
    </dxf>
    <dxf>
      <font>
        <b val="1"/>
      </font>
    </dxf>
    <dxf>
      <fill>
        <patternFill patternType="solid">
          <fgColor rgb="00FAFAF8"/>
          <bgColor rgb="00FAFAF8"/>
        </patternFill>
      </fill>
    </dxf>
    <dxf>
      <font>
        <b val="1"/>
        <color rgb="002A78D6"/>
      </font>
    </dxf>
    <dxf>
      <font>
        <b val="1"/>
      </font>
      <fill>
        <patternFill patternType="solid">
          <fgColor rgb="00FFF4CC"/>
          <bgColor rgb="00FFF4CC"/>
        </patternFill>
      </fill>
    </dxf>
    <dxf>
      <font>
        <color rgb="00898781"/>
      </font>
    </dxf>
    <dxf>
      <font>
        <b val="1"/>
        <color rgb="00FFFFFF"/>
      </font>
      <fill>
        <patternFill patternType="solid">
          <fgColor rgb="00EB6834"/>
          <bgColor rgb="00EB6834"/>
        </patternFill>
      </fill>
    </dxf>
    <dxf>
      <font>
        <b val="1"/>
        <color rgb="004A3AA7"/>
      </font>
    </dxf>
    <dxf>
      <font>
        <strike val="1"/>
        <color rgb="00006300"/>
      </font>
    </dxf>
    <dxf>
      <font>
        <b val="1"/>
        <color rgb="00E87BA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Roda da Vida</a:t>
            </a:r>
          </a:p>
        </rich>
      </tx>
      <overlay val="0"/>
    </title>
    <plotArea>
      <radarChart>
        <radarStyle val="marker"/>
        <ser>
          <idx val="0"/>
          <order val="0"/>
          <tx>
            <strRef>
              <f>'Cálculos'!H4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5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'Cálculos'!$H$5:$H$15</f>
            </numRef>
          </val>
        </ser>
        <ser>
          <idx val="1"/>
          <order val="1"/>
          <tx>
            <strRef>
              <f>'Cálculos'!I4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circle"/>
            <size val="5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'Cálculos'!$I$5:$I$15</f>
            </numRef>
          </val>
        </ser>
        <ser>
          <idx val="2"/>
          <order val="2"/>
          <tx>
            <strRef>
              <f>'Cálculos'!J4</f>
            </strRef>
          </tx>
          <spPr>
            <a:ln w="15000">
              <a:solidFill>
                <a:srgbClr val="898781"/>
              </a:solidFill>
              <a:prstDash val="dash"/>
            </a:ln>
          </spPr>
          <marker>
            <symbol val="none"/>
            <size val="5"/>
            <spPr>
              <a:solidFill>
                <a:srgbClr val="898781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'Cálculos'!$J$5:$J$15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75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75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7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700">
              <a:solidFill>
                <a:srgbClr val="898781"/>
              </a:solidFill>
              <a:latin typeface="Arial"/>
            </a:endParaRPr>
          </a:p>
        </txPr>
        <crossAx val="10"/>
        <majorUnit val="2"/>
      </valAx>
    </plotArea>
    <legend>
      <legendPos val="b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Receitas × despesas por mês (€)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'Cálculos'!C19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'Cálculos'!$C$20:$C$31</f>
            </numRef>
          </val>
        </ser>
        <ser>
          <idx val="1"/>
          <order val="1"/>
          <tx>
            <strRef>
              <f>'Cálculos'!D19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'Cálculos'!$D$20:$D$31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Despesas do mês por categoria (top 8, €)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Despesa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'Cálculos'!$G$36:$G$43</f>
            </numRef>
          </cat>
          <val>
            <numRef>
              <f>'Cálculos'!$I$36:$I$43</f>
            </numRef>
          </val>
        </ser>
        <dLbls>
          <numFmt formatCode="#,##0"/>
          <txPr>
            <a:bodyPr/>
            <a:p>
              <a:pPr>
                <a:defRPr sz="750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750">
                <a:solidFill>
                  <a:srgbClr val="52514E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Patrimônio líquido no fim do mês (€)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Patrimônio</v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'Cálculos'!$H$20:$H$31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Taxa de poupança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Taxa de poupança</v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'Cálculos'!$G$20:$G$31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Sono médio por mês (h)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Sono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'Cálculos'!$I$20:$I$31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Treinos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Treinos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'Cálculos'!$J$20:$J$31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Hábitos no mês de referência · % da meta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da meta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'Cálculos'!$B$65:$B$74</f>
            </numRef>
          </cat>
          <val>
            <numRef>
              <f>'Cálculos'!$C$65:$C$74</f>
            </numRef>
          </val>
        </ser>
        <dLbls>
          <numFmt formatCode="0%"/>
          <txPr>
            <a:bodyPr/>
            <a:p>
              <a:pPr>
                <a:defRPr sz="750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750">
                <a:solidFill>
                  <a:srgbClr val="52514E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Consistência de hábitos por mês (% de marcações possíveis)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Hábitos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'Cálculos'!$L$20:$L$31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Metas: progresso × esperado pelo tempo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Progresso</v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'Cálculos'!$C$91:$C$98</f>
            </numRef>
          </cat>
          <val>
            <numRef>
              <f>'Cálculos'!$E$91:$E$98</f>
            </numRef>
          </val>
        </ser>
        <ser>
          <idx val="1"/>
          <order val="1"/>
          <tx>
            <v>Esperado hoje</v>
          </tx>
          <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spPr>
          <cat>
            <numRef>
              <f>'Cálculos'!$C$91:$C$98</f>
            </numRef>
          </cat>
          <val>
            <numRef>
              <f>'Cálculos'!$F$91:$F$98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Horas de estudo e de lazer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'Cálculos'!M19</f>
            </strRef>
          </tx>
          <spPr>
            <a:solidFill>
              <a:srgbClr val="4A3AA7"/>
            </a:solidFill>
            <a:ln>
              <a:solidFill>
                <a:srgbClr val="4A3AA7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'Cálculos'!$M$20:$M$31</f>
            </numRef>
          </val>
        </ser>
        <ser>
          <idx val="1"/>
          <order val="1"/>
          <tx>
            <strRef>
              <f>'Cálculos'!N19</f>
            </strRef>
          </tx>
          <spPr>
            <a:solidFill>
              <a:srgbClr val="E87BA4"/>
            </a:solidFill>
            <a:ln>
              <a:solidFill>
                <a:srgbClr val="E87BA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'Cálculos'!$N$20:$N$31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60000</colOff>
      <row>21</row>
      <rowOff>40000</rowOff>
    </from>
    <to>
      <col>29</col>
      <colOff>0</colOff>
      <row>35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60000</colOff>
      <row>78</row>
      <rowOff>40000</rowOff>
    </from>
    <to>
      <col>15</col>
      <colOff>0</colOff>
      <row>94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60000</colOff>
      <row>78</row>
      <rowOff>40000</rowOff>
    </from>
    <to>
      <col>29</col>
      <colOff>0</colOff>
      <row>94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60000</colOff>
      <row>99</row>
      <rowOff>40000</rowOff>
    </from>
    <to>
      <col>15</col>
      <colOff>0</colOff>
      <row>115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15</col>
      <colOff>60000</colOff>
      <row>99</row>
      <rowOff>40000</rowOff>
    </from>
    <to>
      <col>29</col>
      <colOff>0</colOff>
      <row>115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</col>
      <colOff>60000</colOff>
      <row>123</row>
      <rowOff>40000</rowOff>
    </from>
    <to>
      <col>15</col>
      <colOff>0</colOff>
      <row>139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15</col>
      <colOff>60000</colOff>
      <row>123</row>
      <rowOff>40000</rowOff>
    </from>
    <to>
      <col>29</col>
      <colOff>0</colOff>
      <row>139</row>
      <rowOff>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</col>
      <colOff>60000</colOff>
      <row>139</row>
      <rowOff>40000</rowOff>
    </from>
    <to>
      <col>15</col>
      <colOff>0</colOff>
      <row>155</row>
      <rowOff>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15</col>
      <colOff>60000</colOff>
      <row>139</row>
      <rowOff>40000</rowOff>
    </from>
    <to>
      <col>29</col>
      <colOff>0</colOff>
      <row>155</row>
      <rowOff>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</col>
      <colOff>60000</colOff>
      <row>156</row>
      <rowOff>40000</rowOff>
    </from>
    <to>
      <col>15</col>
      <colOff>0</colOff>
      <row>172</row>
      <rowOff>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15</col>
      <colOff>60000</colOff>
      <row>156</row>
      <rowOff>40000</rowOff>
    </from>
    <to>
      <col>29</col>
      <colOff>0</colOff>
      <row>172</row>
      <rowOff>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430"/>
    <outlinePr summaryBelow="1" summaryRight="1"/>
    <pageSetUpPr fitToPage="1"/>
  </sheetPr>
  <dimension ref="A1:AD176"/>
  <sheetViews>
    <sheetView showGridLines="0" tabSelected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.9" customWidth="1" min="2" max="2"/>
    <col width="4.9" customWidth="1" min="3" max="3"/>
    <col width="4.9" customWidth="1" min="4" max="4"/>
    <col width="4.9" customWidth="1" min="5" max="5"/>
    <col width="4.9" customWidth="1" min="6" max="6"/>
    <col width="4.9" customWidth="1" min="7" max="7"/>
    <col width="4.9" customWidth="1" min="8" max="8"/>
    <col width="4.9" customWidth="1" min="9" max="9"/>
    <col width="4.9" customWidth="1" min="10" max="10"/>
    <col width="4.9" customWidth="1" min="11" max="11"/>
    <col width="4.9" customWidth="1" min="12" max="12"/>
    <col width="4.9" customWidth="1" min="13" max="13"/>
    <col width="4.9" customWidth="1" min="14" max="14"/>
    <col width="4.9" customWidth="1" min="15" max="15"/>
    <col width="4.9" customWidth="1" min="16" max="16"/>
    <col width="4.9" customWidth="1" min="17" max="17"/>
    <col width="4.9" customWidth="1" min="18" max="18"/>
    <col width="4.9" customWidth="1" min="19" max="19"/>
    <col width="4.9" customWidth="1" min="20" max="20"/>
    <col width="4.9" customWidth="1" min="21" max="21"/>
    <col width="4.9" customWidth="1" min="22" max="22"/>
    <col width="4.9" customWidth="1" min="23" max="23"/>
    <col width="4.9" customWidth="1" min="24" max="24"/>
    <col width="4.9" customWidth="1" min="25" max="25"/>
    <col width="4.9" customWidth="1" min="26" max="26"/>
    <col width="4.9" customWidth="1" min="27" max="27"/>
    <col width="4.9" customWidth="1" min="28" max="28"/>
    <col width="4.9" customWidth="1" min="29" max="29"/>
    <col width="2" customWidth="1" min="30" max="30"/>
  </cols>
  <sheetData>
    <row r="1" ht="38" customHeight="1">
      <c r="A1" s="1" t="n"/>
      <c r="B1" s="2" t="str">
        <f>IF(Nome="","PAINEL DA VIDA","PAINEL DA VIDA · "&amp;UPPER(Nome))</f>
        <v>PAINEL DA VIDA</v>
      </c>
      <c r="T1" s="3" t="inlineStr">
        <is>
          <t>MÊS DE REFERÊNCIA ▸</t>
        </is>
      </c>
      <c r="Z1" s="4" t="inlineStr">
        <is>
          <t>Mês atual</t>
        </is>
      </c>
      <c r="AA1" s="5" t="n"/>
      <c r="AB1" s="5" t="n"/>
      <c r="AC1" s="6" t="n"/>
      <c r="AD1" s="1" t="n"/>
    </row>
    <row r="2" ht="20" customHeight="1">
      <c r="A2" s="1" t="n"/>
      <c r="B2" s="7" t="str">
        <f>"Visão integrada de "&amp;RotuloMes&amp;"  ·  hoje: "&amp;DAY(Hoje)&amp;"/"&amp;MONTH(Hoje)&amp;"/"&amp;YEAR(Hoje)&amp;"  ·  dados até "&amp;DAY(Corte)&amp;"/"&amp;MONTH(Corte)</f>
        <v>Visão integrada de Outubro 2026  ·  hoje: 2/10/2026  ·  dados até 2/10</v>
      </c>
      <c r="T2" s="8" t="str">
        <f>IF('Cálculos'!$C$165="","","Tema do ano: "&amp;'Cálculos'!$C$165)</f>
        <v/>
      </c>
      <c r="AD2" s="1" t="n"/>
    </row>
    <row r="3" ht="20" customHeight="1">
      <c r="A3" s="9" t="n"/>
      <c r="B3" s="10" t="inlineStr">
        <is>
          <t>Roda</t>
        </is>
      </c>
      <c r="C3" s="11" t="n"/>
      <c r="D3" s="10" t="inlineStr">
        <is>
          <t>Metas</t>
        </is>
      </c>
      <c r="E3" s="11" t="n"/>
      <c r="F3" s="10" t="inlineStr">
        <is>
          <t>Tarefas</t>
        </is>
      </c>
      <c r="G3" s="11" t="n"/>
      <c r="H3" s="12" t="inlineStr">
        <is>
          <t>Finanças</t>
        </is>
      </c>
      <c r="I3" s="13" t="n"/>
      <c r="J3" s="12" t="inlineStr">
        <is>
          <t>Orçamento</t>
        </is>
      </c>
      <c r="K3" s="13" t="n"/>
      <c r="L3" s="14" t="inlineStr">
        <is>
          <t>Saúde</t>
        </is>
      </c>
      <c r="M3" s="15" t="n"/>
      <c r="N3" s="14" t="inlineStr">
        <is>
          <t>Hábitos</t>
        </is>
      </c>
      <c r="O3" s="15" t="n"/>
      <c r="P3" s="16" t="inlineStr">
        <is>
          <t>Carreira</t>
        </is>
      </c>
      <c r="Q3" s="17" t="n"/>
      <c r="R3" s="18" t="inlineStr">
        <is>
          <t>Relações</t>
        </is>
      </c>
      <c r="S3" s="19" t="n"/>
      <c r="T3" s="16" t="inlineStr">
        <is>
          <t>Estudo</t>
        </is>
      </c>
      <c r="U3" s="17" t="n"/>
      <c r="V3" s="18" t="inlineStr">
        <is>
          <t>Lazer</t>
        </is>
      </c>
      <c r="W3" s="19" t="n"/>
      <c r="X3" s="20" t="inlineStr">
        <is>
          <t>Casa</t>
        </is>
      </c>
      <c r="Y3" s="21" t="n"/>
      <c r="Z3" s="22" t="inlineStr">
        <is>
          <t>Guia</t>
        </is>
      </c>
      <c r="AA3" s="23" t="n"/>
      <c r="AB3" s="22" t="inlineStr">
        <is>
          <t>Config</t>
        </is>
      </c>
      <c r="AC3" s="23" t="n"/>
      <c r="AD3" s="9" t="n"/>
    </row>
    <row r="4" ht="1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</row>
    <row r="5" ht="22" customHeight="1">
      <c r="A5" s="9" t="n"/>
      <c r="B5" s="24" t="str">
        <f>"VISÃO GERAL · "&amp;UPPER(RotuloMes)</f>
        <v>VISÃO GERAL · OUTUBRO 2026</v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9" t="n"/>
    </row>
    <row r="6" ht="15" customHeight="1">
      <c r="A6" s="9" t="n"/>
      <c r="B6" s="26" t="inlineStr">
        <is>
          <t>ÍNDICE DE VIDA · DADOS</t>
        </is>
      </c>
      <c r="C6" s="27" t="n"/>
      <c r="D6" s="27" t="n"/>
      <c r="E6" s="27" t="n"/>
      <c r="F6" s="27" t="n"/>
      <c r="G6" s="28" t="n"/>
      <c r="H6" s="9" t="n"/>
      <c r="I6" s="29" t="inlineStr">
        <is>
          <t>METAS NO RITMO</t>
        </is>
      </c>
      <c r="J6" s="27" t="n"/>
      <c r="K6" s="27" t="n"/>
      <c r="L6" s="27" t="n"/>
      <c r="M6" s="27" t="n"/>
      <c r="N6" s="28" t="n"/>
      <c r="O6" s="9" t="n"/>
      <c r="P6" s="29" t="inlineStr">
        <is>
          <t>TAREFAS ATRASADAS</t>
        </is>
      </c>
      <c r="Q6" s="27" t="n"/>
      <c r="R6" s="27" t="n"/>
      <c r="S6" s="27" t="n"/>
      <c r="T6" s="27" t="n"/>
      <c r="U6" s="28" t="n"/>
      <c r="V6" s="9" t="n"/>
      <c r="W6" s="29" t="inlineStr">
        <is>
          <t>PRÓXIMOS 7 DIAS</t>
        </is>
      </c>
      <c r="X6" s="27" t="n"/>
      <c r="Y6" s="27" t="n"/>
      <c r="Z6" s="27" t="n"/>
      <c r="AA6" s="27" t="n"/>
      <c r="AB6" s="28" t="n"/>
      <c r="AC6" s="9" t="n"/>
      <c r="AD6" s="9" t="n"/>
    </row>
    <row r="7" ht="30" customHeight="1">
      <c r="A7" s="9" t="n"/>
      <c r="B7" s="30" t="str">
        <f>IF(ISNUMBER('Cálculos'!$H$16),'Cálculos'!$H$16,"–")</f>
        <v>–</v>
      </c>
      <c r="C7" s="31" t="n"/>
      <c r="D7" s="31" t="n"/>
      <c r="E7" s="31" t="n"/>
      <c r="F7" s="31" t="n"/>
      <c r="G7" s="32" t="n"/>
      <c r="H7" s="9" t="n"/>
      <c r="I7" s="33" t="str">
        <f>IF('Metas'!$C$11=0,"–",'Metas'!$D$11&amp;" de "&amp;'Metas'!$C$11)</f>
        <v>–</v>
      </c>
      <c r="J7" s="31" t="n"/>
      <c r="K7" s="31" t="n"/>
      <c r="L7" s="31" t="n"/>
      <c r="M7" s="31" t="n"/>
      <c r="N7" s="32" t="n"/>
      <c r="O7" s="9" t="n"/>
      <c r="P7" s="34">
        <f>'Tarefas'!$C$6</f>
        <v>0</v>
      </c>
      <c r="Q7" s="31" t="n"/>
      <c r="R7" s="31" t="n"/>
      <c r="S7" s="31" t="n"/>
      <c r="T7" s="31" t="n"/>
      <c r="U7" s="32" t="n"/>
      <c r="V7" s="9" t="n"/>
      <c r="W7" s="35">
        <f>'Tarefas'!$E$6+COUNTIFS('Relações'!$K$10:$K$69,"&gt;=0",'Relações'!$K$10:$K$69,"&lt;=7")+COUNTIFS('Casa'!$N$11:$N$101,"&gt;=0",'Casa'!$N$11:$N$101,"&lt;8")+COUNTIFS('Saúde'!$W$27:$W$56,"&gt;=0",'Saúde'!$W$27:$W$56,"&lt;=7")</f>
        <v>0</v>
      </c>
      <c r="X7" s="31" t="n"/>
      <c r="Y7" s="31" t="n"/>
      <c r="Z7" s="31" t="n"/>
      <c r="AA7" s="31" t="n"/>
      <c r="AB7" s="32" t="n"/>
      <c r="AC7" s="9" t="n"/>
      <c r="AD7" s="9" t="n"/>
    </row>
    <row r="8" ht="26" customHeight="1">
      <c r="A8" s="9" t="n"/>
      <c r="B8" s="36" t="str">
        <f>IF(AND(ISNUMBER('Cálculos'!$H$16),ISNUMBER('Cálculos'!$I$16)),IF(ABS('Cálculos'!$I$16*10-'Cálculos'!$H$16)&lt;=10,"✔ ","▲ "),"")&amp;"Percepção "&amp;IF(ISNUMBER('Cálculos'!$I$16),FIXED('Cálculos'!$I$16,1)&amp;"/10","–")&amp;IF(AND(ISNUMBER('Cálculos'!$H$16),ISNUMBER('Cálculos'!$I$16)),IF(ABS('Cálculos'!$I$16*10-'Cálculos'!$H$16)&lt;=10," · alinhada aos dados",IF('Cálculos'!$I$16*10&gt;'Cálculos'!$H$16," · acima dos dados"," · abaixo dos dados")),"")</f>
        <v>Percepção –</v>
      </c>
      <c r="C8" s="37" t="n"/>
      <c r="D8" s="37" t="n"/>
      <c r="E8" s="37" t="n"/>
      <c r="F8" s="37" t="n"/>
      <c r="G8" s="38" t="n"/>
      <c r="H8" s="9" t="n"/>
      <c r="I8" s="39" t="str">
        <f>IF('Metas'!$C$11=0,"○ Cadastre suas metas na aba Metas",IF('Metas'!$I$11&gt;0,"▲ "&amp;'Metas'!$I$11&amp;" atrasada(s) · ","✔ ")&amp;"progresso médio "&amp;IF(ISNUMBER('Metas'!$L$11),ROUND('Metas'!$L$11*100,0)&amp;"%","–"))</f>
        <v>○ Cadastre suas metas na aba Metas</v>
      </c>
      <c r="J8" s="37" t="n"/>
      <c r="K8" s="37" t="n"/>
      <c r="L8" s="37" t="n"/>
      <c r="M8" s="37" t="n"/>
      <c r="N8" s="38" t="n"/>
      <c r="O8" s="9" t="n"/>
      <c r="P8" s="39" t="str">
        <f>IF('Tarefas'!$C$6&gt;0,"✖ ","✔ ")&amp;'Tarefas'!$B$6&amp;" abertas · "&amp;'Tarefas'!$H$6&amp;" concluídas no mês"</f>
        <v>✔ 0 abertas · 0 concluídas no mês</v>
      </c>
      <c r="Q8" s="37" t="n"/>
      <c r="R8" s="37" t="n"/>
      <c r="S8" s="37" t="n"/>
      <c r="T8" s="37" t="n"/>
      <c r="U8" s="38" t="n"/>
      <c r="V8" s="9" t="n"/>
      <c r="W8" s="39" t="str">
        <f>'Tarefas'!$E$6&amp;" tarefa(s) · "&amp;COUNTIFS('Relações'!$K$10:$K$69,"&gt;=0",'Relações'!$K$10:$K$69,"&lt;=7")&amp;" aniversário(s) · "&amp;COUNTIFS('Casa'!$N$11:$N$101,"&gt;=0",'Casa'!$N$11:$N$101,"&lt;8")&amp;" vencimento(s) · "&amp;COUNTIFS('Saúde'!$W$27:$W$56,"&gt;=0",'Saúde'!$W$27:$W$56,"&lt;=7")&amp;" consulta(s)"</f>
        <v>0 tarefa(s) · 0 aniversário(s) · 0 vencimento(s) · 0 consulta(s)</v>
      </c>
      <c r="X8" s="37" t="n"/>
      <c r="Y8" s="37" t="n"/>
      <c r="Z8" s="37" t="n"/>
      <c r="AA8" s="37" t="n"/>
      <c r="AB8" s="38" t="n"/>
      <c r="AC8" s="9" t="n"/>
      <c r="AD8" s="9" t="n"/>
    </row>
    <row r="9" ht="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 ht="15" customHeight="1">
      <c r="A10" s="9" t="n"/>
      <c r="B10" s="40" t="inlineStr">
        <is>
          <t>RESULTADO DO MÊS</t>
        </is>
      </c>
      <c r="C10" s="27" t="n"/>
      <c r="D10" s="27" t="n"/>
      <c r="E10" s="27" t="n"/>
      <c r="F10" s="27" t="n"/>
      <c r="G10" s="28" t="n"/>
      <c r="H10" s="9" t="n"/>
      <c r="I10" s="40" t="inlineStr">
        <is>
          <t>TAXA DE POUPANÇA</t>
        </is>
      </c>
      <c r="J10" s="27" t="n"/>
      <c r="K10" s="27" t="n"/>
      <c r="L10" s="27" t="n"/>
      <c r="M10" s="27" t="n"/>
      <c r="N10" s="28" t="n"/>
      <c r="O10" s="9" t="n"/>
      <c r="P10" s="40" t="inlineStr">
        <is>
          <t>PATRIMÔNIO LÍQUIDO</t>
        </is>
      </c>
      <c r="Q10" s="27" t="n"/>
      <c r="R10" s="27" t="n"/>
      <c r="S10" s="27" t="n"/>
      <c r="T10" s="27" t="n"/>
      <c r="U10" s="28" t="n"/>
      <c r="V10" s="9" t="n"/>
      <c r="W10" s="40" t="inlineStr">
        <is>
          <t>RESERVA DE EMERGÊNCIA</t>
        </is>
      </c>
      <c r="X10" s="27" t="n"/>
      <c r="Y10" s="27" t="n"/>
      <c r="Z10" s="27" t="n"/>
      <c r="AA10" s="27" t="n"/>
      <c r="AB10" s="28" t="n"/>
      <c r="AC10" s="9" t="n"/>
      <c r="AD10" s="9" t="n"/>
    </row>
    <row r="11" ht="30" customHeight="1">
      <c r="A11" s="9" t="n"/>
      <c r="B11" s="41">
        <f>'Finanças'!$E$6</f>
        <v>0</v>
      </c>
      <c r="C11" s="31" t="n"/>
      <c r="D11" s="31" t="n"/>
      <c r="E11" s="31" t="n"/>
      <c r="F11" s="31" t="n"/>
      <c r="G11" s="32" t="n"/>
      <c r="H11" s="9" t="n"/>
      <c r="I11" s="42" t="str">
        <f>'Finanças'!$H$6</f>
        <v>–</v>
      </c>
      <c r="J11" s="31" t="n"/>
      <c r="K11" s="31" t="n"/>
      <c r="L11" s="31" t="n"/>
      <c r="M11" s="31" t="n"/>
      <c r="N11" s="32" t="n"/>
      <c r="O11" s="9" t="n"/>
      <c r="P11" s="41" t="str">
        <f>IF(ISNUMBER('Orçamento'!$S$84),'Orçamento'!$S$84,"–")</f>
        <v>–</v>
      </c>
      <c r="Q11" s="31" t="n"/>
      <c r="R11" s="31" t="n"/>
      <c r="S11" s="31" t="n"/>
      <c r="T11" s="31" t="n"/>
      <c r="U11" s="32" t="n"/>
      <c r="V11" s="9" t="n"/>
      <c r="W11" s="43" t="str">
        <f>IF(ISNUMBER('Orçamento'!$S$86),'Orçamento'!$S$86,"–")</f>
        <v>–</v>
      </c>
      <c r="X11" s="31" t="n"/>
      <c r="Y11" s="31" t="n"/>
      <c r="Z11" s="31" t="n"/>
      <c r="AA11" s="31" t="n"/>
      <c r="AB11" s="32" t="n"/>
      <c r="AC11" s="9" t="n"/>
      <c r="AD11" s="9" t="n"/>
    </row>
    <row r="12" ht="26" customHeight="1">
      <c r="A12" s="9" t="n"/>
      <c r="B12" s="44" t="str">
        <f>IF('Finanças'!$B$6+'Finanças'!$D$6=0,"○ Sem lançamentos no mês",IF('Finanças'!$E$6&gt;=0,"✔ ","✖ ")&amp;"Receitas € "&amp;FIXED('Finanças'!$B$6,0)&amp;" · despesas € "&amp;FIXED('Finanças'!$D$6,0))</f>
        <v>○ Sem lançamentos no mês</v>
      </c>
      <c r="C12" s="37" t="n"/>
      <c r="D12" s="37" t="n"/>
      <c r="E12" s="37" t="n"/>
      <c r="F12" s="37" t="n"/>
      <c r="G12" s="38" t="n"/>
      <c r="H12" s="9" t="n"/>
      <c r="I12" s="44" t="str">
        <f>'Finanças'!$H$7</f>
        <v>○ Sem receitas no mês</v>
      </c>
      <c r="J12" s="37" t="n"/>
      <c r="K12" s="37" t="n"/>
      <c r="L12" s="37" t="n"/>
      <c r="M12" s="37" t="n"/>
      <c r="N12" s="38" t="n"/>
      <c r="O12" s="9" t="n"/>
      <c r="P12" s="44" t="str">
        <f>IF(ISNUMBER('Orçamento'!$S$85),IF('Orçamento'!$S$85&gt;=0,"✔ +€ ","✖ −€ ")&amp;FIXED(ABS('Orçamento'!$S$85),0)&amp;" no mês","○ Atualize os saldos em Orçamento")</f>
        <v>○ Atualize os saldos em Orçamento</v>
      </c>
      <c r="Q12" s="37" t="n"/>
      <c r="R12" s="37" t="n"/>
      <c r="S12" s="37" t="n"/>
      <c r="T12" s="37" t="n"/>
      <c r="U12" s="38" t="n"/>
      <c r="V12" s="9" t="n"/>
      <c r="W12" s="44" t="str">
        <f>IF(ISNUMBER('Orçamento'!$S$86),IF('Orçamento'!$S$86&gt;=MetaReserva,"✔ ","▲ ")&amp;"meta "&amp;MetaReserva&amp;" meses de despesas","○ sem dados")</f>
        <v>○ sem dados</v>
      </c>
      <c r="X12" s="37" t="n"/>
      <c r="Y12" s="37" t="n"/>
      <c r="Z12" s="37" t="n"/>
      <c r="AA12" s="37" t="n"/>
      <c r="AB12" s="38" t="n"/>
      <c r="AC12" s="9" t="n"/>
      <c r="AD12" s="9" t="n"/>
    </row>
    <row r="13" ht="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 ht="15" customHeight="1">
      <c r="A14" s="9" t="n"/>
      <c r="B14" s="45" t="inlineStr">
        <is>
          <t>HÁBITOS · % DA META</t>
        </is>
      </c>
      <c r="C14" s="27" t="n"/>
      <c r="D14" s="27" t="n"/>
      <c r="E14" s="27" t="n"/>
      <c r="F14" s="27" t="n"/>
      <c r="G14" s="28" t="n"/>
      <c r="H14" s="9" t="n"/>
      <c r="I14" s="45" t="inlineStr">
        <is>
          <t>SONO MÉDIO</t>
        </is>
      </c>
      <c r="J14" s="27" t="n"/>
      <c r="K14" s="27" t="n"/>
      <c r="L14" s="27" t="n"/>
      <c r="M14" s="27" t="n"/>
      <c r="N14" s="28" t="n"/>
      <c r="O14" s="9" t="n"/>
      <c r="P14" s="45" t="inlineStr">
        <is>
          <t>TREINOS NO MÊS</t>
        </is>
      </c>
      <c r="Q14" s="27" t="n"/>
      <c r="R14" s="27" t="n"/>
      <c r="S14" s="27" t="n"/>
      <c r="T14" s="27" t="n"/>
      <c r="U14" s="28" t="n"/>
      <c r="V14" s="9" t="n"/>
      <c r="W14" s="45" t="inlineStr">
        <is>
          <t>HUMOR MÉDIO</t>
        </is>
      </c>
      <c r="X14" s="27" t="n"/>
      <c r="Y14" s="27" t="n"/>
      <c r="Z14" s="27" t="n"/>
      <c r="AA14" s="27" t="n"/>
      <c r="AB14" s="28" t="n"/>
      <c r="AC14" s="9" t="n"/>
      <c r="AD14" s="9" t="n"/>
    </row>
    <row r="15" ht="30" customHeight="1">
      <c r="A15" s="9" t="n"/>
      <c r="B15" s="46" t="str">
        <f>IF(ISNUMBER('Hábitos'!$N$10),'Hábitos'!$N$10,"–")</f>
        <v>–</v>
      </c>
      <c r="C15" s="31" t="n"/>
      <c r="D15" s="31" t="n"/>
      <c r="E15" s="31" t="n"/>
      <c r="F15" s="31" t="n"/>
      <c r="G15" s="32" t="n"/>
      <c r="H15" s="9" t="n"/>
      <c r="I15" s="47" t="str">
        <f>'Saúde'!$B$6</f>
        <v>–</v>
      </c>
      <c r="J15" s="31" t="n"/>
      <c r="K15" s="31" t="n"/>
      <c r="L15" s="31" t="n"/>
      <c r="M15" s="31" t="n"/>
      <c r="N15" s="32" t="n"/>
      <c r="O15" s="9" t="n"/>
      <c r="P15" s="48">
        <f>'Saúde'!$H$6</f>
        <v>0</v>
      </c>
      <c r="Q15" s="31" t="n"/>
      <c r="R15" s="31" t="n"/>
      <c r="S15" s="31" t="n"/>
      <c r="T15" s="31" t="n"/>
      <c r="U15" s="32" t="n"/>
      <c r="V15" s="9" t="n"/>
      <c r="W15" s="49" t="str">
        <f>'Saúde'!$F$6</f>
        <v>–</v>
      </c>
      <c r="X15" s="31" t="n"/>
      <c r="Y15" s="31" t="n"/>
      <c r="Z15" s="31" t="n"/>
      <c r="AA15" s="31" t="n"/>
      <c r="AB15" s="32" t="n"/>
      <c r="AC15" s="9" t="n"/>
      <c r="AD15" s="9" t="n"/>
    </row>
    <row r="16" ht="26" customHeight="1">
      <c r="A16" s="9" t="n"/>
      <c r="B16" s="50" t="str">
        <f>IF('Cálculos'!$C$158&gt;0,"Maior sequência: "&amp;'Cálculos'!$C$159&amp;" ("&amp;'Cálculos'!$C$158&amp;" dias)","Marque seus hábitos na aba Hábitos")</f>
        <v>Marque seus hábitos na aba Hábitos</v>
      </c>
      <c r="C16" s="37" t="n"/>
      <c r="D16" s="37" t="n"/>
      <c r="E16" s="37" t="n"/>
      <c r="F16" s="37" t="n"/>
      <c r="G16" s="38" t="n"/>
      <c r="H16" s="9" t="n"/>
      <c r="I16" s="50" t="str">
        <f>'Saúde'!$B$7</f>
        <v>○ Sem registros</v>
      </c>
      <c r="J16" s="37" t="n"/>
      <c r="K16" s="37" t="n"/>
      <c r="L16" s="37" t="n"/>
      <c r="M16" s="37" t="n"/>
      <c r="N16" s="38" t="n"/>
      <c r="O16" s="9" t="n"/>
      <c r="P16" s="50" t="str">
        <f>'Saúde'!$H$7</f>
        <v>▲ meta 1 · 0 min</v>
      </c>
      <c r="Q16" s="37" t="n"/>
      <c r="R16" s="37" t="n"/>
      <c r="S16" s="37" t="n"/>
      <c r="T16" s="37" t="n"/>
      <c r="U16" s="38" t="n"/>
      <c r="V16" s="9" t="n"/>
      <c r="W16" s="50" t="str">
        <f>'Saúde'!$F$7</f>
        <v>Energia – · Estresse –</v>
      </c>
      <c r="X16" s="37" t="n"/>
      <c r="Y16" s="37" t="n"/>
      <c r="Z16" s="37" t="n"/>
      <c r="AA16" s="37" t="n"/>
      <c r="AB16" s="38" t="n"/>
      <c r="AC16" s="9" t="n"/>
      <c r="AD16" s="9" t="n"/>
    </row>
    <row r="17" ht="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 ht="15" customHeight="1">
      <c r="A18" s="9" t="n"/>
      <c r="B18" s="51" t="inlineStr">
        <is>
          <t>RELAÇÕES EM DIA</t>
        </is>
      </c>
      <c r="C18" s="27" t="n"/>
      <c r="D18" s="27" t="n"/>
      <c r="E18" s="27" t="n"/>
      <c r="F18" s="27" t="n"/>
      <c r="G18" s="28" t="n"/>
      <c r="H18" s="9" t="n"/>
      <c r="I18" s="52" t="inlineStr">
        <is>
          <t>ESTUDO NO MÊS</t>
        </is>
      </c>
      <c r="J18" s="27" t="n"/>
      <c r="K18" s="27" t="n"/>
      <c r="L18" s="27" t="n"/>
      <c r="M18" s="27" t="n"/>
      <c r="N18" s="28" t="n"/>
      <c r="O18" s="9" t="n"/>
      <c r="P18" s="51" t="inlineStr">
        <is>
          <t>LAZER NO MÊS</t>
        </is>
      </c>
      <c r="Q18" s="27" t="n"/>
      <c r="R18" s="27" t="n"/>
      <c r="S18" s="27" t="n"/>
      <c r="T18" s="27" t="n"/>
      <c r="U18" s="28" t="n"/>
      <c r="V18" s="9" t="n"/>
      <c r="W18" s="53" t="inlineStr">
        <is>
          <t>CASA &amp; DOCUMENTOS</t>
        </is>
      </c>
      <c r="X18" s="27" t="n"/>
      <c r="Y18" s="27" t="n"/>
      <c r="Z18" s="27" t="n"/>
      <c r="AA18" s="27" t="n"/>
      <c r="AB18" s="28" t="n"/>
      <c r="AC18" s="9" t="n"/>
      <c r="AD18" s="9" t="n"/>
    </row>
    <row r="19" ht="30" customHeight="1">
      <c r="A19" s="9" t="n"/>
      <c r="B19" s="54" t="str">
        <f>'Relações'!$C$6</f>
        <v>–</v>
      </c>
      <c r="C19" s="31" t="n"/>
      <c r="D19" s="31" t="n"/>
      <c r="E19" s="31" t="n"/>
      <c r="F19" s="31" t="n"/>
      <c r="G19" s="32" t="n"/>
      <c r="H19" s="9" t="n"/>
      <c r="I19" s="55">
        <f>'Aprendizado'!$B$6</f>
        <v>0</v>
      </c>
      <c r="J19" s="31" t="n"/>
      <c r="K19" s="31" t="n"/>
      <c r="L19" s="31" t="n"/>
      <c r="M19" s="31" t="n"/>
      <c r="N19" s="32" t="n"/>
      <c r="O19" s="9" t="n"/>
      <c r="P19" s="56">
        <f>'Lazer'!$B$6</f>
        <v>0</v>
      </c>
      <c r="Q19" s="31" t="n"/>
      <c r="R19" s="31" t="n"/>
      <c r="S19" s="31" t="n"/>
      <c r="T19" s="31" t="n"/>
      <c r="U19" s="32" t="n"/>
      <c r="V19" s="9" t="n"/>
      <c r="W19" s="57">
        <f>'Cálculos'!$C$167</f>
        <v>0</v>
      </c>
      <c r="X19" s="31" t="n"/>
      <c r="Y19" s="31" t="n"/>
      <c r="Z19" s="31" t="n"/>
      <c r="AA19" s="31" t="n"/>
      <c r="AB19" s="32" t="n"/>
      <c r="AC19" s="9" t="n"/>
      <c r="AD19" s="9" t="n"/>
    </row>
    <row r="20" ht="26" customHeight="1">
      <c r="A20" s="9" t="n"/>
      <c r="B20" s="58" t="str">
        <f>IF('Relações'!$B$6=0,"○ Cadastre pessoas na aba Relações",IF('Relações'!$E$6&gt;0,"▲ ","✔ ")&amp;'Relações'!$E$6&amp;" contato(s) atrasado(s) · "&amp;'Relações'!$G$6&amp;" no mês")</f>
        <v>○ Cadastre pessoas na aba Relações</v>
      </c>
      <c r="C20" s="37" t="n"/>
      <c r="D20" s="37" t="n"/>
      <c r="E20" s="37" t="n"/>
      <c r="F20" s="37" t="n"/>
      <c r="G20" s="38" t="n"/>
      <c r="H20" s="9" t="n"/>
      <c r="I20" s="59" t="str">
        <f>'Aprendizado'!$B$7</f>
        <v>▲ meta 24 h/mês</v>
      </c>
      <c r="J20" s="37" t="n"/>
      <c r="K20" s="37" t="n"/>
      <c r="L20" s="37" t="n"/>
      <c r="M20" s="37" t="n"/>
      <c r="N20" s="38" t="n"/>
      <c r="O20" s="9" t="n"/>
      <c r="P20" s="58" t="str">
        <f>'Lazer'!$B$7</f>
        <v>▲ meta 2 h até agora</v>
      </c>
      <c r="Q20" s="37" t="n"/>
      <c r="R20" s="37" t="n"/>
      <c r="S20" s="37" t="n"/>
      <c r="T20" s="37" t="n"/>
      <c r="U20" s="38" t="n"/>
      <c r="V20" s="9" t="n"/>
      <c r="W20" s="60" t="str">
        <f>IF('Cálculos'!$C$167&gt;0,"▲ ","✔ ")&amp;('Casa'!$B$6+'Casa'!$C$6)&amp;" doc(s) · "&amp;'Casa'!$E$6&amp;" rotina(s) atrasada(s)"</f>
        <v>✔ 0 doc(s) · 0 rotina(s) atrasada(s)</v>
      </c>
      <c r="X20" s="37" t="n"/>
      <c r="Y20" s="37" t="n"/>
      <c r="Z20" s="37" t="n"/>
      <c r="AA20" s="37" t="n"/>
      <c r="AB20" s="38" t="n"/>
      <c r="AC20" s="9" t="n"/>
      <c r="AD20" s="9" t="n"/>
    </row>
    <row r="21" ht="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 ht="22" customHeight="1">
      <c r="A22" s="9" t="n"/>
      <c r="B22" s="24" t="inlineStr">
        <is>
          <t>ÁREAS DA VIDA · percepção (sua nota) × dados (o que os registros mostram)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9" t="n"/>
    </row>
    <row r="23" ht="20" customHeight="1">
      <c r="A23" s="9" t="n"/>
      <c r="B23" s="61" t="inlineStr">
        <is>
          <t>Área</t>
        </is>
      </c>
      <c r="G23" s="61" t="inlineStr">
        <is>
          <t>Percepção</t>
        </is>
      </c>
      <c r="I23" s="61" t="inlineStr">
        <is>
          <t>Dados</t>
        </is>
      </c>
      <c r="K23" s="61" t="inlineStr">
        <is>
          <t>Tend.</t>
        </is>
      </c>
      <c r="L23" s="62" t="inlineStr">
        <is>
          <t>Indicador-chave do mês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 ht="21" customHeight="1">
      <c r="A24" s="9" t="n"/>
      <c r="B24" s="63" t="str">
        <f>'Cálculos'!$B$5</f>
        <v>Saúde física</v>
      </c>
      <c r="C24" s="64" t="n"/>
      <c r="D24" s="64" t="n"/>
      <c r="E24" s="64" t="n"/>
      <c r="F24" s="64" t="n"/>
      <c r="G24" s="65" t="str">
        <f>'Cálculos'!$I$5</f>
        <v/>
      </c>
      <c r="H24" s="64" t="n"/>
      <c r="I24" s="65" t="str">
        <f>'Cálculos'!$H$5</f>
        <v/>
      </c>
      <c r="J24" s="64" t="n"/>
      <c r="K24" s="66" t="str">
        <f>'Roda da Vida'!$S$7</f>
        <v/>
      </c>
      <c r="L24" s="67" t="str">
        <f>'Cálculos'!$M$5</f>
        <v>0 treinos</v>
      </c>
      <c r="M24" s="64" t="n"/>
      <c r="N24" s="64" t="n"/>
      <c r="O24" s="64" t="n"/>
      <c r="P24" s="64" t="n"/>
      <c r="Q24" s="64" t="n"/>
      <c r="R24" s="64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21" customHeight="1">
      <c r="A25" s="9" t="n"/>
      <c r="B25" s="63" t="str">
        <f>'Cálculos'!$B$6</f>
        <v>Saúde mental</v>
      </c>
      <c r="C25" s="64" t="n"/>
      <c r="D25" s="64" t="n"/>
      <c r="E25" s="64" t="n"/>
      <c r="F25" s="64" t="n"/>
      <c r="G25" s="65" t="str">
        <f>'Cálculos'!$I$6</f>
        <v/>
      </c>
      <c r="H25" s="64" t="n"/>
      <c r="I25" s="65" t="str">
        <f>'Cálculos'!$H$6</f>
        <v/>
      </c>
      <c r="J25" s="64" t="n"/>
      <c r="K25" s="66" t="str">
        <f>'Roda da Vida'!$S$8</f>
        <v/>
      </c>
      <c r="L25" s="67" t="str">
        <f>'Cálculos'!$M$6</f>
        <v>Sem registros de humor no mês</v>
      </c>
      <c r="M25" s="64" t="n"/>
      <c r="N25" s="64" t="n"/>
      <c r="O25" s="64" t="n"/>
      <c r="P25" s="64" t="n"/>
      <c r="Q25" s="64" t="n"/>
      <c r="R25" s="64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</row>
    <row r="26" ht="21" customHeight="1">
      <c r="A26" s="9" t="n"/>
      <c r="B26" s="63" t="str">
        <f>'Cálculos'!$B$7</f>
        <v>Finanças</v>
      </c>
      <c r="C26" s="64" t="n"/>
      <c r="D26" s="64" t="n"/>
      <c r="E26" s="64" t="n"/>
      <c r="F26" s="64" t="n"/>
      <c r="G26" s="65" t="str">
        <f>'Cálculos'!$I$7</f>
        <v/>
      </c>
      <c r="H26" s="64" t="n"/>
      <c r="I26" s="65" t="str">
        <f>'Cálculos'!$H$7</f>
        <v/>
      </c>
      <c r="J26" s="64" t="n"/>
      <c r="K26" s="66" t="str">
        <f>'Roda da Vida'!$S$9</f>
        <v/>
      </c>
      <c r="L26" s="67" t="str">
        <f>'Cálculos'!$M$7</f>
        <v>Sem receitas no mês</v>
      </c>
      <c r="M26" s="64" t="n"/>
      <c r="N26" s="64" t="n"/>
      <c r="O26" s="64" t="n"/>
      <c r="P26" s="64" t="n"/>
      <c r="Q26" s="64" t="n"/>
      <c r="R26" s="64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 ht="21" customHeight="1">
      <c r="A27" s="9" t="n"/>
      <c r="B27" s="63" t="str">
        <f>'Cálculos'!$B$8</f>
        <v>Carreira</v>
      </c>
      <c r="C27" s="64" t="n"/>
      <c r="D27" s="64" t="n"/>
      <c r="E27" s="64" t="n"/>
      <c r="F27" s="64" t="n"/>
      <c r="G27" s="65" t="str">
        <f>'Cálculos'!$I$8</f>
        <v/>
      </c>
      <c r="H27" s="64" t="n"/>
      <c r="I27" s="65" t="str">
        <f>'Cálculos'!$H$8</f>
        <v/>
      </c>
      <c r="J27" s="64" t="n"/>
      <c r="K27" s="66" t="str">
        <f>'Roda da Vida'!$S$10</f>
        <v/>
      </c>
      <c r="L27" s="67" t="str">
        <f>'Cálculos'!$M$8</f>
        <v>0 candidaturas ativas</v>
      </c>
      <c r="M27" s="64" t="n"/>
      <c r="N27" s="64" t="n"/>
      <c r="O27" s="64" t="n"/>
      <c r="P27" s="64" t="n"/>
      <c r="Q27" s="64" t="n"/>
      <c r="R27" s="64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 ht="21" customHeight="1">
      <c r="A28" s="9" t="n"/>
      <c r="B28" s="63" t="str">
        <f>'Cálculos'!$B$9</f>
        <v>Aprendizado</v>
      </c>
      <c r="C28" s="64" t="n"/>
      <c r="D28" s="64" t="n"/>
      <c r="E28" s="64" t="n"/>
      <c r="F28" s="64" t="n"/>
      <c r="G28" s="65" t="str">
        <f>'Cálculos'!$I$9</f>
        <v/>
      </c>
      <c r="H28" s="64" t="n"/>
      <c r="I28" s="65" t="str">
        <f>'Cálculos'!$H$9</f>
        <v/>
      </c>
      <c r="J28" s="64" t="n"/>
      <c r="K28" s="66" t="str">
        <f>'Roda da Vida'!$S$11</f>
        <v/>
      </c>
      <c r="L28" s="67" t="str">
        <f>'Cálculos'!$M$9</f>
        <v>0.0 h de estudo no mês · 0 livros no ano</v>
      </c>
      <c r="M28" s="64" t="n"/>
      <c r="N28" s="64" t="n"/>
      <c r="O28" s="64" t="n"/>
      <c r="P28" s="64" t="n"/>
      <c r="Q28" s="64" t="n"/>
      <c r="R28" s="64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</row>
    <row r="29" ht="21" customHeight="1">
      <c r="A29" s="9" t="n"/>
      <c r="B29" s="63" t="str">
        <f>'Cálculos'!$B$10</f>
        <v>Família</v>
      </c>
      <c r="C29" s="64" t="n"/>
      <c r="D29" s="64" t="n"/>
      <c r="E29" s="64" t="n"/>
      <c r="F29" s="64" t="n"/>
      <c r="G29" s="65" t="str">
        <f>'Cálculos'!$I$10</f>
        <v/>
      </c>
      <c r="H29" s="64" t="n"/>
      <c r="I29" s="65" t="str">
        <f>'Cálculos'!$H$10</f>
        <v/>
      </c>
      <c r="J29" s="64" t="n"/>
      <c r="K29" s="66" t="str">
        <f>'Roda da Vida'!$S$12</f>
        <v/>
      </c>
      <c r="L29" s="67" t="str">
        <f>'Cálculos'!$M$10</f>
        <v>0 de 0 em dia · 0 contatos no mês</v>
      </c>
      <c r="M29" s="64" t="n"/>
      <c r="N29" s="64" t="n"/>
      <c r="O29" s="64" t="n"/>
      <c r="P29" s="64" t="n"/>
      <c r="Q29" s="64" t="n"/>
      <c r="R29" s="64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</row>
    <row r="30" ht="21" customHeight="1">
      <c r="A30" s="9" t="n"/>
      <c r="B30" s="63" t="str">
        <f>'Cálculos'!$B$11</f>
        <v>Amor &amp; parceria</v>
      </c>
      <c r="C30" s="64" t="n"/>
      <c r="D30" s="64" t="n"/>
      <c r="E30" s="64" t="n"/>
      <c r="F30" s="64" t="n"/>
      <c r="G30" s="65" t="str">
        <f>'Cálculos'!$I$11</f>
        <v/>
      </c>
      <c r="H30" s="64" t="n"/>
      <c r="I30" s="65" t="str">
        <f>'Cálculos'!$H$11</f>
        <v/>
      </c>
      <c r="J30" s="64" t="n"/>
      <c r="K30" s="66" t="str">
        <f>'Roda da Vida'!$S$13</f>
        <v/>
      </c>
      <c r="L30" s="67" t="str">
        <f>'Cálculos'!$M$11</f>
        <v>0 de 0 em dia · 0 contatos no mês</v>
      </c>
      <c r="M30" s="64" t="n"/>
      <c r="N30" s="64" t="n"/>
      <c r="O30" s="64" t="n"/>
      <c r="P30" s="64" t="n"/>
      <c r="Q30" s="64" t="n"/>
      <c r="R30" s="64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</row>
    <row r="31" ht="21" customHeight="1">
      <c r="A31" s="9" t="n"/>
      <c r="B31" s="63" t="str">
        <f>'Cálculos'!$B$12</f>
        <v>Amizades &amp; social</v>
      </c>
      <c r="C31" s="64" t="n"/>
      <c r="D31" s="64" t="n"/>
      <c r="E31" s="64" t="n"/>
      <c r="F31" s="64" t="n"/>
      <c r="G31" s="65" t="str">
        <f>'Cálculos'!$I$12</f>
        <v/>
      </c>
      <c r="H31" s="64" t="n"/>
      <c r="I31" s="65" t="str">
        <f>'Cálculos'!$H$12</f>
        <v/>
      </c>
      <c r="J31" s="64" t="n"/>
      <c r="K31" s="66" t="str">
        <f>'Roda da Vida'!$S$14</f>
        <v/>
      </c>
      <c r="L31" s="67" t="str">
        <f>'Cálculos'!$M$12</f>
        <v>0 de 0 em dia · 0 contatos no mês</v>
      </c>
      <c r="M31" s="64" t="n"/>
      <c r="N31" s="64" t="n"/>
      <c r="O31" s="64" t="n"/>
      <c r="P31" s="64" t="n"/>
      <c r="Q31" s="64" t="n"/>
      <c r="R31" s="64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 ht="21" customHeight="1">
      <c r="A32" s="9" t="n"/>
      <c r="B32" s="63" t="str">
        <f>'Cálculos'!$B$13</f>
        <v>Lazer &amp; criatividade</v>
      </c>
      <c r="C32" s="64" t="n"/>
      <c r="D32" s="64" t="n"/>
      <c r="E32" s="64" t="n"/>
      <c r="F32" s="64" t="n"/>
      <c r="G32" s="65" t="str">
        <f>'Cálculos'!$I$13</f>
        <v/>
      </c>
      <c r="H32" s="64" t="n"/>
      <c r="I32" s="65" t="str">
        <f>'Cálculos'!$H$13</f>
        <v/>
      </c>
      <c r="J32" s="64" t="n"/>
      <c r="K32" s="66" t="str">
        <f>'Roda da Vida'!$S$15</f>
        <v/>
      </c>
      <c r="L32" s="67" t="str">
        <f>'Cálculos'!$M$13</f>
        <v>0.0 h de lazer · 0 atividades</v>
      </c>
      <c r="M32" s="64" t="n"/>
      <c r="N32" s="64" t="n"/>
      <c r="O32" s="64" t="n"/>
      <c r="P32" s="64" t="n"/>
      <c r="Q32" s="64" t="n"/>
      <c r="R32" s="64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 ht="21" customHeight="1">
      <c r="A33" s="9" t="n"/>
      <c r="B33" s="63" t="str">
        <f>'Cálculos'!$B$14</f>
        <v>Propósito &amp; espiritualidade</v>
      </c>
      <c r="C33" s="64" t="n"/>
      <c r="D33" s="64" t="n"/>
      <c r="E33" s="64" t="n"/>
      <c r="F33" s="64" t="n"/>
      <c r="G33" s="65" t="str">
        <f>'Cálculos'!$I$14</f>
        <v/>
      </c>
      <c r="H33" s="64" t="n"/>
      <c r="I33" s="65" t="str">
        <f>'Cálculos'!$H$14</f>
        <v/>
      </c>
      <c r="J33" s="64" t="n"/>
      <c r="K33" s="66" t="str">
        <f>'Roda da Vida'!$S$16</f>
        <v/>
      </c>
      <c r="L33" s="67" t="str">
        <f>'Cálculos'!$M$14</f>
        <v>Ligue hábitos e metas a esta área</v>
      </c>
      <c r="M33" s="64" t="n"/>
      <c r="N33" s="64" t="n"/>
      <c r="O33" s="64" t="n"/>
      <c r="P33" s="64" t="n"/>
      <c r="Q33" s="64" t="n"/>
      <c r="R33" s="64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 ht="21" customHeight="1">
      <c r="A34" s="9" t="n"/>
      <c r="B34" s="63" t="str">
        <f>'Cálculos'!$B$15</f>
        <v>Casa &amp; organização</v>
      </c>
      <c r="C34" s="64" t="n"/>
      <c r="D34" s="64" t="n"/>
      <c r="E34" s="64" t="n"/>
      <c r="F34" s="64" t="n"/>
      <c r="G34" s="65" t="str">
        <f>'Cálculos'!$I$15</f>
        <v/>
      </c>
      <c r="H34" s="64" t="n"/>
      <c r="I34" s="65" t="str">
        <f>'Cálculos'!$H$15</f>
        <v/>
      </c>
      <c r="J34" s="64" t="n"/>
      <c r="K34" s="66" t="str">
        <f>'Roda da Vida'!$S$17</f>
        <v/>
      </c>
      <c r="L34" s="67" t="str">
        <f>'Cálculos'!$M$15</f>
        <v>0 doc(s) p/ renovar · 0 rotina(s) atrasada(s)</v>
      </c>
      <c r="M34" s="64" t="n"/>
      <c r="N34" s="64" t="n"/>
      <c r="O34" s="64" t="n"/>
      <c r="P34" s="64" t="n"/>
      <c r="Q34" s="64" t="n"/>
      <c r="R34" s="64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 ht="22" customHeight="1">
      <c r="A35" s="9" t="n"/>
      <c r="B35" s="68" t="inlineStr">
        <is>
          <t>Percepção = sua nota na Roda da Vida · Dados = placar calculado (metas, hábitos e métricas da área). Diferença grande entre os dois merece atenção. Detalhe na aba Cálculos.</t>
        </is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22" customHeight="1">
      <c r="A37" s="9" t="n"/>
      <c r="B37" s="24" t="inlineStr">
        <is>
          <t>FOCO &amp; REFLEXÃO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9" t="n"/>
    </row>
    <row r="38" ht="16" customHeight="1">
      <c r="A38" s="9" t="n"/>
      <c r="B38" s="69" t="inlineStr">
        <is>
          <t>FOCO DO MÊS · da sua revisão mensal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9" t="n"/>
      <c r="P38" s="69" t="inlineStr">
        <is>
          <t>PRIORIDADES DA SEMANA · escreva aqui</t>
        </is>
      </c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9" t="n"/>
    </row>
    <row r="39" ht="20" customHeight="1">
      <c r="A39" s="9" t="n"/>
      <c r="B39" s="71" t="str">
        <f>IF('Cálculos'!$C$160="","Ainda sem foco definido. No fim do mês, escreva em Roda da Vida → 'Foco do próximo mês'.",'Cálculos'!$C$160)</f>
        <v>Ainda sem foco definido. No fim do mês, escreva em Roda da Vida → 'Foco do próximo mês'.</v>
      </c>
      <c r="O39" s="9" t="n"/>
      <c r="P39" s="72" t="inlineStr">
        <is>
          <t>1</t>
        </is>
      </c>
      <c r="Q39" s="73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9" t="n"/>
    </row>
    <row r="40" ht="20" customHeight="1">
      <c r="A40" s="9" t="n"/>
      <c r="O40" s="9" t="n"/>
      <c r="P40" s="72" t="inlineStr">
        <is>
          <t>2</t>
        </is>
      </c>
      <c r="Q40" s="73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9" t="n"/>
    </row>
    <row r="41" ht="20" customHeight="1">
      <c r="A41" s="9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9" t="n"/>
      <c r="P41" s="72" t="inlineStr">
        <is>
          <t>3</t>
        </is>
      </c>
      <c r="Q41" s="73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  <c r="AB41" s="74" t="n"/>
      <c r="AC41" s="74" t="n"/>
      <c r="AD41" s="9" t="n"/>
    </row>
    <row r="42" ht="9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</row>
    <row r="43" ht="18" customHeight="1">
      <c r="A43" s="9" t="n"/>
      <c r="B43" s="75" t="inlineStr">
        <is>
          <t>VITÓRIAS DO MÊS · e o que aprendi</t>
        </is>
      </c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9" t="n"/>
      <c r="P43" s="77" t="inlineStr">
        <is>
          <t>ÚLTIMO REGISTRO DO DIÁRIO</t>
        </is>
      </c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9" t="n"/>
    </row>
    <row r="44" ht="18" customHeight="1">
      <c r="A44" s="9" t="n"/>
      <c r="B44" s="71" t="str">
        <f>IF(AND('Cálculos'!$C$161="",'Cálculos'!$C$162=""),"Preencha a revisão de "&amp;RotuloMes&amp;" na aba Roda da Vida.",'Cálculos'!$C$161&amp;IF('Cálculos'!$C$162="","","  ·  Aprendi: "&amp;'Cálculos'!$C$162))</f>
        <v>Preencha a revisão de Outubro 2026 na aba Roda da Vida.</v>
      </c>
      <c r="O44" s="9" t="n"/>
      <c r="P44" s="71" t="str">
        <f>IF('Cálculos'!$C$157="","Use a coluna Notas da aba Saúde para registrar como foi o dia.",DAY('Cálculos'!$C$156)&amp;"/"&amp;MONTH('Cálculos'!$C$156)&amp;" — "&amp;'Cálculos'!$C$157)</f>
        <v>Use a coluna Notas da aba Saúde para registrar como foi o dia.</v>
      </c>
      <c r="AD44" s="9" t="n"/>
    </row>
    <row r="45" ht="18" customHeight="1">
      <c r="A45" s="9" t="n"/>
      <c r="O45" s="9" t="n"/>
      <c r="AD45" s="9" t="n"/>
    </row>
    <row r="46" ht="18" customHeight="1">
      <c r="A46" s="9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9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  <c r="AB46" s="74" t="n"/>
      <c r="AC46" s="74" t="n"/>
      <c r="AD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</row>
    <row r="48">
      <c r="A48" s="9" t="n"/>
      <c r="B48" s="79" t="inlineStr">
        <is>
          <t>MINHA VISÃO · daqui a 5 anos</t>
        </is>
      </c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  <c r="AA48" s="80" t="n"/>
      <c r="AB48" s="80" t="n"/>
      <c r="AC48" s="80" t="n"/>
      <c r="AD48" s="9" t="n"/>
    </row>
    <row r="49">
      <c r="A49" s="9" t="n"/>
      <c r="B49" s="71" t="str">
        <f>IF('Cálculos'!$C$164="","Escreva sua visão no topo da aba Metas — é o norte de todas as outras abas.",'Cálculos'!$C$164)</f>
        <v>Escreva sua visão no topo da aba Metas — é o norte de todas as outras abas.</v>
      </c>
      <c r="AD49" s="9" t="n"/>
    </row>
    <row r="50">
      <c r="A50" s="9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  <c r="AB50" s="74" t="n"/>
      <c r="AC50" s="74" t="n"/>
      <c r="AD50" s="9" t="n"/>
    </row>
    <row r="51" ht="9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</row>
    <row r="52" ht="22" customHeight="1">
      <c r="A52" s="9" t="n"/>
      <c r="B52" s="24" t="inlineStr">
        <is>
          <t>ATENÇÃO AGORA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9" t="n"/>
    </row>
    <row r="53" ht="18" customHeight="1">
      <c r="A53" s="9" t="n"/>
      <c r="B53" s="81" t="inlineStr">
        <is>
          <t>Tarefas atrasadas e próximas</t>
        </is>
      </c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82" t="inlineStr">
        <is>
          <t>Contatos a fazer</t>
        </is>
      </c>
      <c r="Q53" s="83" t="n"/>
      <c r="R53" s="83" t="n"/>
      <c r="S53" s="83" t="n"/>
      <c r="T53" s="83" t="n"/>
      <c r="U53" s="83" t="n"/>
      <c r="V53" s="83" t="n"/>
      <c r="W53" s="84" t="inlineStr">
        <is>
          <t>Vencimentos &amp; rotinas</t>
        </is>
      </c>
      <c r="X53" s="85" t="n"/>
      <c r="Y53" s="85" t="n"/>
      <c r="Z53" s="85" t="n"/>
      <c r="AA53" s="85" t="n"/>
      <c r="AB53" s="85" t="n"/>
      <c r="AC53" s="85" t="n"/>
      <c r="AD53" s="9" t="n"/>
    </row>
    <row r="54" ht="17" customHeight="1">
      <c r="A54" s="9" t="n"/>
      <c r="B54" s="86" t="inlineStr">
        <is>
          <t>Tarefa</t>
        </is>
      </c>
      <c r="C54" s="74" t="n"/>
      <c r="D54" s="74" t="n"/>
      <c r="E54" s="74" t="n"/>
      <c r="F54" s="74" t="n"/>
      <c r="G54" s="74" t="n"/>
      <c r="H54" s="74" t="n"/>
      <c r="I54" s="86" t="inlineStr">
        <is>
          <t>Prazo</t>
        </is>
      </c>
      <c r="J54" s="74" t="n"/>
      <c r="K54" s="86" t="inlineStr">
        <is>
          <t>Situação</t>
        </is>
      </c>
      <c r="L54" s="74" t="n"/>
      <c r="M54" s="74" t="n"/>
      <c r="N54" s="86" t="inlineStr">
        <is>
          <t>Projeto</t>
        </is>
      </c>
      <c r="O54" s="74" t="n"/>
      <c r="P54" s="86" t="inlineStr">
        <is>
          <t>Pessoa</t>
        </is>
      </c>
      <c r="Q54" s="74" t="n"/>
      <c r="R54" s="74" t="n"/>
      <c r="S54" s="86" t="inlineStr">
        <is>
          <t>Sem contato</t>
        </is>
      </c>
      <c r="T54" s="74" t="n"/>
      <c r="U54" s="86" t="inlineStr">
        <is>
          <t>Status</t>
        </is>
      </c>
      <c r="V54" s="74" t="n"/>
      <c r="W54" s="86" t="inlineStr">
        <is>
          <t>Item</t>
        </is>
      </c>
      <c r="X54" s="74" t="n"/>
      <c r="Y54" s="74" t="n"/>
      <c r="Z54" s="74" t="n"/>
      <c r="AA54" s="86" t="inlineStr">
        <is>
          <t>Quando</t>
        </is>
      </c>
      <c r="AB54" s="74" t="n"/>
      <c r="AC54" s="74" t="n"/>
      <c r="AD54" s="9" t="n"/>
    </row>
    <row r="55" ht="17" customHeight="1">
      <c r="A55" s="9" t="n"/>
      <c r="B55" s="87" t="str">
        <f>'Cálculos'!$C$79</f>
        <v/>
      </c>
      <c r="C55" s="64" t="n"/>
      <c r="D55" s="64" t="n"/>
      <c r="E55" s="64" t="n"/>
      <c r="F55" s="64" t="n"/>
      <c r="G55" s="64" t="n"/>
      <c r="H55" s="64" t="n"/>
      <c r="I55" s="88" t="str">
        <f>'Cálculos'!$D$79</f>
        <v/>
      </c>
      <c r="J55" s="64" t="n"/>
      <c r="K55" s="87" t="str">
        <f>'Cálculos'!$E$79</f>
        <v/>
      </c>
      <c r="L55" s="64" t="n"/>
      <c r="M55" s="64" t="n"/>
      <c r="N55" s="87" t="str">
        <f>'Cálculos'!$F$79</f>
        <v/>
      </c>
      <c r="O55" s="64" t="n"/>
      <c r="P55" s="87" t="str">
        <f>'Cálculos'!$C$103</f>
        <v/>
      </c>
      <c r="Q55" s="64" t="n"/>
      <c r="R55" s="64" t="n"/>
      <c r="S55" s="87" t="str">
        <f>'Cálculos'!$D$103</f>
        <v/>
      </c>
      <c r="T55" s="64" t="n"/>
      <c r="U55" s="87" t="str">
        <f>'Cálculos'!$E$103</f>
        <v/>
      </c>
      <c r="V55" s="64" t="n"/>
      <c r="W55" s="87" t="str">
        <f>'Cálculos'!$C$127</f>
        <v/>
      </c>
      <c r="X55" s="64" t="n"/>
      <c r="Y55" s="64" t="n"/>
      <c r="Z55" s="64" t="n"/>
      <c r="AA55" s="87" t="str">
        <f>'Cálculos'!$D$127</f>
        <v/>
      </c>
      <c r="AB55" s="64" t="n"/>
      <c r="AC55" s="64" t="n"/>
      <c r="AD55" s="9" t="n"/>
    </row>
    <row r="56" ht="17" customHeight="1">
      <c r="A56" s="9" t="n"/>
      <c r="B56" s="87" t="str">
        <f>'Cálculos'!$C$80</f>
        <v/>
      </c>
      <c r="C56" s="64" t="n"/>
      <c r="D56" s="64" t="n"/>
      <c r="E56" s="64" t="n"/>
      <c r="F56" s="64" t="n"/>
      <c r="G56" s="64" t="n"/>
      <c r="H56" s="64" t="n"/>
      <c r="I56" s="88" t="str">
        <f>'Cálculos'!$D$80</f>
        <v/>
      </c>
      <c r="J56" s="64" t="n"/>
      <c r="K56" s="87" t="str">
        <f>'Cálculos'!$E$80</f>
        <v/>
      </c>
      <c r="L56" s="64" t="n"/>
      <c r="M56" s="64" t="n"/>
      <c r="N56" s="87" t="str">
        <f>'Cálculos'!$F$80</f>
        <v/>
      </c>
      <c r="O56" s="64" t="n"/>
      <c r="P56" s="87" t="str">
        <f>'Cálculos'!$C$104</f>
        <v/>
      </c>
      <c r="Q56" s="64" t="n"/>
      <c r="R56" s="64" t="n"/>
      <c r="S56" s="87" t="str">
        <f>'Cálculos'!$D$104</f>
        <v/>
      </c>
      <c r="T56" s="64" t="n"/>
      <c r="U56" s="87" t="str">
        <f>'Cálculos'!$E$104</f>
        <v/>
      </c>
      <c r="V56" s="64" t="n"/>
      <c r="W56" s="87" t="str">
        <f>'Cálculos'!$C$128</f>
        <v/>
      </c>
      <c r="X56" s="64" t="n"/>
      <c r="Y56" s="64" t="n"/>
      <c r="Z56" s="64" t="n"/>
      <c r="AA56" s="87" t="str">
        <f>'Cálculos'!$D$128</f>
        <v/>
      </c>
      <c r="AB56" s="64" t="n"/>
      <c r="AC56" s="64" t="n"/>
      <c r="AD56" s="9" t="n"/>
    </row>
    <row r="57" ht="17" customHeight="1">
      <c r="A57" s="9" t="n"/>
      <c r="B57" s="87" t="str">
        <f>'Cálculos'!$C$81</f>
        <v/>
      </c>
      <c r="C57" s="64" t="n"/>
      <c r="D57" s="64" t="n"/>
      <c r="E57" s="64" t="n"/>
      <c r="F57" s="64" t="n"/>
      <c r="G57" s="64" t="n"/>
      <c r="H57" s="64" t="n"/>
      <c r="I57" s="88" t="str">
        <f>'Cálculos'!$D$81</f>
        <v/>
      </c>
      <c r="J57" s="64" t="n"/>
      <c r="K57" s="87" t="str">
        <f>'Cálculos'!$E$81</f>
        <v/>
      </c>
      <c r="L57" s="64" t="n"/>
      <c r="M57" s="64" t="n"/>
      <c r="N57" s="87" t="str">
        <f>'Cálculos'!$F$81</f>
        <v/>
      </c>
      <c r="O57" s="64" t="n"/>
      <c r="P57" s="87" t="str">
        <f>'Cálculos'!$C$105</f>
        <v/>
      </c>
      <c r="Q57" s="64" t="n"/>
      <c r="R57" s="64" t="n"/>
      <c r="S57" s="87" t="str">
        <f>'Cálculos'!$D$105</f>
        <v/>
      </c>
      <c r="T57" s="64" t="n"/>
      <c r="U57" s="87" t="str">
        <f>'Cálculos'!$E$105</f>
        <v/>
      </c>
      <c r="V57" s="64" t="n"/>
      <c r="W57" s="87" t="str">
        <f>'Cálculos'!$C$129</f>
        <v/>
      </c>
      <c r="X57" s="64" t="n"/>
      <c r="Y57" s="64" t="n"/>
      <c r="Z57" s="64" t="n"/>
      <c r="AA57" s="87" t="str">
        <f>'Cálculos'!$D$129</f>
        <v/>
      </c>
      <c r="AB57" s="64" t="n"/>
      <c r="AC57" s="64" t="n"/>
      <c r="AD57" s="9" t="n"/>
    </row>
    <row r="58" ht="17" customHeight="1">
      <c r="A58" s="9" t="n"/>
      <c r="B58" s="87" t="str">
        <f>'Cálculos'!$C$82</f>
        <v/>
      </c>
      <c r="C58" s="64" t="n"/>
      <c r="D58" s="64" t="n"/>
      <c r="E58" s="64" t="n"/>
      <c r="F58" s="64" t="n"/>
      <c r="G58" s="64" t="n"/>
      <c r="H58" s="64" t="n"/>
      <c r="I58" s="88" t="str">
        <f>'Cálculos'!$D$82</f>
        <v/>
      </c>
      <c r="J58" s="64" t="n"/>
      <c r="K58" s="87" t="str">
        <f>'Cálculos'!$E$82</f>
        <v/>
      </c>
      <c r="L58" s="64" t="n"/>
      <c r="M58" s="64" t="n"/>
      <c r="N58" s="87" t="str">
        <f>'Cálculos'!$F$82</f>
        <v/>
      </c>
      <c r="O58" s="64" t="n"/>
      <c r="P58" s="87" t="str">
        <f>'Cálculos'!$C$106</f>
        <v/>
      </c>
      <c r="Q58" s="64" t="n"/>
      <c r="R58" s="64" t="n"/>
      <c r="S58" s="87" t="str">
        <f>'Cálculos'!$D$106</f>
        <v/>
      </c>
      <c r="T58" s="64" t="n"/>
      <c r="U58" s="87" t="str">
        <f>'Cálculos'!$E$106</f>
        <v/>
      </c>
      <c r="V58" s="64" t="n"/>
      <c r="W58" s="87" t="str">
        <f>'Cálculos'!$C$130</f>
        <v/>
      </c>
      <c r="X58" s="64" t="n"/>
      <c r="Y58" s="64" t="n"/>
      <c r="Z58" s="64" t="n"/>
      <c r="AA58" s="87" t="str">
        <f>'Cálculos'!$D$130</f>
        <v/>
      </c>
      <c r="AB58" s="64" t="n"/>
      <c r="AC58" s="64" t="n"/>
      <c r="AD58" s="9" t="n"/>
    </row>
    <row r="59" ht="17" customHeight="1">
      <c r="A59" s="9" t="n"/>
      <c r="B59" s="87" t="str">
        <f>'Cálculos'!$C$83</f>
        <v/>
      </c>
      <c r="C59" s="64" t="n"/>
      <c r="D59" s="64" t="n"/>
      <c r="E59" s="64" t="n"/>
      <c r="F59" s="64" t="n"/>
      <c r="G59" s="64" t="n"/>
      <c r="H59" s="64" t="n"/>
      <c r="I59" s="88" t="str">
        <f>'Cálculos'!$D$83</f>
        <v/>
      </c>
      <c r="J59" s="64" t="n"/>
      <c r="K59" s="87" t="str">
        <f>'Cálculos'!$E$83</f>
        <v/>
      </c>
      <c r="L59" s="64" t="n"/>
      <c r="M59" s="64" t="n"/>
      <c r="N59" s="87" t="str">
        <f>'Cálculos'!$F$83</f>
        <v/>
      </c>
      <c r="O59" s="64" t="n"/>
      <c r="P59" s="87" t="str">
        <f>'Cálculos'!$C$107</f>
        <v/>
      </c>
      <c r="Q59" s="64" t="n"/>
      <c r="R59" s="64" t="n"/>
      <c r="S59" s="87" t="str">
        <f>'Cálculos'!$D$107</f>
        <v/>
      </c>
      <c r="T59" s="64" t="n"/>
      <c r="U59" s="87" t="str">
        <f>'Cálculos'!$E$107</f>
        <v/>
      </c>
      <c r="V59" s="64" t="n"/>
      <c r="W59" s="87" t="str">
        <f>'Cálculos'!$C$131</f>
        <v/>
      </c>
      <c r="X59" s="64" t="n"/>
      <c r="Y59" s="64" t="n"/>
      <c r="Z59" s="64" t="n"/>
      <c r="AA59" s="87" t="str">
        <f>'Cálculos'!$D$131</f>
        <v/>
      </c>
      <c r="AB59" s="64" t="n"/>
      <c r="AC59" s="64" t="n"/>
      <c r="AD59" s="9" t="n"/>
    </row>
    <row r="60" ht="17" customHeight="1">
      <c r="A60" s="9" t="n"/>
      <c r="B60" s="87" t="str">
        <f>'Cálculos'!$C$84</f>
        <v/>
      </c>
      <c r="C60" s="64" t="n"/>
      <c r="D60" s="64" t="n"/>
      <c r="E60" s="64" t="n"/>
      <c r="F60" s="64" t="n"/>
      <c r="G60" s="64" t="n"/>
      <c r="H60" s="64" t="n"/>
      <c r="I60" s="88" t="str">
        <f>'Cálculos'!$D$84</f>
        <v/>
      </c>
      <c r="J60" s="64" t="n"/>
      <c r="K60" s="87" t="str">
        <f>'Cálculos'!$E$84</f>
        <v/>
      </c>
      <c r="L60" s="64" t="n"/>
      <c r="M60" s="64" t="n"/>
      <c r="N60" s="87" t="str">
        <f>'Cálculos'!$F$84</f>
        <v/>
      </c>
      <c r="O60" s="64" t="n"/>
      <c r="P60" s="87" t="str">
        <f>'Cálculos'!$C$108</f>
        <v/>
      </c>
      <c r="Q60" s="64" t="n"/>
      <c r="R60" s="64" t="n"/>
      <c r="S60" s="87" t="str">
        <f>'Cálculos'!$D$108</f>
        <v/>
      </c>
      <c r="T60" s="64" t="n"/>
      <c r="U60" s="87" t="str">
        <f>'Cálculos'!$E$108</f>
        <v/>
      </c>
      <c r="V60" s="64" t="n"/>
      <c r="W60" s="87" t="str">
        <f>'Cálculos'!$C$132</f>
        <v/>
      </c>
      <c r="X60" s="64" t="n"/>
      <c r="Y60" s="64" t="n"/>
      <c r="Z60" s="64" t="n"/>
      <c r="AA60" s="87" t="str">
        <f>'Cálculos'!$D$132</f>
        <v/>
      </c>
      <c r="AB60" s="64" t="n"/>
      <c r="AC60" s="64" t="n"/>
      <c r="AD60" s="9" t="n"/>
    </row>
    <row r="61" ht="17" customHeight="1">
      <c r="A61" s="9" t="n"/>
      <c r="B61" s="87" t="str">
        <f>'Cálculos'!$C$85</f>
        <v/>
      </c>
      <c r="C61" s="64" t="n"/>
      <c r="D61" s="64" t="n"/>
      <c r="E61" s="64" t="n"/>
      <c r="F61" s="64" t="n"/>
      <c r="G61" s="64" t="n"/>
      <c r="H61" s="64" t="n"/>
      <c r="I61" s="88" t="str">
        <f>'Cálculos'!$D$85</f>
        <v/>
      </c>
      <c r="J61" s="64" t="n"/>
      <c r="K61" s="87" t="str">
        <f>'Cálculos'!$E$85</f>
        <v/>
      </c>
      <c r="L61" s="64" t="n"/>
      <c r="M61" s="64" t="n"/>
      <c r="N61" s="87" t="str">
        <f>'Cálculos'!$F$85</f>
        <v/>
      </c>
      <c r="O61" s="64" t="n"/>
      <c r="P61" s="87" t="str">
        <f>'Cálculos'!$C$109</f>
        <v/>
      </c>
      <c r="Q61" s="64" t="n"/>
      <c r="R61" s="64" t="n"/>
      <c r="S61" s="87" t="str">
        <f>'Cálculos'!$D$109</f>
        <v/>
      </c>
      <c r="T61" s="64" t="n"/>
      <c r="U61" s="87" t="str">
        <f>'Cálculos'!$E$109</f>
        <v/>
      </c>
      <c r="V61" s="64" t="n"/>
      <c r="W61" s="87" t="str">
        <f>'Cálculos'!$C$133</f>
        <v/>
      </c>
      <c r="X61" s="64" t="n"/>
      <c r="Y61" s="64" t="n"/>
      <c r="Z61" s="64" t="n"/>
      <c r="AA61" s="87" t="str">
        <f>'Cálculos'!$D$133</f>
        <v/>
      </c>
      <c r="AB61" s="64" t="n"/>
      <c r="AC61" s="64" t="n"/>
      <c r="AD61" s="9" t="n"/>
    </row>
    <row r="62" ht="17" customHeight="1">
      <c r="A62" s="9" t="n"/>
      <c r="B62" s="87" t="str">
        <f>'Cálculos'!$C$86</f>
        <v/>
      </c>
      <c r="C62" s="64" t="n"/>
      <c r="D62" s="64" t="n"/>
      <c r="E62" s="64" t="n"/>
      <c r="F62" s="64" t="n"/>
      <c r="G62" s="64" t="n"/>
      <c r="H62" s="64" t="n"/>
      <c r="I62" s="88" t="str">
        <f>'Cálculos'!$D$86</f>
        <v/>
      </c>
      <c r="J62" s="64" t="n"/>
      <c r="K62" s="87" t="str">
        <f>'Cálculos'!$E$86</f>
        <v/>
      </c>
      <c r="L62" s="64" t="n"/>
      <c r="M62" s="64" t="n"/>
      <c r="N62" s="87" t="str">
        <f>'Cálculos'!$F$86</f>
        <v/>
      </c>
      <c r="O62" s="64" t="n"/>
      <c r="P62" s="87" t="str">
        <f>'Cálculos'!$C$110</f>
        <v/>
      </c>
      <c r="Q62" s="64" t="n"/>
      <c r="R62" s="64" t="n"/>
      <c r="S62" s="87" t="str">
        <f>'Cálculos'!$D$110</f>
        <v/>
      </c>
      <c r="T62" s="64" t="n"/>
      <c r="U62" s="87" t="str">
        <f>'Cálculos'!$E$110</f>
        <v/>
      </c>
      <c r="V62" s="64" t="n"/>
      <c r="W62" s="87" t="str">
        <f>'Cálculos'!$C$134</f>
        <v/>
      </c>
      <c r="X62" s="64" t="n"/>
      <c r="Y62" s="64" t="n"/>
      <c r="Z62" s="64" t="n"/>
      <c r="AA62" s="87" t="str">
        <f>'Cálculos'!$D$134</f>
        <v/>
      </c>
      <c r="AB62" s="64" t="n"/>
      <c r="AC62" s="64" t="n"/>
      <c r="AD62" s="9" t="n"/>
    </row>
    <row r="63" ht="17" customHeight="1">
      <c r="A63" s="9" t="n"/>
      <c r="B63" s="89" t="str">
        <f>IF(B55="","Nada por aqui ✔","")</f>
        <v>Nada por aqui ✔</v>
      </c>
      <c r="P63" s="89" t="str">
        <f>IF(P55="","Nada por aqui ✔","")</f>
        <v>Nada por aqui ✔</v>
      </c>
      <c r="W63" s="89" t="str">
        <f>IF(W55="","Nada por aqui ✔","")</f>
        <v>Nada por aqui ✔</v>
      </c>
      <c r="AD63" s="9" t="n"/>
    </row>
    <row r="64" ht="17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</row>
    <row r="65" ht="17" customHeight="1">
      <c r="A65" s="9" t="n"/>
      <c r="B65" s="81" t="inlineStr">
        <is>
          <t>Metas em andamento · prazo mais próximo</t>
        </is>
      </c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82" t="inlineStr">
        <is>
          <t>Próximos aniversários</t>
        </is>
      </c>
      <c r="Q65" s="83" t="n"/>
      <c r="R65" s="83" t="n"/>
      <c r="S65" s="83" t="n"/>
      <c r="T65" s="83" t="n"/>
      <c r="U65" s="83" t="n"/>
      <c r="V65" s="83" t="n"/>
      <c r="W65" s="90" t="inlineStr">
        <is>
          <t>Aprendendo agora</t>
        </is>
      </c>
      <c r="X65" s="80" t="n"/>
      <c r="Y65" s="80" t="n"/>
      <c r="Z65" s="80" t="n"/>
      <c r="AA65" s="80" t="n"/>
      <c r="AB65" s="80" t="n"/>
      <c r="AC65" s="80" t="n"/>
      <c r="AD65" s="9" t="n"/>
    </row>
    <row r="66" ht="17" customHeight="1">
      <c r="A66" s="9" t="n"/>
      <c r="B66" s="86" t="inlineStr">
        <is>
          <t>Meta</t>
        </is>
      </c>
      <c r="C66" s="74" t="n"/>
      <c r="D66" s="74" t="n"/>
      <c r="E66" s="74" t="n"/>
      <c r="F66" s="74" t="n"/>
      <c r="G66" s="74" t="n"/>
      <c r="H66" s="86" t="inlineStr">
        <is>
          <t>Progresso</t>
        </is>
      </c>
      <c r="I66" s="74" t="n"/>
      <c r="J66" s="86" t="inlineStr">
        <is>
          <t>Esperado</t>
        </is>
      </c>
      <c r="K66" s="74" t="n"/>
      <c r="L66" s="86" t="inlineStr">
        <is>
          <t>Ritmo</t>
        </is>
      </c>
      <c r="M66" s="74" t="n"/>
      <c r="N66" s="86" t="inlineStr">
        <is>
          <t>Prazo</t>
        </is>
      </c>
      <c r="O66" s="74" t="n"/>
      <c r="P66" s="86" t="inlineStr">
        <is>
          <t>Pessoa</t>
        </is>
      </c>
      <c r="Q66" s="74" t="n"/>
      <c r="R66" s="74" t="n"/>
      <c r="S66" s="86" t="inlineStr">
        <is>
          <t>Data</t>
        </is>
      </c>
      <c r="T66" s="74" t="n"/>
      <c r="U66" s="86" t="inlineStr">
        <is>
          <t>Faltam</t>
        </is>
      </c>
      <c r="V66" s="74" t="n"/>
      <c r="W66" s="86" t="inlineStr">
        <is>
          <t>Título</t>
        </is>
      </c>
      <c r="X66" s="74" t="n"/>
      <c r="Y66" s="74" t="n"/>
      <c r="Z66" s="74" t="n"/>
      <c r="AA66" s="74" t="n"/>
      <c r="AB66" s="86" t="inlineStr">
        <is>
          <t>Progresso</t>
        </is>
      </c>
      <c r="AC66" s="74" t="n"/>
      <c r="AD66" s="9" t="n"/>
    </row>
    <row r="67" ht="17" customHeight="1">
      <c r="A67" s="9" t="n"/>
      <c r="B67" s="87" t="str">
        <f>'Cálculos'!$C$91</f>
        <v/>
      </c>
      <c r="C67" s="64" t="n"/>
      <c r="D67" s="64" t="n"/>
      <c r="E67" s="64" t="n"/>
      <c r="F67" s="64" t="n"/>
      <c r="G67" s="64" t="n"/>
      <c r="H67" s="91" t="str">
        <f>'Cálculos'!$E$91</f>
        <v/>
      </c>
      <c r="I67" s="64" t="n"/>
      <c r="J67" s="91" t="str">
        <f>'Cálculos'!$F$91</f>
        <v/>
      </c>
      <c r="K67" s="64" t="n"/>
      <c r="L67" s="87" t="str">
        <f>'Cálculos'!$G$91</f>
        <v/>
      </c>
      <c r="M67" s="64" t="n"/>
      <c r="N67" s="88" t="str">
        <f>'Cálculos'!$H$91</f>
        <v/>
      </c>
      <c r="O67" s="64" t="n"/>
      <c r="P67" s="87" t="str">
        <f>'Cálculos'!$C$115</f>
        <v/>
      </c>
      <c r="Q67" s="64" t="n"/>
      <c r="R67" s="64" t="n"/>
      <c r="S67" s="88" t="str">
        <f>'Cálculos'!$D$115</f>
        <v/>
      </c>
      <c r="T67" s="64" t="n"/>
      <c r="U67" s="87" t="str">
        <f>'Cálculos'!$E$115</f>
        <v/>
      </c>
      <c r="V67" s="64" t="n"/>
      <c r="W67" s="87" t="str">
        <f>'Cálculos'!$C$139</f>
        <v/>
      </c>
      <c r="X67" s="64" t="n"/>
      <c r="Y67" s="64" t="n"/>
      <c r="Z67" s="64" t="n"/>
      <c r="AA67" s="64" t="n"/>
      <c r="AB67" s="91" t="str">
        <f>'Cálculos'!$E$139</f>
        <v/>
      </c>
      <c r="AC67" s="64" t="n"/>
      <c r="AD67" s="9" t="n"/>
    </row>
    <row r="68" ht="17" customHeight="1">
      <c r="A68" s="9" t="n"/>
      <c r="B68" s="87" t="str">
        <f>'Cálculos'!$C$92</f>
        <v/>
      </c>
      <c r="C68" s="64" t="n"/>
      <c r="D68" s="64" t="n"/>
      <c r="E68" s="64" t="n"/>
      <c r="F68" s="64" t="n"/>
      <c r="G68" s="64" t="n"/>
      <c r="H68" s="91" t="str">
        <f>'Cálculos'!$E$92</f>
        <v/>
      </c>
      <c r="I68" s="64" t="n"/>
      <c r="J68" s="91" t="str">
        <f>'Cálculos'!$F$92</f>
        <v/>
      </c>
      <c r="K68" s="64" t="n"/>
      <c r="L68" s="87" t="str">
        <f>'Cálculos'!$G$92</f>
        <v/>
      </c>
      <c r="M68" s="64" t="n"/>
      <c r="N68" s="88" t="str">
        <f>'Cálculos'!$H$92</f>
        <v/>
      </c>
      <c r="O68" s="64" t="n"/>
      <c r="P68" s="87" t="str">
        <f>'Cálculos'!$C$116</f>
        <v/>
      </c>
      <c r="Q68" s="64" t="n"/>
      <c r="R68" s="64" t="n"/>
      <c r="S68" s="88" t="str">
        <f>'Cálculos'!$D$116</f>
        <v/>
      </c>
      <c r="T68" s="64" t="n"/>
      <c r="U68" s="87" t="str">
        <f>'Cálculos'!$E$116</f>
        <v/>
      </c>
      <c r="V68" s="64" t="n"/>
      <c r="W68" s="87" t="str">
        <f>'Cálculos'!$C$140</f>
        <v/>
      </c>
      <c r="X68" s="64" t="n"/>
      <c r="Y68" s="64" t="n"/>
      <c r="Z68" s="64" t="n"/>
      <c r="AA68" s="64" t="n"/>
      <c r="AB68" s="91" t="str">
        <f>'Cálculos'!$E$140</f>
        <v/>
      </c>
      <c r="AC68" s="64" t="n"/>
      <c r="AD68" s="9" t="n"/>
    </row>
    <row r="69" ht="17" customHeight="1">
      <c r="A69" s="9" t="n"/>
      <c r="B69" s="87" t="str">
        <f>'Cálculos'!$C$93</f>
        <v/>
      </c>
      <c r="C69" s="64" t="n"/>
      <c r="D69" s="64" t="n"/>
      <c r="E69" s="64" t="n"/>
      <c r="F69" s="64" t="n"/>
      <c r="G69" s="64" t="n"/>
      <c r="H69" s="91" t="str">
        <f>'Cálculos'!$E$93</f>
        <v/>
      </c>
      <c r="I69" s="64" t="n"/>
      <c r="J69" s="91" t="str">
        <f>'Cálculos'!$F$93</f>
        <v/>
      </c>
      <c r="K69" s="64" t="n"/>
      <c r="L69" s="87" t="str">
        <f>'Cálculos'!$G$93</f>
        <v/>
      </c>
      <c r="M69" s="64" t="n"/>
      <c r="N69" s="88" t="str">
        <f>'Cálculos'!$H$93</f>
        <v/>
      </c>
      <c r="O69" s="64" t="n"/>
      <c r="P69" s="87" t="str">
        <f>'Cálculos'!$C$117</f>
        <v/>
      </c>
      <c r="Q69" s="64" t="n"/>
      <c r="R69" s="64" t="n"/>
      <c r="S69" s="88" t="str">
        <f>'Cálculos'!$D$117</f>
        <v/>
      </c>
      <c r="T69" s="64" t="n"/>
      <c r="U69" s="87" t="str">
        <f>'Cálculos'!$E$117</f>
        <v/>
      </c>
      <c r="V69" s="64" t="n"/>
      <c r="W69" s="87" t="str">
        <f>'Cálculos'!$C$141</f>
        <v/>
      </c>
      <c r="X69" s="64" t="n"/>
      <c r="Y69" s="64" t="n"/>
      <c r="Z69" s="64" t="n"/>
      <c r="AA69" s="64" t="n"/>
      <c r="AB69" s="91" t="str">
        <f>'Cálculos'!$E$141</f>
        <v/>
      </c>
      <c r="AC69" s="64" t="n"/>
      <c r="AD69" s="9" t="n"/>
    </row>
    <row r="70" ht="17" customHeight="1">
      <c r="A70" s="9" t="n"/>
      <c r="B70" s="87" t="str">
        <f>'Cálculos'!$C$94</f>
        <v/>
      </c>
      <c r="C70" s="64" t="n"/>
      <c r="D70" s="64" t="n"/>
      <c r="E70" s="64" t="n"/>
      <c r="F70" s="64" t="n"/>
      <c r="G70" s="64" t="n"/>
      <c r="H70" s="91" t="str">
        <f>'Cálculos'!$E$94</f>
        <v/>
      </c>
      <c r="I70" s="64" t="n"/>
      <c r="J70" s="91" t="str">
        <f>'Cálculos'!$F$94</f>
        <v/>
      </c>
      <c r="K70" s="64" t="n"/>
      <c r="L70" s="87" t="str">
        <f>'Cálculos'!$G$94</f>
        <v/>
      </c>
      <c r="M70" s="64" t="n"/>
      <c r="N70" s="88" t="str">
        <f>'Cálculos'!$H$94</f>
        <v/>
      </c>
      <c r="O70" s="64" t="n"/>
      <c r="P70" s="87" t="str">
        <f>'Cálculos'!$C$118</f>
        <v/>
      </c>
      <c r="Q70" s="64" t="n"/>
      <c r="R70" s="64" t="n"/>
      <c r="S70" s="88" t="str">
        <f>'Cálculos'!$D$118</f>
        <v/>
      </c>
      <c r="T70" s="64" t="n"/>
      <c r="U70" s="87" t="str">
        <f>'Cálculos'!$E$118</f>
        <v/>
      </c>
      <c r="V70" s="64" t="n"/>
      <c r="W70" s="87" t="str">
        <f>'Cálculos'!$C$142</f>
        <v/>
      </c>
      <c r="X70" s="64" t="n"/>
      <c r="Y70" s="64" t="n"/>
      <c r="Z70" s="64" t="n"/>
      <c r="AA70" s="64" t="n"/>
      <c r="AB70" s="91" t="str">
        <f>'Cálculos'!$E$142</f>
        <v/>
      </c>
      <c r="AC70" s="64" t="n"/>
      <c r="AD70" s="9" t="n"/>
    </row>
    <row r="71" ht="17" customHeight="1">
      <c r="A71" s="9" t="n"/>
      <c r="B71" s="87" t="str">
        <f>'Cálculos'!$C$95</f>
        <v/>
      </c>
      <c r="C71" s="64" t="n"/>
      <c r="D71" s="64" t="n"/>
      <c r="E71" s="64" t="n"/>
      <c r="F71" s="64" t="n"/>
      <c r="G71" s="64" t="n"/>
      <c r="H71" s="91" t="str">
        <f>'Cálculos'!$E$95</f>
        <v/>
      </c>
      <c r="I71" s="64" t="n"/>
      <c r="J71" s="91" t="str">
        <f>'Cálculos'!$F$95</f>
        <v/>
      </c>
      <c r="K71" s="64" t="n"/>
      <c r="L71" s="87" t="str">
        <f>'Cálculos'!$G$95</f>
        <v/>
      </c>
      <c r="M71" s="64" t="n"/>
      <c r="N71" s="88" t="str">
        <f>'Cálculos'!$H$95</f>
        <v/>
      </c>
      <c r="O71" s="64" t="n"/>
      <c r="P71" s="87" t="str">
        <f>'Cálculos'!$C$119</f>
        <v/>
      </c>
      <c r="Q71" s="64" t="n"/>
      <c r="R71" s="64" t="n"/>
      <c r="S71" s="88" t="str">
        <f>'Cálculos'!$D$119</f>
        <v/>
      </c>
      <c r="T71" s="64" t="n"/>
      <c r="U71" s="87" t="str">
        <f>'Cálculos'!$E$119</f>
        <v/>
      </c>
      <c r="V71" s="64" t="n"/>
      <c r="W71" s="87" t="str">
        <f>'Cálculos'!$C$143</f>
        <v/>
      </c>
      <c r="X71" s="64" t="n"/>
      <c r="Y71" s="64" t="n"/>
      <c r="Z71" s="64" t="n"/>
      <c r="AA71" s="64" t="n"/>
      <c r="AB71" s="91" t="str">
        <f>'Cálculos'!$E$143</f>
        <v/>
      </c>
      <c r="AC71" s="64" t="n"/>
      <c r="AD71" s="9" t="n"/>
    </row>
    <row r="72" ht="17" customHeight="1">
      <c r="A72" s="9" t="n"/>
      <c r="B72" s="87" t="str">
        <f>'Cálculos'!$C$96</f>
        <v/>
      </c>
      <c r="C72" s="64" t="n"/>
      <c r="D72" s="64" t="n"/>
      <c r="E72" s="64" t="n"/>
      <c r="F72" s="64" t="n"/>
      <c r="G72" s="64" t="n"/>
      <c r="H72" s="91" t="str">
        <f>'Cálculos'!$E$96</f>
        <v/>
      </c>
      <c r="I72" s="64" t="n"/>
      <c r="J72" s="91" t="str">
        <f>'Cálculos'!$F$96</f>
        <v/>
      </c>
      <c r="K72" s="64" t="n"/>
      <c r="L72" s="87" t="str">
        <f>'Cálculos'!$G$96</f>
        <v/>
      </c>
      <c r="M72" s="64" t="n"/>
      <c r="N72" s="88" t="str">
        <f>'Cálculos'!$H$96</f>
        <v/>
      </c>
      <c r="O72" s="64" t="n"/>
      <c r="P72" s="87" t="str">
        <f>'Cálculos'!$C$120</f>
        <v/>
      </c>
      <c r="Q72" s="64" t="n"/>
      <c r="R72" s="64" t="n"/>
      <c r="S72" s="88" t="str">
        <f>'Cálculos'!$D$120</f>
        <v/>
      </c>
      <c r="T72" s="64" t="n"/>
      <c r="U72" s="87" t="str">
        <f>'Cálculos'!$E$120</f>
        <v/>
      </c>
      <c r="V72" s="64" t="n"/>
      <c r="W72" s="87" t="str">
        <f>'Cálculos'!$C$144</f>
        <v/>
      </c>
      <c r="X72" s="64" t="n"/>
      <c r="Y72" s="64" t="n"/>
      <c r="Z72" s="64" t="n"/>
      <c r="AA72" s="64" t="n"/>
      <c r="AB72" s="91" t="str">
        <f>'Cálculos'!$E$144</f>
        <v/>
      </c>
      <c r="AC72" s="64" t="n"/>
      <c r="AD72" s="9" t="n"/>
    </row>
    <row r="73" ht="17" customHeight="1">
      <c r="A73" s="9" t="n"/>
      <c r="B73" s="87" t="str">
        <f>'Cálculos'!$C$97</f>
        <v/>
      </c>
      <c r="C73" s="64" t="n"/>
      <c r="D73" s="64" t="n"/>
      <c r="E73" s="64" t="n"/>
      <c r="F73" s="64" t="n"/>
      <c r="G73" s="64" t="n"/>
      <c r="H73" s="91" t="str">
        <f>'Cálculos'!$E$97</f>
        <v/>
      </c>
      <c r="I73" s="64" t="n"/>
      <c r="J73" s="91" t="str">
        <f>'Cálculos'!$F$97</f>
        <v/>
      </c>
      <c r="K73" s="64" t="n"/>
      <c r="L73" s="87" t="str">
        <f>'Cálculos'!$G$97</f>
        <v/>
      </c>
      <c r="M73" s="64" t="n"/>
      <c r="N73" s="88" t="str">
        <f>'Cálculos'!$H$97</f>
        <v/>
      </c>
      <c r="O73" s="64" t="n"/>
      <c r="P73" s="87" t="str">
        <f>'Cálculos'!$C$121</f>
        <v/>
      </c>
      <c r="Q73" s="64" t="n"/>
      <c r="R73" s="64" t="n"/>
      <c r="S73" s="88" t="str">
        <f>'Cálculos'!$D$121</f>
        <v/>
      </c>
      <c r="T73" s="64" t="n"/>
      <c r="U73" s="87" t="str">
        <f>'Cálculos'!$E$121</f>
        <v/>
      </c>
      <c r="V73" s="64" t="n"/>
      <c r="W73" s="87" t="str">
        <f>'Cálculos'!$C$145</f>
        <v/>
      </c>
      <c r="X73" s="64" t="n"/>
      <c r="Y73" s="64" t="n"/>
      <c r="Z73" s="64" t="n"/>
      <c r="AA73" s="64" t="n"/>
      <c r="AB73" s="91" t="str">
        <f>'Cálculos'!$E$145</f>
        <v/>
      </c>
      <c r="AC73" s="64" t="n"/>
      <c r="AD73" s="9" t="n"/>
    </row>
    <row r="74" ht="17" customHeight="1">
      <c r="A74" s="9" t="n"/>
      <c r="B74" s="87" t="str">
        <f>'Cálculos'!$C$98</f>
        <v/>
      </c>
      <c r="C74" s="64" t="n"/>
      <c r="D74" s="64" t="n"/>
      <c r="E74" s="64" t="n"/>
      <c r="F74" s="64" t="n"/>
      <c r="G74" s="64" t="n"/>
      <c r="H74" s="91" t="str">
        <f>'Cálculos'!$E$98</f>
        <v/>
      </c>
      <c r="I74" s="64" t="n"/>
      <c r="J74" s="91" t="str">
        <f>'Cálculos'!$F$98</f>
        <v/>
      </c>
      <c r="K74" s="64" t="n"/>
      <c r="L74" s="87" t="str">
        <f>'Cálculos'!$G$98</f>
        <v/>
      </c>
      <c r="M74" s="64" t="n"/>
      <c r="N74" s="88" t="str">
        <f>'Cálculos'!$H$98</f>
        <v/>
      </c>
      <c r="O74" s="64" t="n"/>
      <c r="P74" s="87" t="str">
        <f>'Cálculos'!$C$122</f>
        <v/>
      </c>
      <c r="Q74" s="64" t="n"/>
      <c r="R74" s="64" t="n"/>
      <c r="S74" s="88" t="str">
        <f>'Cálculos'!$D$122</f>
        <v/>
      </c>
      <c r="T74" s="64" t="n"/>
      <c r="U74" s="87" t="str">
        <f>'Cálculos'!$E$122</f>
        <v/>
      </c>
      <c r="V74" s="64" t="n"/>
      <c r="W74" s="87" t="str">
        <f>'Cálculos'!$C$146</f>
        <v/>
      </c>
      <c r="X74" s="64" t="n"/>
      <c r="Y74" s="64" t="n"/>
      <c r="Z74" s="64" t="n"/>
      <c r="AA74" s="64" t="n"/>
      <c r="AB74" s="91" t="str">
        <f>'Cálculos'!$E$146</f>
        <v/>
      </c>
      <c r="AC74" s="64" t="n"/>
      <c r="AD74" s="9" t="n"/>
    </row>
    <row r="75" ht="17" customHeight="1">
      <c r="A75" s="9" t="n"/>
      <c r="B75" s="89" t="str">
        <f>IF(B67="","Nada por aqui ✔","")</f>
        <v>Nada por aqui ✔</v>
      </c>
      <c r="P75" s="89" t="str">
        <f>IF(P67="","Nada por aqui ✔","")</f>
        <v>Nada por aqui ✔</v>
      </c>
      <c r="W75" s="89" t="str">
        <f>IF(W67="","Nada por aqui ✔","")</f>
        <v>Nada por aqui ✔</v>
      </c>
      <c r="AD75" s="9" t="n"/>
    </row>
    <row r="76" ht="17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</row>
    <row r="78" ht="22" customHeight="1">
      <c r="A78" s="9" t="n"/>
      <c r="B78" s="24" t="str">
        <f>"FINANÇAS · ANO "&amp;Ano</f>
        <v>FINANÇAS · ANO 2026</v>
      </c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</row>
    <row r="95">
      <c r="A95" s="9" t="n"/>
      <c r="B95" s="92" t="inlineStr">
        <is>
          <t>DISTRIBUIÇÃO DA RECEITA NO MÊS · referência 50/30/20</t>
        </is>
      </c>
      <c r="AD95" s="9" t="n"/>
    </row>
    <row r="96" ht="14" customHeight="1">
      <c r="A96" s="9" t="n"/>
      <c r="B96" s="40" t="inlineStr">
        <is>
          <t>ESSENCIAL · ref. ≤ 50%</t>
        </is>
      </c>
      <c r="C96" s="27" t="n"/>
      <c r="D96" s="27" t="n"/>
      <c r="E96" s="27" t="n"/>
      <c r="F96" s="27" t="n"/>
      <c r="G96" s="28" t="n"/>
      <c r="H96" s="9" t="n"/>
      <c r="I96" s="40" t="inlineStr">
        <is>
          <t>ESTILO DE VIDA · ref. ≤ 30%</t>
        </is>
      </c>
      <c r="J96" s="27" t="n"/>
      <c r="K96" s="27" t="n"/>
      <c r="L96" s="27" t="n"/>
      <c r="M96" s="27" t="n"/>
      <c r="N96" s="28" t="n"/>
      <c r="O96" s="9" t="n"/>
      <c r="P96" s="40" t="inlineStr">
        <is>
          <t>CRESCIMENTO · cursos, livros</t>
        </is>
      </c>
      <c r="Q96" s="27" t="n"/>
      <c r="R96" s="27" t="n"/>
      <c r="S96" s="27" t="n"/>
      <c r="T96" s="27" t="n"/>
      <c r="U96" s="28" t="n"/>
      <c r="V96" s="9" t="n"/>
      <c r="W96" s="40" t="inlineStr">
        <is>
          <t>POUPANÇA · ref. ≥ 20%</t>
        </is>
      </c>
      <c r="X96" s="27" t="n"/>
      <c r="Y96" s="27" t="n"/>
      <c r="Z96" s="27" t="n"/>
      <c r="AA96" s="27" t="n"/>
      <c r="AB96" s="28" t="n"/>
      <c r="AC96" s="9" t="n"/>
      <c r="AD96" s="9" t="n"/>
    </row>
    <row r="97" ht="24" customHeight="1">
      <c r="A97" s="9" t="n"/>
      <c r="B97" s="93" t="str">
        <f>IF('Orçamento'!$D$90="","–",'Orçamento'!$D$90)</f>
        <v>–</v>
      </c>
      <c r="C97" s="31" t="n"/>
      <c r="D97" s="31" t="n"/>
      <c r="E97" s="31" t="n"/>
      <c r="F97" s="31" t="n"/>
      <c r="G97" s="32" t="n"/>
      <c r="H97" s="9" t="n"/>
      <c r="I97" s="93" t="str">
        <f>IF('Orçamento'!$D$91="","–",'Orçamento'!$D$91)</f>
        <v>–</v>
      </c>
      <c r="J97" s="31" t="n"/>
      <c r="K97" s="31" t="n"/>
      <c r="L97" s="31" t="n"/>
      <c r="M97" s="31" t="n"/>
      <c r="N97" s="32" t="n"/>
      <c r="O97" s="9" t="n"/>
      <c r="P97" s="93" t="str">
        <f>IF('Orçamento'!$D$92="","–",'Orçamento'!$D$92)</f>
        <v>–</v>
      </c>
      <c r="Q97" s="31" t="n"/>
      <c r="R97" s="31" t="n"/>
      <c r="S97" s="31" t="n"/>
      <c r="T97" s="31" t="n"/>
      <c r="U97" s="32" t="n"/>
      <c r="V97" s="9" t="n"/>
      <c r="W97" s="93" t="str">
        <f>IF('Orçamento'!$D$93="","–",'Orçamento'!$D$93)</f>
        <v>–</v>
      </c>
      <c r="X97" s="31" t="n"/>
      <c r="Y97" s="31" t="n"/>
      <c r="Z97" s="31" t="n"/>
      <c r="AA97" s="31" t="n"/>
      <c r="AB97" s="32" t="n"/>
      <c r="AC97" s="9" t="n"/>
      <c r="AD97" s="9" t="n"/>
    </row>
    <row r="98" ht="16" customHeight="1">
      <c r="A98" s="9" t="n"/>
      <c r="B98" s="44" t="str">
        <f>'Orçamento'!$G$90</f>
        <v/>
      </c>
      <c r="C98" s="37" t="n"/>
      <c r="D98" s="37" t="n"/>
      <c r="E98" s="37" t="n"/>
      <c r="F98" s="37" t="n"/>
      <c r="G98" s="38" t="n"/>
      <c r="H98" s="9" t="n"/>
      <c r="I98" s="44" t="str">
        <f>'Orçamento'!$G$91</f>
        <v/>
      </c>
      <c r="J98" s="37" t="n"/>
      <c r="K98" s="37" t="n"/>
      <c r="L98" s="37" t="n"/>
      <c r="M98" s="37" t="n"/>
      <c r="N98" s="38" t="n"/>
      <c r="O98" s="9" t="n"/>
      <c r="P98" s="44" t="str">
        <f>'Orçamento'!$G$92</f>
        <v/>
      </c>
      <c r="Q98" s="37" t="n"/>
      <c r="R98" s="37" t="n"/>
      <c r="S98" s="37" t="n"/>
      <c r="T98" s="37" t="n"/>
      <c r="U98" s="38" t="n"/>
      <c r="V98" s="9" t="n"/>
      <c r="W98" s="44" t="str">
        <f>'Orçamento'!$G$93</f>
        <v/>
      </c>
      <c r="X98" s="37" t="n"/>
      <c r="Y98" s="37" t="n"/>
      <c r="Z98" s="37" t="n"/>
      <c r="AA98" s="37" t="n"/>
      <c r="AB98" s="38" t="n"/>
      <c r="AC98" s="9" t="n"/>
      <c r="AD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</row>
    <row r="116" ht="22" customHeight="1">
      <c r="A116" s="9" t="n"/>
      <c r="B116" s="24" t="inlineStr">
        <is>
          <t>SAÚDE &amp; HÁBITOS</t>
        </is>
      </c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  <c r="AD116" s="9" t="n"/>
    </row>
    <row r="117">
      <c r="A117" s="9" t="n"/>
      <c r="B117" s="92" t="inlineStr">
        <is>
          <t>HUMOR NOS ÚLTIMOS 28 DIAS  ·  vermelho = dia ruim · cinza = neutro · azul = dia bom · vazio = sem registro</t>
        </is>
      </c>
      <c r="AD117" s="9" t="n"/>
    </row>
    <row r="118">
      <c r="A118" s="9" t="n"/>
      <c r="B118" s="94">
        <f>DAY('Cálculos'!$B$172)</f>
        <v>5</v>
      </c>
      <c r="C118" s="94">
        <f>DAY('Cálculos'!$B$173)</f>
        <v>6</v>
      </c>
      <c r="D118" s="94">
        <f>DAY('Cálculos'!$B$174)</f>
        <v>7</v>
      </c>
      <c r="E118" s="94">
        <f>DAY('Cálculos'!$B$175)</f>
        <v>8</v>
      </c>
      <c r="F118" s="94">
        <f>DAY('Cálculos'!$B$176)</f>
        <v>9</v>
      </c>
      <c r="G118" s="94">
        <f>DAY('Cálculos'!$B$177)</f>
        <v>10</v>
      </c>
      <c r="H118" s="94">
        <f>DAY('Cálculos'!$B$178)</f>
        <v>11</v>
      </c>
      <c r="I118" s="94">
        <f>DAY('Cálculos'!$B$179)</f>
        <v>12</v>
      </c>
      <c r="J118" s="94">
        <f>DAY('Cálculos'!$B$180)</f>
        <v>13</v>
      </c>
      <c r="K118" s="94">
        <f>DAY('Cálculos'!$B$181)</f>
        <v>14</v>
      </c>
      <c r="L118" s="94">
        <f>DAY('Cálculos'!$B$182)</f>
        <v>15</v>
      </c>
      <c r="M118" s="94">
        <f>DAY('Cálculos'!$B$183)</f>
        <v>16</v>
      </c>
      <c r="N118" s="94">
        <f>DAY('Cálculos'!$B$184)</f>
        <v>17</v>
      </c>
      <c r="O118" s="94">
        <f>DAY('Cálculos'!$B$185)</f>
        <v>18</v>
      </c>
      <c r="P118" s="94">
        <f>DAY('Cálculos'!$B$186)</f>
        <v>19</v>
      </c>
      <c r="Q118" s="94">
        <f>DAY('Cálculos'!$B$187)</f>
        <v>20</v>
      </c>
      <c r="R118" s="94">
        <f>DAY('Cálculos'!$B$188)</f>
        <v>21</v>
      </c>
      <c r="S118" s="94">
        <f>DAY('Cálculos'!$B$189)</f>
        <v>22</v>
      </c>
      <c r="T118" s="94">
        <f>DAY('Cálculos'!$B$190)</f>
        <v>23</v>
      </c>
      <c r="U118" s="94">
        <f>DAY('Cálculos'!$B$191)</f>
        <v>24</v>
      </c>
      <c r="V118" s="94">
        <f>DAY('Cálculos'!$B$192)</f>
        <v>25</v>
      </c>
      <c r="W118" s="94">
        <f>DAY('Cálculos'!$B$193)</f>
        <v>26</v>
      </c>
      <c r="X118" s="94">
        <f>DAY('Cálculos'!$B$194)</f>
        <v>27</v>
      </c>
      <c r="Y118" s="94">
        <f>DAY('Cálculos'!$B$195)</f>
        <v>28</v>
      </c>
      <c r="Z118" s="94">
        <f>DAY('Cálculos'!$B$196)</f>
        <v>29</v>
      </c>
      <c r="AA118" s="94">
        <f>DAY('Cálculos'!$B$197)</f>
        <v>30</v>
      </c>
      <c r="AB118" s="94">
        <f>DAY('Cálculos'!$B$198)</f>
        <v>1</v>
      </c>
      <c r="AC118" s="94">
        <f>DAY('Cálculos'!$B$199)</f>
        <v>2</v>
      </c>
      <c r="AD118" s="9" t="n"/>
    </row>
    <row r="119" ht="24" customHeight="1">
      <c r="A119" s="9" t="n"/>
      <c r="B119" s="95" t="str">
        <f>'Cálculos'!$C$172</f>
        <v/>
      </c>
      <c r="C119" s="95" t="str">
        <f>'Cálculos'!$C$173</f>
        <v/>
      </c>
      <c r="D119" s="95" t="str">
        <f>'Cálculos'!$C$174</f>
        <v/>
      </c>
      <c r="E119" s="95" t="str">
        <f>'Cálculos'!$C$175</f>
        <v/>
      </c>
      <c r="F119" s="95" t="str">
        <f>'Cálculos'!$C$176</f>
        <v/>
      </c>
      <c r="G119" s="95" t="str">
        <f>'Cálculos'!$C$177</f>
        <v/>
      </c>
      <c r="H119" s="95" t="str">
        <f>'Cálculos'!$C$178</f>
        <v/>
      </c>
      <c r="I119" s="95" t="str">
        <f>'Cálculos'!$C$179</f>
        <v/>
      </c>
      <c r="J119" s="95" t="str">
        <f>'Cálculos'!$C$180</f>
        <v/>
      </c>
      <c r="K119" s="95" t="str">
        <f>'Cálculos'!$C$181</f>
        <v/>
      </c>
      <c r="L119" s="95" t="str">
        <f>'Cálculos'!$C$182</f>
        <v/>
      </c>
      <c r="M119" s="95" t="str">
        <f>'Cálculos'!$C$183</f>
        <v/>
      </c>
      <c r="N119" s="95" t="str">
        <f>'Cálculos'!$C$184</f>
        <v/>
      </c>
      <c r="O119" s="95" t="str">
        <f>'Cálculos'!$C$185</f>
        <v/>
      </c>
      <c r="P119" s="95" t="str">
        <f>'Cálculos'!$C$186</f>
        <v/>
      </c>
      <c r="Q119" s="95" t="str">
        <f>'Cálculos'!$C$187</f>
        <v/>
      </c>
      <c r="R119" s="95" t="str">
        <f>'Cálculos'!$C$188</f>
        <v/>
      </c>
      <c r="S119" s="95" t="str">
        <f>'Cálculos'!$C$189</f>
        <v/>
      </c>
      <c r="T119" s="95" t="str">
        <f>'Cálculos'!$C$190</f>
        <v/>
      </c>
      <c r="U119" s="95" t="str">
        <f>'Cálculos'!$C$191</f>
        <v/>
      </c>
      <c r="V119" s="95" t="str">
        <f>'Cálculos'!$C$192</f>
        <v/>
      </c>
      <c r="W119" s="95" t="str">
        <f>'Cálculos'!$C$193</f>
        <v/>
      </c>
      <c r="X119" s="95" t="str">
        <f>'Cálculos'!$C$194</f>
        <v/>
      </c>
      <c r="Y119" s="95" t="str">
        <f>'Cálculos'!$C$195</f>
        <v/>
      </c>
      <c r="Z119" s="95" t="str">
        <f>'Cálculos'!$C$196</f>
        <v/>
      </c>
      <c r="AA119" s="95" t="str">
        <f>'Cálculos'!$C$197</f>
        <v/>
      </c>
      <c r="AB119" s="95" t="str">
        <f>'Cálculos'!$C$198</f>
        <v/>
      </c>
      <c r="AC119" s="95" t="str">
        <f>'Cálculos'!$C$199</f>
        <v/>
      </c>
      <c r="AD119" s="9" t="n"/>
    </row>
    <row r="120">
      <c r="A120" s="9" t="n"/>
      <c r="B120" s="92" t="inlineStr">
        <is>
          <t>HÁBITOS CUMPRIDOS POR DIA  ·  quanto mais escuro, mais hábitos feitos naquele dia</t>
        </is>
      </c>
      <c r="AD120" s="9" t="n"/>
    </row>
    <row r="121">
      <c r="A121" s="9" t="n"/>
      <c r="B121" s="94">
        <f>DAY('Cálculos'!$B$172)</f>
        <v>5</v>
      </c>
      <c r="C121" s="94">
        <f>DAY('Cálculos'!$B$173)</f>
        <v>6</v>
      </c>
      <c r="D121" s="94">
        <f>DAY('Cálculos'!$B$174)</f>
        <v>7</v>
      </c>
      <c r="E121" s="94">
        <f>DAY('Cálculos'!$B$175)</f>
        <v>8</v>
      </c>
      <c r="F121" s="94">
        <f>DAY('Cálculos'!$B$176)</f>
        <v>9</v>
      </c>
      <c r="G121" s="94">
        <f>DAY('Cálculos'!$B$177)</f>
        <v>10</v>
      </c>
      <c r="H121" s="94">
        <f>DAY('Cálculos'!$B$178)</f>
        <v>11</v>
      </c>
      <c r="I121" s="94">
        <f>DAY('Cálculos'!$B$179)</f>
        <v>12</v>
      </c>
      <c r="J121" s="94">
        <f>DAY('Cálculos'!$B$180)</f>
        <v>13</v>
      </c>
      <c r="K121" s="94">
        <f>DAY('Cálculos'!$B$181)</f>
        <v>14</v>
      </c>
      <c r="L121" s="94">
        <f>DAY('Cálculos'!$B$182)</f>
        <v>15</v>
      </c>
      <c r="M121" s="94">
        <f>DAY('Cálculos'!$B$183)</f>
        <v>16</v>
      </c>
      <c r="N121" s="94">
        <f>DAY('Cálculos'!$B$184)</f>
        <v>17</v>
      </c>
      <c r="O121" s="94">
        <f>DAY('Cálculos'!$B$185)</f>
        <v>18</v>
      </c>
      <c r="P121" s="94">
        <f>DAY('Cálculos'!$B$186)</f>
        <v>19</v>
      </c>
      <c r="Q121" s="94">
        <f>DAY('Cálculos'!$B$187)</f>
        <v>20</v>
      </c>
      <c r="R121" s="94">
        <f>DAY('Cálculos'!$B$188)</f>
        <v>21</v>
      </c>
      <c r="S121" s="94">
        <f>DAY('Cálculos'!$B$189)</f>
        <v>22</v>
      </c>
      <c r="T121" s="94">
        <f>DAY('Cálculos'!$B$190)</f>
        <v>23</v>
      </c>
      <c r="U121" s="94">
        <f>DAY('Cálculos'!$B$191)</f>
        <v>24</v>
      </c>
      <c r="V121" s="94">
        <f>DAY('Cálculos'!$B$192)</f>
        <v>25</v>
      </c>
      <c r="W121" s="94">
        <f>DAY('Cálculos'!$B$193)</f>
        <v>26</v>
      </c>
      <c r="X121" s="94">
        <f>DAY('Cálculos'!$B$194)</f>
        <v>27</v>
      </c>
      <c r="Y121" s="94">
        <f>DAY('Cálculos'!$B$195)</f>
        <v>28</v>
      </c>
      <c r="Z121" s="94">
        <f>DAY('Cálculos'!$B$196)</f>
        <v>29</v>
      </c>
      <c r="AA121" s="94">
        <f>DAY('Cálculos'!$B$197)</f>
        <v>30</v>
      </c>
      <c r="AB121" s="94">
        <f>DAY('Cálculos'!$B$198)</f>
        <v>1</v>
      </c>
      <c r="AC121" s="94">
        <f>DAY('Cálculos'!$B$199)</f>
        <v>2</v>
      </c>
      <c r="AD121" s="9" t="n"/>
    </row>
    <row r="122" ht="24" customHeight="1">
      <c r="A122" s="9" t="n"/>
      <c r="B122" s="95" t="str">
        <f>'Cálculos'!$D$172</f>
        <v/>
      </c>
      <c r="C122" s="95" t="str">
        <f>'Cálculos'!$D$173</f>
        <v/>
      </c>
      <c r="D122" s="95" t="str">
        <f>'Cálculos'!$D$174</f>
        <v/>
      </c>
      <c r="E122" s="95" t="str">
        <f>'Cálculos'!$D$175</f>
        <v/>
      </c>
      <c r="F122" s="95" t="str">
        <f>'Cálculos'!$D$176</f>
        <v/>
      </c>
      <c r="G122" s="95" t="str">
        <f>'Cálculos'!$D$177</f>
        <v/>
      </c>
      <c r="H122" s="95" t="str">
        <f>'Cálculos'!$D$178</f>
        <v/>
      </c>
      <c r="I122" s="95" t="str">
        <f>'Cálculos'!$D$179</f>
        <v/>
      </c>
      <c r="J122" s="95" t="str">
        <f>'Cálculos'!$D$180</f>
        <v/>
      </c>
      <c r="K122" s="95" t="str">
        <f>'Cálculos'!$D$181</f>
        <v/>
      </c>
      <c r="L122" s="95" t="str">
        <f>'Cálculos'!$D$182</f>
        <v/>
      </c>
      <c r="M122" s="95" t="str">
        <f>'Cálculos'!$D$183</f>
        <v/>
      </c>
      <c r="N122" s="95" t="str">
        <f>'Cálculos'!$D$184</f>
        <v/>
      </c>
      <c r="O122" s="95" t="str">
        <f>'Cálculos'!$D$185</f>
        <v/>
      </c>
      <c r="P122" s="95" t="str">
        <f>'Cálculos'!$D$186</f>
        <v/>
      </c>
      <c r="Q122" s="95" t="str">
        <f>'Cálculos'!$D$187</f>
        <v/>
      </c>
      <c r="R122" s="95" t="str">
        <f>'Cálculos'!$D$188</f>
        <v/>
      </c>
      <c r="S122" s="95" t="str">
        <f>'Cálculos'!$D$189</f>
        <v/>
      </c>
      <c r="T122" s="95" t="str">
        <f>'Cálculos'!$D$190</f>
        <v/>
      </c>
      <c r="U122" s="95" t="str">
        <f>'Cálculos'!$D$191</f>
        <v/>
      </c>
      <c r="V122" s="95" t="str">
        <f>'Cálculos'!$D$192</f>
        <v/>
      </c>
      <c r="W122" s="95" t="str">
        <f>'Cálculos'!$D$193</f>
        <v/>
      </c>
      <c r="X122" s="95" t="str">
        <f>'Cálculos'!$D$194</f>
        <v/>
      </c>
      <c r="Y122" s="95" t="str">
        <f>'Cálculos'!$D$195</f>
        <v/>
      </c>
      <c r="Z122" s="95" t="str">
        <f>'Cálculos'!$D$196</f>
        <v/>
      </c>
      <c r="AA122" s="95" t="str">
        <f>'Cálculos'!$D$197</f>
        <v/>
      </c>
      <c r="AB122" s="95" t="str">
        <f>'Cálculos'!$D$198</f>
        <v/>
      </c>
      <c r="AC122" s="95" t="str">
        <f>'Cálculos'!$D$199</f>
        <v/>
      </c>
      <c r="AD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</row>
    <row r="156" ht="22" customHeight="1">
      <c r="A156" s="9" t="n"/>
      <c r="B156" s="24" t="inlineStr">
        <is>
          <t>METAS, ESTUDO &amp; LAZER</t>
        </is>
      </c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</row>
  </sheetData>
  <mergeCells count="326">
    <mergeCell ref="P8:U8"/>
    <mergeCell ref="W69:AA69"/>
    <mergeCell ref="L31:R31"/>
    <mergeCell ref="S72:T72"/>
    <mergeCell ref="W61:Z61"/>
    <mergeCell ref="B55:H55"/>
    <mergeCell ref="K56:M56"/>
    <mergeCell ref="P16:U16"/>
    <mergeCell ref="W12:AB12"/>
    <mergeCell ref="B95:AC95"/>
    <mergeCell ref="P18:U18"/>
    <mergeCell ref="B58:H58"/>
    <mergeCell ref="B60:H60"/>
    <mergeCell ref="B12:G12"/>
    <mergeCell ref="S60:T60"/>
    <mergeCell ref="U60:V60"/>
    <mergeCell ref="P6:U6"/>
    <mergeCell ref="I30:J30"/>
    <mergeCell ref="B14:G14"/>
    <mergeCell ref="I61:J61"/>
    <mergeCell ref="Z1:AC1"/>
    <mergeCell ref="I54:J54"/>
    <mergeCell ref="T1:Y1"/>
    <mergeCell ref="W53:AC53"/>
    <mergeCell ref="L32:R32"/>
    <mergeCell ref="X3:Y3"/>
    <mergeCell ref="I56:J56"/>
    <mergeCell ref="Z3:AA3"/>
    <mergeCell ref="W14:AB14"/>
    <mergeCell ref="W72:AA72"/>
    <mergeCell ref="U71:V71"/>
    <mergeCell ref="AB67:AC67"/>
    <mergeCell ref="U58:V58"/>
    <mergeCell ref="W70:AA70"/>
    <mergeCell ref="U73:V73"/>
    <mergeCell ref="AB69:AC69"/>
    <mergeCell ref="W15:AB15"/>
    <mergeCell ref="I59:J59"/>
    <mergeCell ref="L70:M70"/>
    <mergeCell ref="L25:R25"/>
    <mergeCell ref="N70:O70"/>
    <mergeCell ref="P97:U97"/>
    <mergeCell ref="W8:AB8"/>
    <mergeCell ref="B15:G15"/>
    <mergeCell ref="I62:J62"/>
    <mergeCell ref="Q39:AC39"/>
    <mergeCell ref="D3:E3"/>
    <mergeCell ref="N60:O60"/>
    <mergeCell ref="I11:N11"/>
    <mergeCell ref="S54:T54"/>
    <mergeCell ref="P96:U96"/>
    <mergeCell ref="P59:R59"/>
    <mergeCell ref="S56:T56"/>
    <mergeCell ref="AA57:AC57"/>
    <mergeCell ref="P61:R61"/>
    <mergeCell ref="K58:M58"/>
    <mergeCell ref="U74:V74"/>
    <mergeCell ref="AB72:AC72"/>
    <mergeCell ref="L71:M71"/>
    <mergeCell ref="N71:O71"/>
    <mergeCell ref="AB70:AC70"/>
    <mergeCell ref="L73:M73"/>
    <mergeCell ref="N73:O73"/>
    <mergeCell ref="U54:V54"/>
    <mergeCell ref="B117:AC117"/>
    <mergeCell ref="B33:F33"/>
    <mergeCell ref="K55:M55"/>
    <mergeCell ref="P56:R56"/>
    <mergeCell ref="L66:M66"/>
    <mergeCell ref="S62:T62"/>
    <mergeCell ref="N66:O66"/>
    <mergeCell ref="I12:N12"/>
    <mergeCell ref="L3:M3"/>
    <mergeCell ref="J68:K68"/>
    <mergeCell ref="N3:O3"/>
    <mergeCell ref="L68:M68"/>
    <mergeCell ref="N68:O68"/>
    <mergeCell ref="I25:J25"/>
    <mergeCell ref="I14:N14"/>
    <mergeCell ref="N61:O61"/>
    <mergeCell ref="S57:T57"/>
    <mergeCell ref="I58:J58"/>
    <mergeCell ref="U57:V57"/>
    <mergeCell ref="P62:R62"/>
    <mergeCell ref="B34:F34"/>
    <mergeCell ref="B28:F28"/>
    <mergeCell ref="H72:I72"/>
    <mergeCell ref="P54:R54"/>
    <mergeCell ref="B30:F30"/>
    <mergeCell ref="B120:AC120"/>
    <mergeCell ref="L30:R30"/>
    <mergeCell ref="AB73:AC73"/>
    <mergeCell ref="P67:R67"/>
    <mergeCell ref="S70:T70"/>
    <mergeCell ref="U70:V70"/>
    <mergeCell ref="P57:R57"/>
    <mergeCell ref="I20:N20"/>
    <mergeCell ref="AA62:AC62"/>
    <mergeCell ref="N67:O67"/>
    <mergeCell ref="K62:M62"/>
    <mergeCell ref="G33:H33"/>
    <mergeCell ref="I33:J33"/>
    <mergeCell ref="L69:M69"/>
    <mergeCell ref="N69:O69"/>
    <mergeCell ref="L24:R24"/>
    <mergeCell ref="W54:Z54"/>
    <mergeCell ref="I15:N15"/>
    <mergeCell ref="L26:R26"/>
    <mergeCell ref="W56:Z56"/>
    <mergeCell ref="P72:R72"/>
    <mergeCell ref="B75:O75"/>
    <mergeCell ref="P75:V75"/>
    <mergeCell ref="P11:U11"/>
    <mergeCell ref="P70:R70"/>
    <mergeCell ref="B31:F31"/>
    <mergeCell ref="W96:AB96"/>
    <mergeCell ref="H73:I73"/>
    <mergeCell ref="B59:H59"/>
    <mergeCell ref="B43:N43"/>
    <mergeCell ref="I23:J23"/>
    <mergeCell ref="B7:G7"/>
    <mergeCell ref="S55:T55"/>
    <mergeCell ref="U55:V55"/>
    <mergeCell ref="B65:O65"/>
    <mergeCell ref="P65:V65"/>
    <mergeCell ref="B71:G71"/>
    <mergeCell ref="P60:R60"/>
    <mergeCell ref="B63:O63"/>
    <mergeCell ref="T3:U3"/>
    <mergeCell ref="V3:W3"/>
    <mergeCell ref="I34:J34"/>
    <mergeCell ref="S58:T58"/>
    <mergeCell ref="W7:AB7"/>
    <mergeCell ref="L27:R27"/>
    <mergeCell ref="N72:O72"/>
    <mergeCell ref="W57:Z57"/>
    <mergeCell ref="P19:U19"/>
    <mergeCell ref="S66:T66"/>
    <mergeCell ref="U66:V66"/>
    <mergeCell ref="H70:I70"/>
    <mergeCell ref="P12:U12"/>
    <mergeCell ref="J70:K70"/>
    <mergeCell ref="W98:AB98"/>
    <mergeCell ref="P71:R71"/>
    <mergeCell ref="S68:T68"/>
    <mergeCell ref="P58:R58"/>
    <mergeCell ref="U68:V68"/>
    <mergeCell ref="P14:U14"/>
    <mergeCell ref="P73:R73"/>
    <mergeCell ref="B61:H61"/>
    <mergeCell ref="G29:H29"/>
    <mergeCell ref="I29:J29"/>
    <mergeCell ref="W62:Z62"/>
    <mergeCell ref="G31:H31"/>
    <mergeCell ref="I31:J31"/>
    <mergeCell ref="B25:F25"/>
    <mergeCell ref="B8:G8"/>
    <mergeCell ref="B73:G73"/>
    <mergeCell ref="B1:S1"/>
    <mergeCell ref="I26:J26"/>
    <mergeCell ref="AA59:AC59"/>
    <mergeCell ref="B10:G10"/>
    <mergeCell ref="B74:G74"/>
    <mergeCell ref="B68:G68"/>
    <mergeCell ref="B53:O53"/>
    <mergeCell ref="W71:AA71"/>
    <mergeCell ref="S74:T74"/>
    <mergeCell ref="P20:U20"/>
    <mergeCell ref="W10:AB10"/>
    <mergeCell ref="U67:V67"/>
    <mergeCell ref="W73:AA73"/>
    <mergeCell ref="B39:N41"/>
    <mergeCell ref="H71:I71"/>
    <mergeCell ref="J71:K71"/>
    <mergeCell ref="U69:V69"/>
    <mergeCell ref="J73:K73"/>
    <mergeCell ref="B3:C3"/>
    <mergeCell ref="W68:AA68"/>
    <mergeCell ref="I57:J57"/>
    <mergeCell ref="P98:U98"/>
    <mergeCell ref="I32:J32"/>
    <mergeCell ref="W55:Z55"/>
    <mergeCell ref="H3:I3"/>
    <mergeCell ref="J3:K3"/>
    <mergeCell ref="P10:U10"/>
    <mergeCell ref="W6:AB6"/>
    <mergeCell ref="G25:H25"/>
    <mergeCell ref="Q40:AC40"/>
    <mergeCell ref="B38:N38"/>
    <mergeCell ref="I60:J60"/>
    <mergeCell ref="B11:G11"/>
    <mergeCell ref="I7:N7"/>
    <mergeCell ref="W58:Z58"/>
    <mergeCell ref="L34:R34"/>
    <mergeCell ref="N54:O54"/>
    <mergeCell ref="P38:AC38"/>
    <mergeCell ref="W60:Z60"/>
    <mergeCell ref="W16:AB16"/>
    <mergeCell ref="K59:M59"/>
    <mergeCell ref="W74:AA74"/>
    <mergeCell ref="N56:O56"/>
    <mergeCell ref="W18:AB18"/>
    <mergeCell ref="K61:M61"/>
    <mergeCell ref="B23:F23"/>
    <mergeCell ref="J74:K74"/>
    <mergeCell ref="AB71:AC71"/>
    <mergeCell ref="L74:M74"/>
    <mergeCell ref="AA55:AC55"/>
    <mergeCell ref="W11:AB11"/>
    <mergeCell ref="U72:V72"/>
    <mergeCell ref="W19:AB19"/>
    <mergeCell ref="B97:G97"/>
    <mergeCell ref="N59:O59"/>
    <mergeCell ref="AB66:AC66"/>
    <mergeCell ref="B72:G72"/>
    <mergeCell ref="AB68:AC68"/>
    <mergeCell ref="AA58:AC58"/>
    <mergeCell ref="H67:I67"/>
    <mergeCell ref="J67:K67"/>
    <mergeCell ref="B35:R35"/>
    <mergeCell ref="AA60:AC60"/>
    <mergeCell ref="L67:M67"/>
    <mergeCell ref="W97:AB97"/>
    <mergeCell ref="J69:K69"/>
    <mergeCell ref="B19:G19"/>
    <mergeCell ref="Q41:AC41"/>
    <mergeCell ref="N62:O62"/>
    <mergeCell ref="I8:N8"/>
    <mergeCell ref="G28:H28"/>
    <mergeCell ref="I28:J28"/>
    <mergeCell ref="B20:G20"/>
    <mergeCell ref="B29:F29"/>
    <mergeCell ref="I10:N10"/>
    <mergeCell ref="G30:H30"/>
    <mergeCell ref="I55:J55"/>
    <mergeCell ref="N57:O57"/>
    <mergeCell ref="B24:F24"/>
    <mergeCell ref="K54:M54"/>
    <mergeCell ref="P43:AC43"/>
    <mergeCell ref="B96:G96"/>
    <mergeCell ref="B32:F32"/>
    <mergeCell ref="T2:AC2"/>
    <mergeCell ref="B26:F26"/>
    <mergeCell ref="AB3:AC3"/>
    <mergeCell ref="AB74:AC74"/>
    <mergeCell ref="W20:AB20"/>
    <mergeCell ref="B98:G98"/>
    <mergeCell ref="G23:H23"/>
    <mergeCell ref="S71:T71"/>
    <mergeCell ref="B27:F27"/>
    <mergeCell ref="S73:T73"/>
    <mergeCell ref="P63:V63"/>
    <mergeCell ref="G34:H34"/>
    <mergeCell ref="K57:M57"/>
    <mergeCell ref="P55:R55"/>
    <mergeCell ref="L72:M72"/>
    <mergeCell ref="K60:M60"/>
    <mergeCell ref="I16:N16"/>
    <mergeCell ref="S59:T59"/>
    <mergeCell ref="U59:V59"/>
    <mergeCell ref="I18:N18"/>
    <mergeCell ref="S61:T61"/>
    <mergeCell ref="H74:I74"/>
    <mergeCell ref="U61:V61"/>
    <mergeCell ref="H68:I68"/>
    <mergeCell ref="P7:U7"/>
    <mergeCell ref="P66:R66"/>
    <mergeCell ref="B54:H54"/>
    <mergeCell ref="P68:R68"/>
    <mergeCell ref="H69:I69"/>
    <mergeCell ref="U56:V56"/>
    <mergeCell ref="B56:H56"/>
    <mergeCell ref="G24:H24"/>
    <mergeCell ref="I24:J24"/>
    <mergeCell ref="I6:N6"/>
    <mergeCell ref="G26:H26"/>
    <mergeCell ref="L33:R33"/>
    <mergeCell ref="B48:AC48"/>
    <mergeCell ref="B57:H57"/>
    <mergeCell ref="B66:G66"/>
    <mergeCell ref="B44:N46"/>
    <mergeCell ref="N55:O55"/>
    <mergeCell ref="P53:V53"/>
    <mergeCell ref="B2:S2"/>
    <mergeCell ref="B67:G67"/>
    <mergeCell ref="B69:G69"/>
    <mergeCell ref="S67:T67"/>
    <mergeCell ref="N58:O58"/>
    <mergeCell ref="B62:H62"/>
    <mergeCell ref="W66:AA66"/>
    <mergeCell ref="L28:R28"/>
    <mergeCell ref="S69:T69"/>
    <mergeCell ref="I19:N19"/>
    <mergeCell ref="P15:U15"/>
    <mergeCell ref="AA61:AC61"/>
    <mergeCell ref="P74:R74"/>
    <mergeCell ref="U62:V62"/>
    <mergeCell ref="H66:I66"/>
    <mergeCell ref="J66:K66"/>
    <mergeCell ref="B16:G16"/>
    <mergeCell ref="P3:Q3"/>
    <mergeCell ref="L23:R23"/>
    <mergeCell ref="G32:H32"/>
    <mergeCell ref="W75:AC75"/>
    <mergeCell ref="P69:R69"/>
    <mergeCell ref="B18:G18"/>
    <mergeCell ref="J72:K72"/>
    <mergeCell ref="I97:N97"/>
    <mergeCell ref="G27:H27"/>
    <mergeCell ref="I27:J27"/>
    <mergeCell ref="I96:N96"/>
    <mergeCell ref="AA54:AC54"/>
    <mergeCell ref="F3:G3"/>
    <mergeCell ref="P44:AC46"/>
    <mergeCell ref="I98:N98"/>
    <mergeCell ref="AA56:AC56"/>
    <mergeCell ref="B6:G6"/>
    <mergeCell ref="W65:AC65"/>
    <mergeCell ref="R3:S3"/>
    <mergeCell ref="B49:AC50"/>
    <mergeCell ref="W63:AC63"/>
    <mergeCell ref="W67:AA67"/>
    <mergeCell ref="L29:R29"/>
    <mergeCell ref="N74:O74"/>
    <mergeCell ref="W59:Z59"/>
    <mergeCell ref="B70:G70"/>
  </mergeCells>
  <conditionalFormatting sqref="B7:G7">
    <cfRule type="expression" priority="1" dxfId="0">
      <formula>AND(ISNUMBER($B$7),$B$7&gt;=70)</formula>
    </cfRule>
    <cfRule type="expression" priority="2" dxfId="1">
      <formula>AND(ISNUMBER($B$7),$B$7&lt;50)</formula>
    </cfRule>
  </conditionalFormatting>
  <conditionalFormatting sqref="B11:G11">
    <cfRule type="expression" priority="3" dxfId="1">
      <formula>AND(ISNUMBER($B$11),$B$11&lt;0)</formula>
    </cfRule>
  </conditionalFormatting>
  <conditionalFormatting sqref="G24:H34">
    <cfRule type="expression" priority="4" dxfId="2">
      <formula>AND(ISNUMBER(G24),G24&gt;=7)</formula>
    </cfRule>
    <cfRule type="expression" priority="5" dxfId="3">
      <formula>AND(ISNUMBER(G24),G24&gt;=5,G24&lt;7)</formula>
    </cfRule>
    <cfRule type="expression" priority="6" dxfId="4">
      <formula>AND(ISNUMBER(G24),G24&lt;5)</formula>
    </cfRule>
  </conditionalFormatting>
  <conditionalFormatting sqref="I24:J34">
    <cfRule type="expression" priority="7" dxfId="2">
      <formula>AND(ISNUMBER(I24),I24&gt;=7)</formula>
    </cfRule>
    <cfRule type="expression" priority="8" dxfId="3">
      <formula>AND(ISNUMBER(I24),I24&gt;=5,I24&lt;7)</formula>
    </cfRule>
    <cfRule type="expression" priority="9" dxfId="4">
      <formula>AND(ISNUMBER(I24),I24&lt;5)</formula>
    </cfRule>
  </conditionalFormatting>
  <conditionalFormatting sqref="K24:K34">
    <cfRule type="expression" priority="10" dxfId="0">
      <formula>K24="↑"</formula>
    </cfRule>
    <cfRule type="expression" priority="11" dxfId="1">
      <formula>K24="↓"</formula>
    </cfRule>
  </conditionalFormatting>
  <conditionalFormatting sqref="H67:H74">
    <cfRule type="dataBar" priority="12">
      <dataBar showValue="1">
        <cfvo type="num" val="0"/>
        <cfvo type="num" val="1"/>
        <color rgb="002A78D6"/>
      </dataBar>
    </cfRule>
  </conditionalFormatting>
  <conditionalFormatting sqref="AB67:AB74">
    <cfRule type="dataBar" priority="13">
      <dataBar showValue="1">
        <cfvo type="num" val="0"/>
        <cfvo type="num" val="1"/>
        <color rgb="004A3AA7"/>
      </dataBar>
    </cfRule>
  </conditionalFormatting>
  <conditionalFormatting sqref="B119:AC119">
    <cfRule type="colorScale" priority="14">
      <colorScale>
        <cfvo type="num" val="1"/>
        <cfvo type="num" val="3"/>
        <cfvo type="num" val="5"/>
        <color rgb="00E34948"/>
        <color rgb="00E6E4DE"/>
        <color rgb="002A78D6"/>
      </colorScale>
    </cfRule>
  </conditionalFormatting>
  <conditionalFormatting sqref="B122:AC122">
    <cfRule type="colorScale" priority="15">
      <colorScale>
        <cfvo type="num" val="0"/>
        <cfvo type="num" val="1"/>
        <color rgb="00CDE2FB"/>
        <color rgb="001C5CAB"/>
      </colorScale>
    </cfRule>
  </conditionalFormatting>
  <conditionalFormatting sqref="B5:AC176">
    <cfRule type="expression" priority="16" dxfId="5">
      <formula>LEFT(B5,1)="✔"</formula>
    </cfRule>
    <cfRule type="expression" priority="17" dxfId="6">
      <formula>LEFT(B5,1)="▲"</formula>
    </cfRule>
    <cfRule type="expression" priority="18" dxfId="7">
      <formula>LEFT(B5,1)="✖"</formula>
    </cfRule>
    <cfRule type="expression" priority="19" dxfId="8">
      <formula>LEFT(B5,1)="○"</formula>
    </cfRule>
    <cfRule type="expression" priority="20" dxfId="8">
      <formula>LEFT(B5,1)="‖"</formula>
    </cfRule>
    <cfRule type="expression" priority="21" dxfId="8">
      <formula>LEFT(B5,1)="–"</formula>
    </cfRule>
  </conditionalFormatting>
  <dataValidations count="1">
    <dataValidation sqref="Z1" showDropDown="0" showInputMessage="1" showErrorMessage="1" allowBlank="1" errorTitle="Valor fora da lista" error="Escolha um item da lista (as listas ficam na aba Config)." prompt="Escolha o mês que o painel deve mostrar. 'Mês atual' acompanha a data de hoje." type="list" errorStyle="stop">
      <formula1>lst_MesSel</formula1>
    </dataValidation>
  </dataValidations>
  <hyperlinks>
    <hyperlink ref="B3" location="'Roda da Vida'!A1"/>
    <hyperlink ref="D3" location="'Metas'!A1"/>
    <hyperlink ref="F3" location="'Tarefas'!A1"/>
    <hyperlink ref="H3" location="'Finanças'!A1"/>
    <hyperlink ref="J3" location="'Orçamento'!A1"/>
    <hyperlink ref="L3" location="'Saúde'!A1"/>
    <hyperlink ref="N3" location="'Hábitos'!A1"/>
    <hyperlink ref="P3" location="'Carreira'!A1"/>
    <hyperlink ref="R3" location="'Relações'!A1"/>
    <hyperlink ref="T3" location="'Aprendizado'!A1"/>
    <hyperlink ref="V3" location="'Lazer'!A1"/>
    <hyperlink ref="X3" location="'Casa'!A1"/>
    <hyperlink ref="Z3" location="'Guia'!A1"/>
    <hyperlink ref="AB3" location="'Config'!A1"/>
  </hyperlink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X33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11" customWidth="1" min="22" max="22"/>
    <col hidden="1" width="13" customWidth="1" min="23" max="23"/>
    <col hidden="1" width="13" customWidth="1" min="24" max="24"/>
  </cols>
  <sheetData>
    <row r="1" ht="34" customHeight="1">
      <c r="A1" s="96" t="n"/>
      <c r="B1" s="97" t="inlineStr">
        <is>
          <t>Roda da Vida &amp; revisão mensal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98" t="inlineStr">
        <is>
          <t>◀ Dashboard</t>
        </is>
      </c>
    </row>
    <row r="2" ht="18" customHeight="1">
      <c r="A2" s="96" t="n"/>
      <c r="B2" s="99" t="inlineStr">
        <is>
          <t>Uma vez por mês: dê uma nota de 0 a 10 para cada área e escreva a revisão. O Dashboard compara sua percepção com os dados.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01" t="inlineStr">
        <is>
          <t>NOTAS MENSAIS · de 0 a 10, como você está em cada área</t>
        </is>
      </c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</row>
    <row r="6" ht="34" customHeight="1">
      <c r="B6" s="103" t="inlineStr">
        <is>
          <t>Área da vida</t>
        </is>
      </c>
      <c r="C6" s="103" t="inlineStr">
        <is>
          <t>Jan</t>
        </is>
      </c>
      <c r="D6" s="103" t="inlineStr">
        <is>
          <t>Fev</t>
        </is>
      </c>
      <c r="E6" s="103" t="inlineStr">
        <is>
          <t>Mar</t>
        </is>
      </c>
      <c r="F6" s="103" t="inlineStr">
        <is>
          <t>Abr</t>
        </is>
      </c>
      <c r="G6" s="103" t="inlineStr">
        <is>
          <t>Mai</t>
        </is>
      </c>
      <c r="H6" s="103" t="inlineStr">
        <is>
          <t>Jun</t>
        </is>
      </c>
      <c r="I6" s="103" t="inlineStr">
        <is>
          <t>Jul</t>
        </is>
      </c>
      <c r="J6" s="103" t="inlineStr">
        <is>
          <t>Ago</t>
        </is>
      </c>
      <c r="K6" s="103" t="inlineStr">
        <is>
          <t>Set</t>
        </is>
      </c>
      <c r="L6" s="103" t="inlineStr">
        <is>
          <t>Out</t>
        </is>
      </c>
      <c r="M6" s="103" t="inlineStr">
        <is>
          <t>Nov</t>
        </is>
      </c>
      <c r="N6" s="103" t="inlineStr">
        <is>
          <t>Dez</t>
        </is>
      </c>
      <c r="O6" s="103" t="inlineStr">
        <is>
          <t>Alvo</t>
        </is>
      </c>
      <c r="P6" s="104" t="inlineStr">
        <is>
          <t>Atual</t>
        </is>
      </c>
      <c r="Q6" s="104" t="inlineStr">
        <is>
          <t>Anterior</t>
        </is>
      </c>
      <c r="R6" s="104" t="inlineStr">
        <is>
          <t>Δ</t>
        </is>
      </c>
      <c r="S6" s="104" t="inlineStr">
        <is>
          <t>Tend.</t>
        </is>
      </c>
      <c r="T6" s="104" t="inlineStr">
        <is>
          <t>Falta p/ alvo</t>
        </is>
      </c>
      <c r="U6" s="104" t="inlineStr">
        <is>
          <t>Dados</t>
        </is>
      </c>
      <c r="V6" s="104" t="inlineStr">
        <is>
          <t>Percepção − dados</t>
        </is>
      </c>
    </row>
    <row r="7">
      <c r="B7" s="105" t="str">
        <f>'Config'!$F$6</f>
        <v>Saúde física</v>
      </c>
      <c r="C7" s="106" t="n"/>
      <c r="D7" s="106" t="n"/>
      <c r="E7" s="106" t="n"/>
      <c r="F7" s="106" t="n"/>
      <c r="G7" s="106" t="n"/>
      <c r="H7" s="106" t="n"/>
      <c r="I7" s="106" t="n"/>
      <c r="J7" s="106" t="n"/>
      <c r="K7" s="106" t="n"/>
      <c r="L7" s="106" t="n"/>
      <c r="M7" s="106" t="n"/>
      <c r="N7" s="106" t="n"/>
      <c r="O7" s="106" t="n"/>
      <c r="P7" s="107" t="str">
        <f>IF(W7=0,"",INDEX($C7:$N7,W7))</f>
        <v/>
      </c>
      <c r="Q7" s="107" t="str">
        <f>IF(X7=0,"",INDEX($C7:$N7,X7))</f>
        <v/>
      </c>
      <c r="R7" s="107" t="str">
        <f>IF(OR(P7="",Q7=""),"",P7-Q7)</f>
        <v/>
      </c>
      <c r="S7" s="107" t="str">
        <f>IF(R7="","",IF(R7&gt;0,"↑",IF(R7&lt;0,"↓","→")))</f>
        <v/>
      </c>
      <c r="T7" s="107" t="str">
        <f>IF(OR(O7="",P7=""),"",MAX(0,O7-P7))</f>
        <v/>
      </c>
      <c r="U7" s="107" t="str">
        <f>'Cálculos'!$H$5</f>
        <v/>
      </c>
      <c r="V7" s="107" t="str">
        <f>IF(OR(P7="",U7=""),"",P7-U7)</f>
        <v/>
      </c>
      <c r="W7">
        <f>SUMPRODUCT(MAX(($C7:$N7&lt;&gt;"")*((COLUMN($C7:$N7)-COLUMN($C7)+1)&lt;=RefMes)*(COLUMN($C7:$N7)-COLUMN($C7)+1)))</f>
        <v>0</v>
      </c>
      <c r="X7">
        <f>SUMPRODUCT(MAX(($C7:$N7&lt;&gt;"")*((COLUMN($C7:$N7)-COLUMN($C7)+1)&lt;W7)*(COLUMN($C7:$N7)-COLUMN($C7)+1)))</f>
        <v>0</v>
      </c>
    </row>
    <row r="8">
      <c r="B8" s="105" t="str">
        <f>'Config'!$F$7</f>
        <v>Saúde mental</v>
      </c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7" t="str">
        <f>IF(W8=0,"",INDEX($C8:$N8,W8))</f>
        <v/>
      </c>
      <c r="Q8" s="107" t="str">
        <f>IF(X8=0,"",INDEX($C8:$N8,X8))</f>
        <v/>
      </c>
      <c r="R8" s="107" t="str">
        <f>IF(OR(P8="",Q8=""),"",P8-Q8)</f>
        <v/>
      </c>
      <c r="S8" s="107" t="str">
        <f>IF(R8="","",IF(R8&gt;0,"↑",IF(R8&lt;0,"↓","→")))</f>
        <v/>
      </c>
      <c r="T8" s="107" t="str">
        <f>IF(OR(O8="",P8=""),"",MAX(0,O8-P8))</f>
        <v/>
      </c>
      <c r="U8" s="107" t="str">
        <f>'Cálculos'!$H$6</f>
        <v/>
      </c>
      <c r="V8" s="107" t="str">
        <f>IF(OR(P8="",U8=""),"",P8-U8)</f>
        <v/>
      </c>
      <c r="W8">
        <f>SUMPRODUCT(MAX(($C8:$N8&lt;&gt;"")*((COLUMN($C8:$N8)-COLUMN($C8)+1)&lt;=RefMes)*(COLUMN($C8:$N8)-COLUMN($C8)+1)))</f>
        <v>0</v>
      </c>
      <c r="X8">
        <f>SUMPRODUCT(MAX(($C8:$N8&lt;&gt;"")*((COLUMN($C8:$N8)-COLUMN($C8)+1)&lt;W8)*(COLUMN($C8:$N8)-COLUMN($C8)+1)))</f>
        <v>0</v>
      </c>
    </row>
    <row r="9">
      <c r="B9" s="105" t="str">
        <f>'Config'!$F$8</f>
        <v>Finanças</v>
      </c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106" t="n"/>
      <c r="O9" s="106" t="n"/>
      <c r="P9" s="107" t="str">
        <f>IF(W9=0,"",INDEX($C9:$N9,W9))</f>
        <v/>
      </c>
      <c r="Q9" s="107" t="str">
        <f>IF(X9=0,"",INDEX($C9:$N9,X9))</f>
        <v/>
      </c>
      <c r="R9" s="107" t="str">
        <f>IF(OR(P9="",Q9=""),"",P9-Q9)</f>
        <v/>
      </c>
      <c r="S9" s="107" t="str">
        <f>IF(R9="","",IF(R9&gt;0,"↑",IF(R9&lt;0,"↓","→")))</f>
        <v/>
      </c>
      <c r="T9" s="107" t="str">
        <f>IF(OR(O9="",P9=""),"",MAX(0,O9-P9))</f>
        <v/>
      </c>
      <c r="U9" s="107" t="str">
        <f>'Cálculos'!$H$7</f>
        <v/>
      </c>
      <c r="V9" s="107" t="str">
        <f>IF(OR(P9="",U9=""),"",P9-U9)</f>
        <v/>
      </c>
      <c r="W9">
        <f>SUMPRODUCT(MAX(($C9:$N9&lt;&gt;"")*((COLUMN($C9:$N9)-COLUMN($C9)+1)&lt;=RefMes)*(COLUMN($C9:$N9)-COLUMN($C9)+1)))</f>
        <v>0</v>
      </c>
      <c r="X9">
        <f>SUMPRODUCT(MAX(($C9:$N9&lt;&gt;"")*((COLUMN($C9:$N9)-COLUMN($C9)+1)&lt;W9)*(COLUMN($C9:$N9)-COLUMN($C9)+1)))</f>
        <v>0</v>
      </c>
    </row>
    <row r="10">
      <c r="B10" s="105" t="str">
        <f>'Config'!$F$9</f>
        <v>Carreira</v>
      </c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7" t="str">
        <f>IF(W10=0,"",INDEX($C10:$N10,W10))</f>
        <v/>
      </c>
      <c r="Q10" s="107" t="str">
        <f>IF(X10=0,"",INDEX($C10:$N10,X10))</f>
        <v/>
      </c>
      <c r="R10" s="107" t="str">
        <f>IF(OR(P10="",Q10=""),"",P10-Q10)</f>
        <v/>
      </c>
      <c r="S10" s="107" t="str">
        <f>IF(R10="","",IF(R10&gt;0,"↑",IF(R10&lt;0,"↓","→")))</f>
        <v/>
      </c>
      <c r="T10" s="107" t="str">
        <f>IF(OR(O10="",P10=""),"",MAX(0,O10-P10))</f>
        <v/>
      </c>
      <c r="U10" s="107" t="str">
        <f>'Cálculos'!$H$8</f>
        <v/>
      </c>
      <c r="V10" s="107" t="str">
        <f>IF(OR(P10="",U10=""),"",P10-U10)</f>
        <v/>
      </c>
      <c r="W10">
        <f>SUMPRODUCT(MAX(($C10:$N10&lt;&gt;"")*((COLUMN($C10:$N10)-COLUMN($C10)+1)&lt;=RefMes)*(COLUMN($C10:$N10)-COLUMN($C10)+1)))</f>
        <v>0</v>
      </c>
      <c r="X10">
        <f>SUMPRODUCT(MAX(($C10:$N10&lt;&gt;"")*((COLUMN($C10:$N10)-COLUMN($C10)+1)&lt;W10)*(COLUMN($C10:$N10)-COLUMN($C10)+1)))</f>
        <v>0</v>
      </c>
    </row>
    <row r="11">
      <c r="B11" s="105" t="str">
        <f>'Config'!$F$10</f>
        <v>Aprendizado</v>
      </c>
      <c r="C11" s="106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  <c r="M11" s="106" t="n"/>
      <c r="N11" s="106" t="n"/>
      <c r="O11" s="106" t="n"/>
      <c r="P11" s="107" t="str">
        <f>IF(W11=0,"",INDEX($C11:$N11,W11))</f>
        <v/>
      </c>
      <c r="Q11" s="107" t="str">
        <f>IF(X11=0,"",INDEX($C11:$N11,X11))</f>
        <v/>
      </c>
      <c r="R11" s="107" t="str">
        <f>IF(OR(P11="",Q11=""),"",P11-Q11)</f>
        <v/>
      </c>
      <c r="S11" s="107" t="str">
        <f>IF(R11="","",IF(R11&gt;0,"↑",IF(R11&lt;0,"↓","→")))</f>
        <v/>
      </c>
      <c r="T11" s="107" t="str">
        <f>IF(OR(O11="",P11=""),"",MAX(0,O11-P11))</f>
        <v/>
      </c>
      <c r="U11" s="107" t="str">
        <f>'Cálculos'!$H$9</f>
        <v/>
      </c>
      <c r="V11" s="107" t="str">
        <f>IF(OR(P11="",U11=""),"",P11-U11)</f>
        <v/>
      </c>
      <c r="W11">
        <f>SUMPRODUCT(MAX(($C11:$N11&lt;&gt;"")*((COLUMN($C11:$N11)-COLUMN($C11)+1)&lt;=RefMes)*(COLUMN($C11:$N11)-COLUMN($C11)+1)))</f>
        <v>0</v>
      </c>
      <c r="X11">
        <f>SUMPRODUCT(MAX(($C11:$N11&lt;&gt;"")*((COLUMN($C11:$N11)-COLUMN($C11)+1)&lt;W11)*(COLUMN($C11:$N11)-COLUMN($C11)+1)))</f>
        <v>0</v>
      </c>
    </row>
    <row r="12">
      <c r="B12" s="105" t="str">
        <f>'Config'!$F$11</f>
        <v>Família</v>
      </c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106" t="n"/>
      <c r="O12" s="106" t="n"/>
      <c r="P12" s="107" t="str">
        <f>IF(W12=0,"",INDEX($C12:$N12,W12))</f>
        <v/>
      </c>
      <c r="Q12" s="107" t="str">
        <f>IF(X12=0,"",INDEX($C12:$N12,X12))</f>
        <v/>
      </c>
      <c r="R12" s="107" t="str">
        <f>IF(OR(P12="",Q12=""),"",P12-Q12)</f>
        <v/>
      </c>
      <c r="S12" s="107" t="str">
        <f>IF(R12="","",IF(R12&gt;0,"↑",IF(R12&lt;0,"↓","→")))</f>
        <v/>
      </c>
      <c r="T12" s="107" t="str">
        <f>IF(OR(O12="",P12=""),"",MAX(0,O12-P12))</f>
        <v/>
      </c>
      <c r="U12" s="107" t="str">
        <f>'Cálculos'!$H$10</f>
        <v/>
      </c>
      <c r="V12" s="107" t="str">
        <f>IF(OR(P12="",U12=""),"",P12-U12)</f>
        <v/>
      </c>
      <c r="W12">
        <f>SUMPRODUCT(MAX(($C12:$N12&lt;&gt;"")*((COLUMN($C12:$N12)-COLUMN($C12)+1)&lt;=RefMes)*(COLUMN($C12:$N12)-COLUMN($C12)+1)))</f>
        <v>0</v>
      </c>
      <c r="X12">
        <f>SUMPRODUCT(MAX(($C12:$N12&lt;&gt;"")*((COLUMN($C12:$N12)-COLUMN($C12)+1)&lt;W12)*(COLUMN($C12:$N12)-COLUMN($C12)+1)))</f>
        <v>0</v>
      </c>
    </row>
    <row r="13">
      <c r="B13" s="105" t="str">
        <f>'Config'!$F$12</f>
        <v>Amor &amp; parceria</v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7" t="str">
        <f>IF(W13=0,"",INDEX($C13:$N13,W13))</f>
        <v/>
      </c>
      <c r="Q13" s="107" t="str">
        <f>IF(X13=0,"",INDEX($C13:$N13,X13))</f>
        <v/>
      </c>
      <c r="R13" s="107" t="str">
        <f>IF(OR(P13="",Q13=""),"",P13-Q13)</f>
        <v/>
      </c>
      <c r="S13" s="107" t="str">
        <f>IF(R13="","",IF(R13&gt;0,"↑",IF(R13&lt;0,"↓","→")))</f>
        <v/>
      </c>
      <c r="T13" s="107" t="str">
        <f>IF(OR(O13="",P13=""),"",MAX(0,O13-P13))</f>
        <v/>
      </c>
      <c r="U13" s="107" t="str">
        <f>'Cálculos'!$H$11</f>
        <v/>
      </c>
      <c r="V13" s="107" t="str">
        <f>IF(OR(P13="",U13=""),"",P13-U13)</f>
        <v/>
      </c>
      <c r="W13">
        <f>SUMPRODUCT(MAX(($C13:$N13&lt;&gt;"")*((COLUMN($C13:$N13)-COLUMN($C13)+1)&lt;=RefMes)*(COLUMN($C13:$N13)-COLUMN($C13)+1)))</f>
        <v>0</v>
      </c>
      <c r="X13">
        <f>SUMPRODUCT(MAX(($C13:$N13&lt;&gt;"")*((COLUMN($C13:$N13)-COLUMN($C13)+1)&lt;W13)*(COLUMN($C13:$N13)-COLUMN($C13)+1)))</f>
        <v>0</v>
      </c>
    </row>
    <row r="14">
      <c r="B14" s="105" t="str">
        <f>'Config'!$F$13</f>
        <v>Amizades &amp; social</v>
      </c>
      <c r="C14" s="106" t="n"/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  <c r="N14" s="106" t="n"/>
      <c r="O14" s="106" t="n"/>
      <c r="P14" s="107" t="str">
        <f>IF(W14=0,"",INDEX($C14:$N14,W14))</f>
        <v/>
      </c>
      <c r="Q14" s="107" t="str">
        <f>IF(X14=0,"",INDEX($C14:$N14,X14))</f>
        <v/>
      </c>
      <c r="R14" s="107" t="str">
        <f>IF(OR(P14="",Q14=""),"",P14-Q14)</f>
        <v/>
      </c>
      <c r="S14" s="107" t="str">
        <f>IF(R14="","",IF(R14&gt;0,"↑",IF(R14&lt;0,"↓","→")))</f>
        <v/>
      </c>
      <c r="T14" s="107" t="str">
        <f>IF(OR(O14="",P14=""),"",MAX(0,O14-P14))</f>
        <v/>
      </c>
      <c r="U14" s="107" t="str">
        <f>'Cálculos'!$H$12</f>
        <v/>
      </c>
      <c r="V14" s="107" t="str">
        <f>IF(OR(P14="",U14=""),"",P14-U14)</f>
        <v/>
      </c>
      <c r="W14">
        <f>SUMPRODUCT(MAX(($C14:$N14&lt;&gt;"")*((COLUMN($C14:$N14)-COLUMN($C14)+1)&lt;=RefMes)*(COLUMN($C14:$N14)-COLUMN($C14)+1)))</f>
        <v>0</v>
      </c>
      <c r="X14">
        <f>SUMPRODUCT(MAX(($C14:$N14&lt;&gt;"")*((COLUMN($C14:$N14)-COLUMN($C14)+1)&lt;W14)*(COLUMN($C14:$N14)-COLUMN($C14)+1)))</f>
        <v>0</v>
      </c>
    </row>
    <row r="15">
      <c r="B15" s="105" t="str">
        <f>'Config'!$F$14</f>
        <v>Lazer &amp; criatividade</v>
      </c>
      <c r="C15" s="106" t="n"/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106" t="n"/>
      <c r="O15" s="106" t="n"/>
      <c r="P15" s="107" t="str">
        <f>IF(W15=0,"",INDEX($C15:$N15,W15))</f>
        <v/>
      </c>
      <c r="Q15" s="107" t="str">
        <f>IF(X15=0,"",INDEX($C15:$N15,X15))</f>
        <v/>
      </c>
      <c r="R15" s="107" t="str">
        <f>IF(OR(P15="",Q15=""),"",P15-Q15)</f>
        <v/>
      </c>
      <c r="S15" s="107" t="str">
        <f>IF(R15="","",IF(R15&gt;0,"↑",IF(R15&lt;0,"↓","→")))</f>
        <v/>
      </c>
      <c r="T15" s="107" t="str">
        <f>IF(OR(O15="",P15=""),"",MAX(0,O15-P15))</f>
        <v/>
      </c>
      <c r="U15" s="107" t="str">
        <f>'Cálculos'!$H$13</f>
        <v/>
      </c>
      <c r="V15" s="107" t="str">
        <f>IF(OR(P15="",U15=""),"",P15-U15)</f>
        <v/>
      </c>
      <c r="W15">
        <f>SUMPRODUCT(MAX(($C15:$N15&lt;&gt;"")*((COLUMN($C15:$N15)-COLUMN($C15)+1)&lt;=RefMes)*(COLUMN($C15:$N15)-COLUMN($C15)+1)))</f>
        <v>0</v>
      </c>
      <c r="X15">
        <f>SUMPRODUCT(MAX(($C15:$N15&lt;&gt;"")*((COLUMN($C15:$N15)-COLUMN($C15)+1)&lt;W15)*(COLUMN($C15:$N15)-COLUMN($C15)+1)))</f>
        <v>0</v>
      </c>
    </row>
    <row r="16">
      <c r="B16" s="105" t="str">
        <f>'Config'!$F$15</f>
        <v>Propósito &amp; espiritualidade</v>
      </c>
      <c r="C16" s="106" t="n"/>
      <c r="D16" s="106" t="n"/>
      <c r="E16" s="106" t="n"/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106" t="n"/>
      <c r="O16" s="106" t="n"/>
      <c r="P16" s="107" t="str">
        <f>IF(W16=0,"",INDEX($C16:$N16,W16))</f>
        <v/>
      </c>
      <c r="Q16" s="107" t="str">
        <f>IF(X16=0,"",INDEX($C16:$N16,X16))</f>
        <v/>
      </c>
      <c r="R16" s="107" t="str">
        <f>IF(OR(P16="",Q16=""),"",P16-Q16)</f>
        <v/>
      </c>
      <c r="S16" s="107" t="str">
        <f>IF(R16="","",IF(R16&gt;0,"↑",IF(R16&lt;0,"↓","→")))</f>
        <v/>
      </c>
      <c r="T16" s="107" t="str">
        <f>IF(OR(O16="",P16=""),"",MAX(0,O16-P16))</f>
        <v/>
      </c>
      <c r="U16" s="107" t="str">
        <f>'Cálculos'!$H$14</f>
        <v/>
      </c>
      <c r="V16" s="107" t="str">
        <f>IF(OR(P16="",U16=""),"",P16-U16)</f>
        <v/>
      </c>
      <c r="W16">
        <f>SUMPRODUCT(MAX(($C16:$N16&lt;&gt;"")*((COLUMN($C16:$N16)-COLUMN($C16)+1)&lt;=RefMes)*(COLUMN($C16:$N16)-COLUMN($C16)+1)))</f>
        <v>0</v>
      </c>
      <c r="X16">
        <f>SUMPRODUCT(MAX(($C16:$N16&lt;&gt;"")*((COLUMN($C16:$N16)-COLUMN($C16)+1)&lt;W16)*(COLUMN($C16:$N16)-COLUMN($C16)+1)))</f>
        <v>0</v>
      </c>
    </row>
    <row r="17">
      <c r="B17" s="105" t="str">
        <f>'Config'!$F$16</f>
        <v>Casa &amp; organização</v>
      </c>
      <c r="C17" s="106" t="n"/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  <c r="N17" s="106" t="n"/>
      <c r="O17" s="106" t="n"/>
      <c r="P17" s="107" t="str">
        <f>IF(W17=0,"",INDEX($C17:$N17,W17))</f>
        <v/>
      </c>
      <c r="Q17" s="107" t="str">
        <f>IF(X17=0,"",INDEX($C17:$N17,X17))</f>
        <v/>
      </c>
      <c r="R17" s="107" t="str">
        <f>IF(OR(P17="",Q17=""),"",P17-Q17)</f>
        <v/>
      </c>
      <c r="S17" s="107" t="str">
        <f>IF(R17="","",IF(R17&gt;0,"↑",IF(R17&lt;0,"↓","→")))</f>
        <v/>
      </c>
      <c r="T17" s="107" t="str">
        <f>IF(OR(O17="",P17=""),"",MAX(0,O17-P17))</f>
        <v/>
      </c>
      <c r="U17" s="107" t="str">
        <f>'Cálculos'!$H$15</f>
        <v/>
      </c>
      <c r="V17" s="107" t="str">
        <f>IF(OR(P17="",U17=""),"",P17-U17)</f>
        <v/>
      </c>
      <c r="W17">
        <f>SUMPRODUCT(MAX(($C17:$N17&lt;&gt;"")*((COLUMN($C17:$N17)-COLUMN($C17)+1)&lt;=RefMes)*(COLUMN($C17:$N17)-COLUMN($C17)+1)))</f>
        <v>0</v>
      </c>
      <c r="X17">
        <f>SUMPRODUCT(MAX(($C17:$N17&lt;&gt;"")*((COLUMN($C17:$N17)-COLUMN($C17)+1)&lt;W17)*(COLUMN($C17:$N17)-COLUMN($C17)+1)))</f>
        <v>0</v>
      </c>
    </row>
    <row r="18">
      <c r="B18" s="108" t="inlineStr">
        <is>
          <t>Média</t>
        </is>
      </c>
      <c r="C18" s="109" t="str">
        <f>IFERROR(AVERAGE(C7:C17),"")</f>
        <v/>
      </c>
      <c r="D18" s="109" t="str">
        <f>IFERROR(AVERAGE(D7:D17),"")</f>
        <v/>
      </c>
      <c r="E18" s="109" t="str">
        <f>IFERROR(AVERAGE(E7:E17),"")</f>
        <v/>
      </c>
      <c r="F18" s="109" t="str">
        <f>IFERROR(AVERAGE(F7:F17),"")</f>
        <v/>
      </c>
      <c r="G18" s="109" t="str">
        <f>IFERROR(AVERAGE(G7:G17),"")</f>
        <v/>
      </c>
      <c r="H18" s="109" t="str">
        <f>IFERROR(AVERAGE(H7:H17),"")</f>
        <v/>
      </c>
      <c r="I18" s="109" t="str">
        <f>IFERROR(AVERAGE(I7:I17),"")</f>
        <v/>
      </c>
      <c r="J18" s="109" t="str">
        <f>IFERROR(AVERAGE(J7:J17),"")</f>
        <v/>
      </c>
      <c r="K18" s="109" t="str">
        <f>IFERROR(AVERAGE(K7:K17),"")</f>
        <v/>
      </c>
      <c r="L18" s="109" t="str">
        <f>IFERROR(AVERAGE(L7:L17),"")</f>
        <v/>
      </c>
      <c r="M18" s="109" t="str">
        <f>IFERROR(AVERAGE(M7:M17),"")</f>
        <v/>
      </c>
      <c r="N18" s="109" t="str">
        <f>IFERROR(AVERAGE(N7:N17),"")</f>
        <v/>
      </c>
      <c r="O18" s="109" t="str">
        <f>IFERROR(AVERAGE(O7:O17),"")</f>
        <v/>
      </c>
      <c r="P18" s="109" t="str">
        <f>IFERROR(AVERAGE(P7:P17),"")</f>
        <v/>
      </c>
      <c r="Q18" s="109" t="str">
        <f>IFERROR(AVERAGE(Q7:Q17),"")</f>
        <v/>
      </c>
      <c r="R18" s="109" t="str">
        <f>IFERROR(AVERAGE(R7:R17),"")</f>
        <v/>
      </c>
      <c r="S18" s="110" t="n"/>
      <c r="T18" s="109" t="str">
        <f>IFERROR(AVERAGE(T7:T17),"")</f>
        <v/>
      </c>
      <c r="U18" s="109" t="str">
        <f>IFERROR(AVERAGE(U7:U17),"")</f>
        <v/>
      </c>
      <c r="V18" s="109" t="str">
        <f>IFERROR(AVERAGE(V7:V17),"")</f>
        <v/>
      </c>
    </row>
    <row r="19">
      <c r="B19" s="111" t="inlineStr">
        <is>
          <t>Dados = placar objetivo da área (0–10), vindo de metas, hábitos e métricas das abas. Diferença de 2 pontos ou mais (amarelo) merece uma pergunta: o que estou vendo que os números não mostram — ou o contrário?</t>
        </is>
      </c>
    </row>
    <row r="20" ht="22" customHeight="1">
      <c r="B20" s="101" t="inlineStr">
        <is>
          <t>REVISÃO MENSAL · 15 minutos no último dia do mês</t>
        </is>
      </c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</row>
    <row r="21" ht="30" customHeight="1">
      <c r="B21" s="103" t="inlineStr">
        <is>
          <t>Mês</t>
        </is>
      </c>
      <c r="C21" s="103" t="inlineStr">
        <is>
          <t>Nota do mês</t>
        </is>
      </c>
      <c r="D21" s="103" t="inlineStr">
        <is>
          <t>Vitórias &amp; destaques</t>
        </is>
      </c>
      <c r="F21" s="112" t="n"/>
      <c r="G21" s="103" t="inlineStr">
        <is>
          <t>O que não funcionou</t>
        </is>
      </c>
      <c r="I21" s="112" t="n"/>
      <c r="J21" s="103" t="inlineStr">
        <is>
          <t>O que aprendi</t>
        </is>
      </c>
      <c r="L21" s="112" t="n"/>
      <c r="M21" s="103" t="inlineStr">
        <is>
          <t>Foco do próximo mês</t>
        </is>
      </c>
      <c r="O21" s="112" t="n"/>
      <c r="P21" s="103" t="inlineStr">
        <is>
          <t>Gratidão · notas livres</t>
        </is>
      </c>
      <c r="V21" s="112" t="n"/>
    </row>
    <row r="22" ht="58" customHeight="1">
      <c r="B22" s="105" t="str">
        <f>INDEX(Meses,1)</f>
        <v>Janeiro</v>
      </c>
      <c r="C22" s="106" t="n"/>
      <c r="D22" s="113" t="n"/>
      <c r="E22" s="114" t="n"/>
      <c r="F22" s="115" t="n"/>
      <c r="G22" s="113" t="n"/>
      <c r="H22" s="114" t="n"/>
      <c r="I22" s="115" t="n"/>
      <c r="J22" s="113" t="n"/>
      <c r="K22" s="114" t="n"/>
      <c r="L22" s="115" t="n"/>
      <c r="M22" s="113" t="n"/>
      <c r="N22" s="114" t="n"/>
      <c r="O22" s="115" t="n"/>
      <c r="P22" s="113" t="n"/>
      <c r="Q22" s="114" t="n"/>
      <c r="R22" s="114" t="n"/>
      <c r="S22" s="114" t="n"/>
      <c r="T22" s="114" t="n"/>
      <c r="U22" s="114" t="n"/>
      <c r="V22" s="115" t="n"/>
    </row>
    <row r="23" ht="58" customHeight="1">
      <c r="B23" s="105" t="str">
        <f>INDEX(Meses,2)</f>
        <v>Fevereiro</v>
      </c>
      <c r="C23" s="106" t="n"/>
      <c r="D23" s="113" t="n"/>
      <c r="E23" s="114" t="n"/>
      <c r="F23" s="115" t="n"/>
      <c r="G23" s="113" t="n"/>
      <c r="H23" s="114" t="n"/>
      <c r="I23" s="115" t="n"/>
      <c r="J23" s="113" t="n"/>
      <c r="K23" s="114" t="n"/>
      <c r="L23" s="115" t="n"/>
      <c r="M23" s="113" t="n"/>
      <c r="N23" s="114" t="n"/>
      <c r="O23" s="115" t="n"/>
      <c r="P23" s="113" t="n"/>
      <c r="Q23" s="114" t="n"/>
      <c r="R23" s="114" t="n"/>
      <c r="S23" s="114" t="n"/>
      <c r="T23" s="114" t="n"/>
      <c r="U23" s="114" t="n"/>
      <c r="V23" s="115" t="n"/>
    </row>
    <row r="24" ht="58" customHeight="1">
      <c r="B24" s="105" t="str">
        <f>INDEX(Meses,3)</f>
        <v>Março</v>
      </c>
      <c r="C24" s="106" t="n"/>
      <c r="D24" s="113" t="n"/>
      <c r="E24" s="114" t="n"/>
      <c r="F24" s="115" t="n"/>
      <c r="G24" s="113" t="n"/>
      <c r="H24" s="114" t="n"/>
      <c r="I24" s="115" t="n"/>
      <c r="J24" s="113" t="n"/>
      <c r="K24" s="114" t="n"/>
      <c r="L24" s="115" t="n"/>
      <c r="M24" s="113" t="n"/>
      <c r="N24" s="114" t="n"/>
      <c r="O24" s="115" t="n"/>
      <c r="P24" s="113" t="n"/>
      <c r="Q24" s="114" t="n"/>
      <c r="R24" s="114" t="n"/>
      <c r="S24" s="114" t="n"/>
      <c r="T24" s="114" t="n"/>
      <c r="U24" s="114" t="n"/>
      <c r="V24" s="115" t="n"/>
    </row>
    <row r="25" ht="58" customHeight="1">
      <c r="B25" s="105" t="str">
        <f>INDEX(Meses,4)</f>
        <v>Abril</v>
      </c>
      <c r="C25" s="106" t="n"/>
      <c r="D25" s="113" t="n"/>
      <c r="E25" s="114" t="n"/>
      <c r="F25" s="115" t="n"/>
      <c r="G25" s="113" t="n"/>
      <c r="H25" s="114" t="n"/>
      <c r="I25" s="115" t="n"/>
      <c r="J25" s="113" t="n"/>
      <c r="K25" s="114" t="n"/>
      <c r="L25" s="115" t="n"/>
      <c r="M25" s="113" t="n"/>
      <c r="N25" s="114" t="n"/>
      <c r="O25" s="115" t="n"/>
      <c r="P25" s="113" t="n"/>
      <c r="Q25" s="114" t="n"/>
      <c r="R25" s="114" t="n"/>
      <c r="S25" s="114" t="n"/>
      <c r="T25" s="114" t="n"/>
      <c r="U25" s="114" t="n"/>
      <c r="V25" s="115" t="n"/>
    </row>
    <row r="26" ht="58" customHeight="1">
      <c r="B26" s="105" t="str">
        <f>INDEX(Meses,5)</f>
        <v>Maio</v>
      </c>
      <c r="C26" s="106" t="n"/>
      <c r="D26" s="113" t="n"/>
      <c r="E26" s="114" t="n"/>
      <c r="F26" s="115" t="n"/>
      <c r="G26" s="113" t="n"/>
      <c r="H26" s="114" t="n"/>
      <c r="I26" s="115" t="n"/>
      <c r="J26" s="113" t="n"/>
      <c r="K26" s="114" t="n"/>
      <c r="L26" s="115" t="n"/>
      <c r="M26" s="113" t="n"/>
      <c r="N26" s="114" t="n"/>
      <c r="O26" s="115" t="n"/>
      <c r="P26" s="113" t="n"/>
      <c r="Q26" s="114" t="n"/>
      <c r="R26" s="114" t="n"/>
      <c r="S26" s="114" t="n"/>
      <c r="T26" s="114" t="n"/>
      <c r="U26" s="114" t="n"/>
      <c r="V26" s="115" t="n"/>
    </row>
    <row r="27" ht="58" customHeight="1">
      <c r="B27" s="105" t="str">
        <f>INDEX(Meses,6)</f>
        <v>Junho</v>
      </c>
      <c r="C27" s="106" t="n"/>
      <c r="D27" s="113" t="n"/>
      <c r="E27" s="114" t="n"/>
      <c r="F27" s="115" t="n"/>
      <c r="G27" s="113" t="n"/>
      <c r="H27" s="114" t="n"/>
      <c r="I27" s="115" t="n"/>
      <c r="J27" s="113" t="n"/>
      <c r="K27" s="114" t="n"/>
      <c r="L27" s="115" t="n"/>
      <c r="M27" s="113" t="n"/>
      <c r="N27" s="114" t="n"/>
      <c r="O27" s="115" t="n"/>
      <c r="P27" s="113" t="n"/>
      <c r="Q27" s="114" t="n"/>
      <c r="R27" s="114" t="n"/>
      <c r="S27" s="114" t="n"/>
      <c r="T27" s="114" t="n"/>
      <c r="U27" s="114" t="n"/>
      <c r="V27" s="115" t="n"/>
    </row>
    <row r="28" ht="58" customHeight="1">
      <c r="B28" s="105" t="str">
        <f>INDEX(Meses,7)</f>
        <v>Julho</v>
      </c>
      <c r="C28" s="106" t="n"/>
      <c r="D28" s="113" t="n"/>
      <c r="E28" s="114" t="n"/>
      <c r="F28" s="115" t="n"/>
      <c r="G28" s="113" t="n"/>
      <c r="H28" s="114" t="n"/>
      <c r="I28" s="115" t="n"/>
      <c r="J28" s="113" t="n"/>
      <c r="K28" s="114" t="n"/>
      <c r="L28" s="115" t="n"/>
      <c r="M28" s="113" t="n"/>
      <c r="N28" s="114" t="n"/>
      <c r="O28" s="115" t="n"/>
      <c r="P28" s="113" t="n"/>
      <c r="Q28" s="114" t="n"/>
      <c r="R28" s="114" t="n"/>
      <c r="S28" s="114" t="n"/>
      <c r="T28" s="114" t="n"/>
      <c r="U28" s="114" t="n"/>
      <c r="V28" s="115" t="n"/>
    </row>
    <row r="29" ht="58" customHeight="1">
      <c r="B29" s="105" t="str">
        <f>INDEX(Meses,8)</f>
        <v>Agosto</v>
      </c>
      <c r="C29" s="106" t="n"/>
      <c r="D29" s="113" t="n"/>
      <c r="E29" s="114" t="n"/>
      <c r="F29" s="115" t="n"/>
      <c r="G29" s="113" t="n"/>
      <c r="H29" s="114" t="n"/>
      <c r="I29" s="115" t="n"/>
      <c r="J29" s="113" t="n"/>
      <c r="K29" s="114" t="n"/>
      <c r="L29" s="115" t="n"/>
      <c r="M29" s="113" t="n"/>
      <c r="N29" s="114" t="n"/>
      <c r="O29" s="115" t="n"/>
      <c r="P29" s="113" t="n"/>
      <c r="Q29" s="114" t="n"/>
      <c r="R29" s="114" t="n"/>
      <c r="S29" s="114" t="n"/>
      <c r="T29" s="114" t="n"/>
      <c r="U29" s="114" t="n"/>
      <c r="V29" s="115" t="n"/>
    </row>
    <row r="30" ht="58" customHeight="1">
      <c r="B30" s="105" t="str">
        <f>INDEX(Meses,9)</f>
        <v>Setembro</v>
      </c>
      <c r="C30" s="106" t="n"/>
      <c r="D30" s="113" t="n"/>
      <c r="E30" s="114" t="n"/>
      <c r="F30" s="115" t="n"/>
      <c r="G30" s="113" t="n"/>
      <c r="H30" s="114" t="n"/>
      <c r="I30" s="115" t="n"/>
      <c r="J30" s="113" t="n"/>
      <c r="K30" s="114" t="n"/>
      <c r="L30" s="115" t="n"/>
      <c r="M30" s="113" t="n"/>
      <c r="N30" s="114" t="n"/>
      <c r="O30" s="115" t="n"/>
      <c r="P30" s="113" t="n"/>
      <c r="Q30" s="114" t="n"/>
      <c r="R30" s="114" t="n"/>
      <c r="S30" s="114" t="n"/>
      <c r="T30" s="114" t="n"/>
      <c r="U30" s="114" t="n"/>
      <c r="V30" s="115" t="n"/>
    </row>
    <row r="31" ht="58" customHeight="1">
      <c r="B31" s="105" t="str">
        <f>INDEX(Meses,10)</f>
        <v>Outubro</v>
      </c>
      <c r="C31" s="106" t="n"/>
      <c r="D31" s="113" t="n"/>
      <c r="E31" s="114" t="n"/>
      <c r="F31" s="115" t="n"/>
      <c r="G31" s="113" t="n"/>
      <c r="H31" s="114" t="n"/>
      <c r="I31" s="115" t="n"/>
      <c r="J31" s="113" t="n"/>
      <c r="K31" s="114" t="n"/>
      <c r="L31" s="115" t="n"/>
      <c r="M31" s="113" t="n"/>
      <c r="N31" s="114" t="n"/>
      <c r="O31" s="115" t="n"/>
      <c r="P31" s="113" t="n"/>
      <c r="Q31" s="114" t="n"/>
      <c r="R31" s="114" t="n"/>
      <c r="S31" s="114" t="n"/>
      <c r="T31" s="114" t="n"/>
      <c r="U31" s="114" t="n"/>
      <c r="V31" s="115" t="n"/>
    </row>
    <row r="32" ht="58" customHeight="1">
      <c r="B32" s="105" t="str">
        <f>INDEX(Meses,11)</f>
        <v>Novembro</v>
      </c>
      <c r="C32" s="106" t="n"/>
      <c r="D32" s="113" t="n"/>
      <c r="E32" s="114" t="n"/>
      <c r="F32" s="115" t="n"/>
      <c r="G32" s="113" t="n"/>
      <c r="H32" s="114" t="n"/>
      <c r="I32" s="115" t="n"/>
      <c r="J32" s="113" t="n"/>
      <c r="K32" s="114" t="n"/>
      <c r="L32" s="115" t="n"/>
      <c r="M32" s="113" t="n"/>
      <c r="N32" s="114" t="n"/>
      <c r="O32" s="115" t="n"/>
      <c r="P32" s="113" t="n"/>
      <c r="Q32" s="114" t="n"/>
      <c r="R32" s="114" t="n"/>
      <c r="S32" s="114" t="n"/>
      <c r="T32" s="114" t="n"/>
      <c r="U32" s="114" t="n"/>
      <c r="V32" s="115" t="n"/>
    </row>
    <row r="33" ht="58" customHeight="1">
      <c r="B33" s="105" t="str">
        <f>INDEX(Meses,12)</f>
        <v>Dezembro</v>
      </c>
      <c r="C33" s="106" t="n"/>
      <c r="D33" s="113" t="n"/>
      <c r="E33" s="114" t="n"/>
      <c r="F33" s="115" t="n"/>
      <c r="G33" s="113" t="n"/>
      <c r="H33" s="114" t="n"/>
      <c r="I33" s="115" t="n"/>
      <c r="J33" s="113" t="n"/>
      <c r="K33" s="114" t="n"/>
      <c r="L33" s="115" t="n"/>
      <c r="M33" s="113" t="n"/>
      <c r="N33" s="114" t="n"/>
      <c r="O33" s="115" t="n"/>
      <c r="P33" s="113" t="n"/>
      <c r="Q33" s="114" t="n"/>
      <c r="R33" s="114" t="n"/>
      <c r="S33" s="114" t="n"/>
      <c r="T33" s="114" t="n"/>
      <c r="U33" s="114" t="n"/>
      <c r="V33" s="115" t="n"/>
    </row>
  </sheetData>
  <mergeCells count="65">
    <mergeCell ref="J24:L24"/>
    <mergeCell ref="P28:V28"/>
    <mergeCell ref="D27:F27"/>
    <mergeCell ref="G28:I28"/>
    <mergeCell ref="D32:F32"/>
    <mergeCell ref="J27:L27"/>
    <mergeCell ref="M22:O22"/>
    <mergeCell ref="M31:O31"/>
    <mergeCell ref="M25:O25"/>
    <mergeCell ref="J26:L26"/>
    <mergeCell ref="P30:V30"/>
    <mergeCell ref="G30:I30"/>
    <mergeCell ref="M30:O30"/>
    <mergeCell ref="P33:V33"/>
    <mergeCell ref="M21:O21"/>
    <mergeCell ref="G33:I33"/>
    <mergeCell ref="M28:O28"/>
    <mergeCell ref="G24:I24"/>
    <mergeCell ref="J25:L25"/>
    <mergeCell ref="P24:V24"/>
    <mergeCell ref="D28:F28"/>
    <mergeCell ref="J32:L32"/>
    <mergeCell ref="M27:O27"/>
    <mergeCell ref="M33:O33"/>
    <mergeCell ref="J22:L22"/>
    <mergeCell ref="J31:L31"/>
    <mergeCell ref="P26:V26"/>
    <mergeCell ref="G26:I26"/>
    <mergeCell ref="M26:O26"/>
    <mergeCell ref="P29:V29"/>
    <mergeCell ref="D30:F30"/>
    <mergeCell ref="D25:F25"/>
    <mergeCell ref="G29:I29"/>
    <mergeCell ref="M24:O24"/>
    <mergeCell ref="D33:F33"/>
    <mergeCell ref="J21:L21"/>
    <mergeCell ref="P25:V25"/>
    <mergeCell ref="D24:F24"/>
    <mergeCell ref="G25:I25"/>
    <mergeCell ref="M29:O29"/>
    <mergeCell ref="G32:I32"/>
    <mergeCell ref="D29:F29"/>
    <mergeCell ref="J33:L33"/>
    <mergeCell ref="M23:O23"/>
    <mergeCell ref="D23:F23"/>
    <mergeCell ref="G22:I22"/>
    <mergeCell ref="M32:O32"/>
    <mergeCell ref="P31:V31"/>
    <mergeCell ref="G31:I31"/>
    <mergeCell ref="P22:V22"/>
    <mergeCell ref="J23:L23"/>
    <mergeCell ref="D26:F26"/>
    <mergeCell ref="P21:V21"/>
    <mergeCell ref="G21:I21"/>
    <mergeCell ref="J29:L29"/>
    <mergeCell ref="P27:V27"/>
    <mergeCell ref="G27:I27"/>
    <mergeCell ref="J28:L28"/>
    <mergeCell ref="D31:F31"/>
    <mergeCell ref="P23:V23"/>
    <mergeCell ref="D22:F22"/>
    <mergeCell ref="G23:I23"/>
    <mergeCell ref="D21:F21"/>
    <mergeCell ref="J30:L30"/>
    <mergeCell ref="P32:V32"/>
  </mergeCells>
  <conditionalFormatting sqref="C7:O17">
    <cfRule type="colorScale" priority="1">
      <colorScale>
        <cfvo type="num" val="0"/>
        <cfvo type="num" val="5"/>
        <cfvo type="num" val="10"/>
        <color rgb="00F4B9B9"/>
        <color rgb="00F0EFEC"/>
        <color rgb="009EC5F4"/>
      </colorScale>
    </cfRule>
  </conditionalFormatting>
  <conditionalFormatting sqref="S7:S17">
    <cfRule type="expression" priority="2" dxfId="5">
      <formula>S7="↑"</formula>
    </cfRule>
    <cfRule type="expression" priority="3" dxfId="7">
      <formula>S7="↓"</formula>
    </cfRule>
  </conditionalFormatting>
  <conditionalFormatting sqref="V7:V17">
    <cfRule type="expression" priority="4" dxfId="9">
      <formula>AND(ISNUMBER(V7),ABS(V7)&gt;=2)</formula>
    </cfRule>
  </conditionalFormatting>
  <conditionalFormatting sqref="C7:N17">
    <cfRule type="expression" priority="5" dxfId="10">
      <formula>COLUMN(C7)-2=RefMes</formula>
    </cfRule>
  </conditionalFormatting>
  <conditionalFormatting sqref="C22:C33">
    <cfRule type="colorScale" priority="6">
      <colorScale>
        <cfvo type="num" val="0"/>
        <cfvo type="num" val="5"/>
        <cfvo type="num" val="10"/>
        <color rgb="00F4B9B9"/>
        <color rgb="00F0EFEC"/>
        <color rgb="009EC5F4"/>
      </colorScale>
    </cfRule>
  </conditionalFormatting>
  <conditionalFormatting sqref="B22:B33">
    <cfRule type="expression" priority="7" dxfId="11">
      <formula>ROW(B22)-21=RefMes</formula>
    </cfRule>
  </conditionalFormatting>
  <dataValidations count="2">
    <dataValidation sqref="C7:O17" showDropDown="0" showInputMessage="1" showErrorMessage="1" allowBlank="1" errorTitle="Valor inválido" error="Use um número entre 0 e 10." promptTitle="" prompt="0 = péssimo · 5 = ok · 10 = plenamente satisfeito" type="decimal" operator="between">
      <formula1>0</formula1>
      <formula2>10</formula2>
    </dataValidation>
    <dataValidation sqref="C22:C33" showDropDown="0" showInputMessage="0" showErrorMessage="1" allowBlank="1" errorTitle="Valor inválido" error="Use um número entre 0 e 10." type="whole" operator="between">
      <formula1>0</formula1>
      <formula2>10</formula2>
    </dataValidation>
  </dataValidations>
  <hyperlinks>
    <hyperlink ref="V1" location="'Dashboard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W74"/>
  <sheetViews>
    <sheetView showGridLines="0" tabSelected="0" zoomScale="10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42" customWidth="1" min="3" max="3"/>
    <col width="20" customWidth="1" min="4" max="4"/>
    <col width="12" customWidth="1" min="5" max="5"/>
    <col width="11" customWidth="1" min="6" max="6"/>
    <col width="11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1" customWidth="1" min="13" max="13"/>
    <col width="11" customWidth="1" min="14" max="14"/>
    <col width="15" customWidth="1" min="15" max="15"/>
    <col width="9" customWidth="1" min="16" max="16"/>
    <col width="10" customWidth="1" min="17" max="17"/>
    <col width="9" customWidth="1" min="18" max="18"/>
    <col width="34" customWidth="1" min="19" max="19"/>
    <col width="34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4" customHeight="1">
      <c r="A1" s="96" t="n"/>
      <c r="B1" s="97" t="inlineStr">
        <is>
          <t>Metas · curto, médio e longo prazo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98" t="inlineStr">
        <is>
          <t>◀ Dashboard</t>
        </is>
      </c>
    </row>
    <row r="2" ht="18" customHeight="1">
      <c r="A2" s="96" t="n"/>
      <c r="B2" s="99" t="inlineStr">
        <is>
          <t>Visão no topo, metas mensuráveis embaixo. Progresso, ritmo esperado e horizonte são calculados.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30" customHeight="1">
      <c r="B5" s="116" t="inlineStr">
        <is>
          <t>Minha visão (daqui a 5 anos)</t>
        </is>
      </c>
      <c r="C5" s="115" t="n"/>
      <c r="D5" s="117" t="n"/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5" t="n"/>
    </row>
    <row r="6" ht="30" customHeight="1">
      <c r="B6" s="116" t="inlineStr">
        <is>
          <t>Propósito · por que faço o que faço</t>
        </is>
      </c>
      <c r="C6" s="115" t="n"/>
      <c r="D6" s="117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5" t="n"/>
    </row>
    <row r="7" ht="30" customHeight="1">
      <c r="B7" s="116" t="inlineStr">
        <is>
          <t>Valores que não negocio</t>
        </is>
      </c>
      <c r="C7" s="115" t="n"/>
      <c r="D7" s="117" t="n"/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5" t="n"/>
    </row>
    <row r="8" ht="30" customHeight="1">
      <c r="B8" s="116" t="inlineStr">
        <is>
          <t>Tema / palavra do ano</t>
        </is>
      </c>
      <c r="C8" s="115" t="n"/>
      <c r="D8" s="117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5" t="n"/>
    </row>
    <row r="10" ht="16" customHeight="1">
      <c r="C10" s="118" t="inlineStr">
        <is>
          <t>METAS EM ANDAMENTO</t>
        </is>
      </c>
      <c r="D10" s="119" t="inlineStr">
        <is>
          <t>NO RITMO</t>
        </is>
      </c>
      <c r="E10" s="120" t="n"/>
      <c r="F10" s="119" t="inlineStr">
        <is>
          <t>EM ATENÇÃO</t>
        </is>
      </c>
      <c r="G10" s="121" t="n"/>
      <c r="H10" s="120" t="n"/>
      <c r="I10" s="119" t="inlineStr">
        <is>
          <t>ATRASADAS OU VENCIDAS</t>
        </is>
      </c>
      <c r="J10" s="121" t="n"/>
      <c r="K10" s="120" t="n"/>
      <c r="L10" s="119" t="inlineStr">
        <is>
          <t>PROGRESSO MÉDIO (EM ANDAMENTO)</t>
        </is>
      </c>
      <c r="M10" s="121" t="n"/>
      <c r="N10" s="120" t="n"/>
      <c r="O10" s="119" t="inlineStr">
        <is>
          <t>POR HORIZONTE</t>
        </is>
      </c>
      <c r="P10" s="121" t="n"/>
      <c r="Q10" s="121" t="n"/>
      <c r="R10" s="121" t="n"/>
      <c r="S10" s="121" t="n"/>
      <c r="T10" s="120" t="n"/>
    </row>
    <row r="11" ht="28" customHeight="1">
      <c r="C11" s="122">
        <f>COUNTIF($O$15:$O$74,"✔ No ritmo")+COUNTIF($O$15:$O$74,"▲*")+COUNTIF($O$15:$O$74,"✖*")+COUNTIF($O$15:$O$74,"○*")</f>
        <v>0</v>
      </c>
      <c r="D11" s="123">
        <f>COUNTIF($O$15:$O$74,"✔ No ritmo")</f>
        <v>0</v>
      </c>
      <c r="E11" s="32" t="n"/>
      <c r="F11" s="123">
        <f>COUNTIF($O$15:$O$74,"▲*")</f>
        <v>0</v>
      </c>
      <c r="G11" s="31" t="n"/>
      <c r="H11" s="32" t="n"/>
      <c r="I11" s="123">
        <f>COUNTIF($O$15:$O$74,"✖*")</f>
        <v>0</v>
      </c>
      <c r="J11" s="31" t="n"/>
      <c r="K11" s="32" t="n"/>
      <c r="L11" s="124" t="str">
        <f>IFERROR(AVERAGEIFS($M$15:$M$74,$U$15:$U$74,1,$O$15:$O$74,"&lt;&gt;✔ Concluída"),"–")</f>
        <v>–</v>
      </c>
      <c r="M11" s="31" t="n"/>
      <c r="N11" s="32" t="n"/>
      <c r="O11" s="125" t="str">
        <f>"Curto "&amp;COUNTIFS($Q$15:$Q$74,"Curto",$U$15:$U$74,1)&amp;" · Médio "&amp;COUNTIFS($Q$15:$Q$74,"Médio",$U$15:$U$74,1)&amp;" · Longo "&amp;COUNTIFS($Q$15:$Q$74,"Longo",$U$15:$U$74,1)</f>
        <v>Curto 0 · Médio 0 · Longo 0</v>
      </c>
      <c r="P11" s="31" t="n"/>
      <c r="Q11" s="31" t="n"/>
      <c r="R11" s="31" t="n"/>
      <c r="S11" s="31" t="n"/>
      <c r="T11" s="32" t="n"/>
    </row>
    <row r="12" ht="25" customHeight="1">
      <c r="C12" s="126" t="str">
        <f>"Concluídas: "&amp;COUNTIF($O$15:$O$74,"✔ Concluída")&amp;" · pausadas: "&amp;COUNTIF($O$15:$O$74,"‖*")</f>
        <v>Concluídas: 0 · pausadas: 0</v>
      </c>
      <c r="D12" s="127" t="str">
        <f>IF(C11=0,"",IF(D11/C11&gt;=0.7,"✔ ","▲ ")&amp;ROUND(D11/C11*100,0)&amp;"% das em andamento")</f>
        <v/>
      </c>
      <c r="E12" s="38" t="n"/>
      <c r="F12" s="127" t="str">
        <f>"progresso um pouco atrás do tempo"</f>
        <v>progresso um pouco atrás do tempo</v>
      </c>
      <c r="G12" s="37" t="n"/>
      <c r="H12" s="38" t="n"/>
      <c r="I12" s="127" t="str">
        <f>IF(I11&gt;0,"✖ replaneje ou ajuste o prazo","✔ nenhuma")</f>
        <v>✔ nenhuma</v>
      </c>
      <c r="J12" s="37" t="n"/>
      <c r="K12" s="38" t="n"/>
      <c r="L12" s="127" t="str">
        <f>"vs. tempo decorrido de cada meta"</f>
        <v>vs. tempo decorrido de cada meta</v>
      </c>
      <c r="M12" s="37" t="n"/>
      <c r="N12" s="38" t="n"/>
      <c r="O12" s="127" t="str">
        <f>"pela duração: curto ≤ 6 meses · médio ≤ 2 anos · longo &gt; 2 anos"</f>
        <v>pela duração: curto ≤ 6 meses · médio ≤ 2 anos · longo &gt; 2 anos</v>
      </c>
      <c r="P12" s="37" t="n"/>
      <c r="Q12" s="37" t="n"/>
      <c r="R12" s="37" t="n"/>
      <c r="S12" s="37" t="n"/>
      <c r="T12" s="38" t="n"/>
    </row>
    <row r="14" ht="36" customHeight="1">
      <c r="B14" s="104" t="inlineStr">
        <is>
          <t>#</t>
        </is>
      </c>
      <c r="C14" s="103" t="inlineStr">
        <is>
          <t>Meta (específica e mensurável)</t>
        </is>
      </c>
      <c r="D14" s="103" t="inlineStr">
        <is>
          <t>Área da vida</t>
        </is>
      </c>
      <c r="E14" s="103" t="inlineStr">
        <is>
          <t>Status</t>
        </is>
      </c>
      <c r="F14" s="103" t="inlineStr">
        <is>
          <t>Início</t>
        </is>
      </c>
      <c r="G14" s="103" t="inlineStr">
        <is>
          <t>Prazo</t>
        </is>
      </c>
      <c r="H14" s="103" t="inlineStr">
        <is>
          <t>Unidade</t>
        </is>
      </c>
      <c r="I14" s="103" t="inlineStr">
        <is>
          <t>Valor inicial</t>
        </is>
      </c>
      <c r="J14" s="103" t="inlineStr">
        <is>
          <t>Valor atual</t>
        </is>
      </c>
      <c r="K14" s="103" t="inlineStr">
        <is>
          <t>Valor alvo</t>
        </is>
      </c>
      <c r="L14" s="103" t="inlineStr">
        <is>
          <t>Progresso manual</t>
        </is>
      </c>
      <c r="M14" s="104" t="inlineStr">
        <is>
          <t>Progresso</t>
        </is>
      </c>
      <c r="N14" s="104" t="inlineStr">
        <is>
          <t>Esperado hoje</t>
        </is>
      </c>
      <c r="O14" s="104" t="inlineStr">
        <is>
          <t>Ritmo</t>
        </is>
      </c>
      <c r="P14" s="104" t="inlineStr">
        <is>
          <t>Dias restantes</t>
        </is>
      </c>
      <c r="Q14" s="104" t="inlineStr">
        <is>
          <t>Horizonte</t>
        </is>
      </c>
      <c r="R14" s="104" t="inlineStr">
        <is>
          <t>Tarefas abertas</t>
        </is>
      </c>
      <c r="S14" s="103" t="inlineStr">
        <is>
          <t>Próximo passo concreto</t>
        </is>
      </c>
      <c r="T14" s="103" t="inlineStr">
        <is>
          <t>Por que importa / notas</t>
        </is>
      </c>
    </row>
    <row r="15" ht="30" customHeight="1">
      <c r="B15" s="128" t="str">
        <f>IF(C15="","",ROW()-14)</f>
        <v/>
      </c>
      <c r="C15" s="129" t="n"/>
      <c r="D15" s="129" t="n"/>
      <c r="E15" s="129" t="n"/>
      <c r="F15" s="130" t="n"/>
      <c r="G15" s="130" t="n"/>
      <c r="H15" s="131" t="n"/>
      <c r="I15" s="131" t="n"/>
      <c r="J15" s="131" t="n"/>
      <c r="K15" s="131" t="n"/>
      <c r="L15" s="132" t="n"/>
      <c r="M15" s="133" t="str">
        <f>IF(C15="","",IF(E15="Concluída",1,IF(AND(ISNUMBER(I15),ISNUMBER(J15),ISNUMBER(K15),K15&lt;&gt;I15),MAX(0,MIN(1,(J15-I15)/(K15-I15))),IF(ISNUMBER(L15),MAX(0,MIN(1,L15)),0))))</f>
        <v/>
      </c>
      <c r="N15" s="133" t="str">
        <f>IF(OR(C15="",F15="",G15=""),"",IF(G15&lt;=F15,1,MAX(0,MIN(1,(Hoje-F15)/(G15-F15)))))</f>
        <v/>
      </c>
      <c r="O15" s="128" t="str">
        <f>IF(C15="","",IF(OR(E15="Concluída",M15&gt;=1),"✔ Concluída",IF(E15="Pausada","‖ Pausada",IF(E15="Abandonada","– Abandonada",IF(N15="","○ Sem prazo",IF(G15&lt;Hoje,"✖ Vencida",IF(M15&gt;=N15-0.1,"✔ No ritmo",IF(M15&gt;=N15-0.25,"▲ Atenção","✖ Atrasada"))))))))</f>
        <v/>
      </c>
      <c r="P15" s="134" t="str">
        <f>IF(OR(C15="",G15="",O15="✔ Concluída"),"",G15-Hoje)</f>
        <v/>
      </c>
      <c r="Q15" s="128" t="str">
        <f>IF(OR(C15="",G15=""),"",IF(G15-IF(F15="",Hoje,F15)&lt;=183,"Curto",IF(G15-IF(F15="",Hoje,F15)&lt;=731,"Médio","Longo")))</f>
        <v/>
      </c>
      <c r="R15" s="128" t="str">
        <f>IF(C15="","",COUNTIFS('Tarefas'!$I$34:$I$333,C15,'Tarefas'!$G$34:$G$333,"&lt;&gt;Concluída",'Tarefas'!$G$34:$G$333,"&lt;&gt;Cancelada"))</f>
        <v/>
      </c>
      <c r="S15" s="135" t="n"/>
      <c r="T15" s="135" t="n"/>
      <c r="U15">
        <f>IF(C15="",0,IF(OR(E15="Pausada",E15="Abandonada"),0,1))</f>
        <v>0</v>
      </c>
      <c r="V15">
        <f>IF(U15=0,0,IF(OR(O15="✔ Concluída",O15="✔ No ritmo",O15="○ Sem prazo"),1,0))</f>
        <v>0</v>
      </c>
      <c r="W15" t="str">
        <f>IF(AND(U15=1,O15&lt;&gt;"✔ Concluída",G15&lt;&gt;""),G15+ROW()/100000,"")</f>
        <v/>
      </c>
    </row>
    <row r="16" ht="30" customHeight="1">
      <c r="B16" s="128" t="str">
        <f>IF(C16="","",ROW()-14)</f>
        <v/>
      </c>
      <c r="C16" s="129" t="n"/>
      <c r="D16" s="129" t="n"/>
      <c r="E16" s="129" t="n"/>
      <c r="F16" s="130" t="n"/>
      <c r="G16" s="130" t="n"/>
      <c r="H16" s="131" t="n"/>
      <c r="I16" s="131" t="n"/>
      <c r="J16" s="131" t="n"/>
      <c r="K16" s="131" t="n"/>
      <c r="L16" s="132" t="n"/>
      <c r="M16" s="133" t="str">
        <f>IF(C16="","",IF(E16="Concluída",1,IF(AND(ISNUMBER(I16),ISNUMBER(J16),ISNUMBER(K16),K16&lt;&gt;I16),MAX(0,MIN(1,(J16-I16)/(K16-I16))),IF(ISNUMBER(L16),MAX(0,MIN(1,L16)),0))))</f>
        <v/>
      </c>
      <c r="N16" s="133" t="str">
        <f>IF(OR(C16="",F16="",G16=""),"",IF(G16&lt;=F16,1,MAX(0,MIN(1,(Hoje-F16)/(G16-F16)))))</f>
        <v/>
      </c>
      <c r="O16" s="128" t="str">
        <f>IF(C16="","",IF(OR(E16="Concluída",M16&gt;=1),"✔ Concluída",IF(E16="Pausada","‖ Pausada",IF(E16="Abandonada","– Abandonada",IF(N16="","○ Sem prazo",IF(G16&lt;Hoje,"✖ Vencida",IF(M16&gt;=N16-0.1,"✔ No ritmo",IF(M16&gt;=N16-0.25,"▲ Atenção","✖ Atrasada"))))))))</f>
        <v/>
      </c>
      <c r="P16" s="134" t="str">
        <f>IF(OR(C16="",G16="",O16="✔ Concluída"),"",G16-Hoje)</f>
        <v/>
      </c>
      <c r="Q16" s="128" t="str">
        <f>IF(OR(C16="",G16=""),"",IF(G16-IF(F16="",Hoje,F16)&lt;=183,"Curto",IF(G16-IF(F16="",Hoje,F16)&lt;=731,"Médio","Longo")))</f>
        <v/>
      </c>
      <c r="R16" s="128" t="str">
        <f>IF(C16="","",COUNTIFS('Tarefas'!$I$34:$I$333,C16,'Tarefas'!$G$34:$G$333,"&lt;&gt;Concluída",'Tarefas'!$G$34:$G$333,"&lt;&gt;Cancelada"))</f>
        <v/>
      </c>
      <c r="S16" s="135" t="n"/>
      <c r="T16" s="135" t="n"/>
      <c r="U16">
        <f>IF(C16="",0,IF(OR(E16="Pausada",E16="Abandonada"),0,1))</f>
        <v>0</v>
      </c>
      <c r="V16">
        <f>IF(U16=0,0,IF(OR(O16="✔ Concluída",O16="✔ No ritmo",O16="○ Sem prazo"),1,0))</f>
        <v>0</v>
      </c>
      <c r="W16" t="str">
        <f>IF(AND(U16=1,O16&lt;&gt;"✔ Concluída",G16&lt;&gt;""),G16+ROW()/100000,"")</f>
        <v/>
      </c>
    </row>
    <row r="17" ht="30" customHeight="1">
      <c r="B17" s="128" t="str">
        <f>IF(C17="","",ROW()-14)</f>
        <v/>
      </c>
      <c r="C17" s="129" t="n"/>
      <c r="D17" s="129" t="n"/>
      <c r="E17" s="129" t="n"/>
      <c r="F17" s="130" t="n"/>
      <c r="G17" s="130" t="n"/>
      <c r="H17" s="131" t="n"/>
      <c r="I17" s="131" t="n"/>
      <c r="J17" s="131" t="n"/>
      <c r="K17" s="131" t="n"/>
      <c r="L17" s="132" t="n"/>
      <c r="M17" s="133" t="str">
        <f>IF(C17="","",IF(E17="Concluída",1,IF(AND(ISNUMBER(I17),ISNUMBER(J17),ISNUMBER(K17),K17&lt;&gt;I17),MAX(0,MIN(1,(J17-I17)/(K17-I17))),IF(ISNUMBER(L17),MAX(0,MIN(1,L17)),0))))</f>
        <v/>
      </c>
      <c r="N17" s="133" t="str">
        <f>IF(OR(C17="",F17="",G17=""),"",IF(G17&lt;=F17,1,MAX(0,MIN(1,(Hoje-F17)/(G17-F17)))))</f>
        <v/>
      </c>
      <c r="O17" s="128" t="str">
        <f>IF(C17="","",IF(OR(E17="Concluída",M17&gt;=1),"✔ Concluída",IF(E17="Pausada","‖ Pausada",IF(E17="Abandonada","– Abandonada",IF(N17="","○ Sem prazo",IF(G17&lt;Hoje,"✖ Vencida",IF(M17&gt;=N17-0.1,"✔ No ritmo",IF(M17&gt;=N17-0.25,"▲ Atenção","✖ Atrasada"))))))))</f>
        <v/>
      </c>
      <c r="P17" s="134" t="str">
        <f>IF(OR(C17="",G17="",O17="✔ Concluída"),"",G17-Hoje)</f>
        <v/>
      </c>
      <c r="Q17" s="128" t="str">
        <f>IF(OR(C17="",G17=""),"",IF(G17-IF(F17="",Hoje,F17)&lt;=183,"Curto",IF(G17-IF(F17="",Hoje,F17)&lt;=731,"Médio","Longo")))</f>
        <v/>
      </c>
      <c r="R17" s="128" t="str">
        <f>IF(C17="","",COUNTIFS('Tarefas'!$I$34:$I$333,C17,'Tarefas'!$G$34:$G$333,"&lt;&gt;Concluída",'Tarefas'!$G$34:$G$333,"&lt;&gt;Cancelada"))</f>
        <v/>
      </c>
      <c r="S17" s="135" t="n"/>
      <c r="T17" s="135" t="n"/>
      <c r="U17">
        <f>IF(C17="",0,IF(OR(E17="Pausada",E17="Abandonada"),0,1))</f>
        <v>0</v>
      </c>
      <c r="V17">
        <f>IF(U17=0,0,IF(OR(O17="✔ Concluída",O17="✔ No ritmo",O17="○ Sem prazo"),1,0))</f>
        <v>0</v>
      </c>
      <c r="W17" t="str">
        <f>IF(AND(U17=1,O17&lt;&gt;"✔ Concluída",G17&lt;&gt;""),G17+ROW()/100000,"")</f>
        <v/>
      </c>
    </row>
    <row r="18" ht="30" customHeight="1">
      <c r="B18" s="128" t="str">
        <f>IF(C18="","",ROW()-14)</f>
        <v/>
      </c>
      <c r="C18" s="129" t="n"/>
      <c r="D18" s="129" t="n"/>
      <c r="E18" s="129" t="n"/>
      <c r="F18" s="130" t="n"/>
      <c r="G18" s="130" t="n"/>
      <c r="H18" s="131" t="n"/>
      <c r="I18" s="131" t="n"/>
      <c r="J18" s="131" t="n"/>
      <c r="K18" s="131" t="n"/>
      <c r="L18" s="132" t="n"/>
      <c r="M18" s="133" t="str">
        <f>IF(C18="","",IF(E18="Concluída",1,IF(AND(ISNUMBER(I18),ISNUMBER(J18),ISNUMBER(K18),K18&lt;&gt;I18),MAX(0,MIN(1,(J18-I18)/(K18-I18))),IF(ISNUMBER(L18),MAX(0,MIN(1,L18)),0))))</f>
        <v/>
      </c>
      <c r="N18" s="133" t="str">
        <f>IF(OR(C18="",F18="",G18=""),"",IF(G18&lt;=F18,1,MAX(0,MIN(1,(Hoje-F18)/(G18-F18)))))</f>
        <v/>
      </c>
      <c r="O18" s="128" t="str">
        <f>IF(C18="","",IF(OR(E18="Concluída",M18&gt;=1),"✔ Concluída",IF(E18="Pausada","‖ Pausada",IF(E18="Abandonada","– Abandonada",IF(N18="","○ Sem prazo",IF(G18&lt;Hoje,"✖ Vencida",IF(M18&gt;=N18-0.1,"✔ No ritmo",IF(M18&gt;=N18-0.25,"▲ Atenção","✖ Atrasada"))))))))</f>
        <v/>
      </c>
      <c r="P18" s="134" t="str">
        <f>IF(OR(C18="",G18="",O18="✔ Concluída"),"",G18-Hoje)</f>
        <v/>
      </c>
      <c r="Q18" s="128" t="str">
        <f>IF(OR(C18="",G18=""),"",IF(G18-IF(F18="",Hoje,F18)&lt;=183,"Curto",IF(G18-IF(F18="",Hoje,F18)&lt;=731,"Médio","Longo")))</f>
        <v/>
      </c>
      <c r="R18" s="128" t="str">
        <f>IF(C18="","",COUNTIFS('Tarefas'!$I$34:$I$333,C18,'Tarefas'!$G$34:$G$333,"&lt;&gt;Concluída",'Tarefas'!$G$34:$G$333,"&lt;&gt;Cancelada"))</f>
        <v/>
      </c>
      <c r="S18" s="135" t="n"/>
      <c r="T18" s="135" t="n"/>
      <c r="U18">
        <f>IF(C18="",0,IF(OR(E18="Pausada",E18="Abandonada"),0,1))</f>
        <v>0</v>
      </c>
      <c r="V18">
        <f>IF(U18=0,0,IF(OR(O18="✔ Concluída",O18="✔ No ritmo",O18="○ Sem prazo"),1,0))</f>
        <v>0</v>
      </c>
      <c r="W18" t="str">
        <f>IF(AND(U18=1,O18&lt;&gt;"✔ Concluída",G18&lt;&gt;""),G18+ROW()/100000,"")</f>
        <v/>
      </c>
    </row>
    <row r="19" ht="30" customHeight="1">
      <c r="B19" s="128" t="str">
        <f>IF(C19="","",ROW()-14)</f>
        <v/>
      </c>
      <c r="C19" s="129" t="n"/>
      <c r="D19" s="129" t="n"/>
      <c r="E19" s="129" t="n"/>
      <c r="F19" s="130" t="n"/>
      <c r="G19" s="130" t="n"/>
      <c r="H19" s="131" t="n"/>
      <c r="I19" s="131" t="n"/>
      <c r="J19" s="131" t="n"/>
      <c r="K19" s="131" t="n"/>
      <c r="L19" s="132" t="n"/>
      <c r="M19" s="133" t="str">
        <f>IF(C19="","",IF(E19="Concluída",1,IF(AND(ISNUMBER(I19),ISNUMBER(J19),ISNUMBER(K19),K19&lt;&gt;I19),MAX(0,MIN(1,(J19-I19)/(K19-I19))),IF(ISNUMBER(L19),MAX(0,MIN(1,L19)),0))))</f>
        <v/>
      </c>
      <c r="N19" s="133" t="str">
        <f>IF(OR(C19="",F19="",G19=""),"",IF(G19&lt;=F19,1,MAX(0,MIN(1,(Hoje-F19)/(G19-F19)))))</f>
        <v/>
      </c>
      <c r="O19" s="128" t="str">
        <f>IF(C19="","",IF(OR(E19="Concluída",M19&gt;=1),"✔ Concluída",IF(E19="Pausada","‖ Pausada",IF(E19="Abandonada","– Abandonada",IF(N19="","○ Sem prazo",IF(G19&lt;Hoje,"✖ Vencida",IF(M19&gt;=N19-0.1,"✔ No ritmo",IF(M19&gt;=N19-0.25,"▲ Atenção","✖ Atrasada"))))))))</f>
        <v/>
      </c>
      <c r="P19" s="134" t="str">
        <f>IF(OR(C19="",G19="",O19="✔ Concluída"),"",G19-Hoje)</f>
        <v/>
      </c>
      <c r="Q19" s="128" t="str">
        <f>IF(OR(C19="",G19=""),"",IF(G19-IF(F19="",Hoje,F19)&lt;=183,"Curto",IF(G19-IF(F19="",Hoje,F19)&lt;=731,"Médio","Longo")))</f>
        <v/>
      </c>
      <c r="R19" s="128" t="str">
        <f>IF(C19="","",COUNTIFS('Tarefas'!$I$34:$I$333,C19,'Tarefas'!$G$34:$G$333,"&lt;&gt;Concluída",'Tarefas'!$G$34:$G$333,"&lt;&gt;Cancelada"))</f>
        <v/>
      </c>
      <c r="S19" s="135" t="n"/>
      <c r="T19" s="135" t="n"/>
      <c r="U19">
        <f>IF(C19="",0,IF(OR(E19="Pausada",E19="Abandonada"),0,1))</f>
        <v>0</v>
      </c>
      <c r="V19">
        <f>IF(U19=0,0,IF(OR(O19="✔ Concluída",O19="✔ No ritmo",O19="○ Sem prazo"),1,0))</f>
        <v>0</v>
      </c>
      <c r="W19" t="str">
        <f>IF(AND(U19=1,O19&lt;&gt;"✔ Concluída",G19&lt;&gt;""),G19+ROW()/100000,"")</f>
        <v/>
      </c>
    </row>
    <row r="20" ht="30" customHeight="1">
      <c r="B20" s="128" t="str">
        <f>IF(C20="","",ROW()-14)</f>
        <v/>
      </c>
      <c r="C20" s="129" t="n"/>
      <c r="D20" s="129" t="n"/>
      <c r="E20" s="129" t="n"/>
      <c r="F20" s="130" t="n"/>
      <c r="G20" s="130" t="n"/>
      <c r="H20" s="131" t="n"/>
      <c r="I20" s="131" t="n"/>
      <c r="J20" s="131" t="n"/>
      <c r="K20" s="131" t="n"/>
      <c r="L20" s="132" t="n"/>
      <c r="M20" s="133" t="str">
        <f>IF(C20="","",IF(E20="Concluída",1,IF(AND(ISNUMBER(I20),ISNUMBER(J20),ISNUMBER(K20),K20&lt;&gt;I20),MAX(0,MIN(1,(J20-I20)/(K20-I20))),IF(ISNUMBER(L20),MAX(0,MIN(1,L20)),0))))</f>
        <v/>
      </c>
      <c r="N20" s="133" t="str">
        <f>IF(OR(C20="",F20="",G20=""),"",IF(G20&lt;=F20,1,MAX(0,MIN(1,(Hoje-F20)/(G20-F20)))))</f>
        <v/>
      </c>
      <c r="O20" s="128" t="str">
        <f>IF(C20="","",IF(OR(E20="Concluída",M20&gt;=1),"✔ Concluída",IF(E20="Pausada","‖ Pausada",IF(E20="Abandonada","– Abandonada",IF(N20="","○ Sem prazo",IF(G20&lt;Hoje,"✖ Vencida",IF(M20&gt;=N20-0.1,"✔ No ritmo",IF(M20&gt;=N20-0.25,"▲ Atenção","✖ Atrasada"))))))))</f>
        <v/>
      </c>
      <c r="P20" s="134" t="str">
        <f>IF(OR(C20="",G20="",O20="✔ Concluída"),"",G20-Hoje)</f>
        <v/>
      </c>
      <c r="Q20" s="128" t="str">
        <f>IF(OR(C20="",G20=""),"",IF(G20-IF(F20="",Hoje,F20)&lt;=183,"Curto",IF(G20-IF(F20="",Hoje,F20)&lt;=731,"Médio","Longo")))</f>
        <v/>
      </c>
      <c r="R20" s="128" t="str">
        <f>IF(C20="","",COUNTIFS('Tarefas'!$I$34:$I$333,C20,'Tarefas'!$G$34:$G$333,"&lt;&gt;Concluída",'Tarefas'!$G$34:$G$333,"&lt;&gt;Cancelada"))</f>
        <v/>
      </c>
      <c r="S20" s="135" t="n"/>
      <c r="T20" s="135" t="n"/>
      <c r="U20">
        <f>IF(C20="",0,IF(OR(E20="Pausada",E20="Abandonada"),0,1))</f>
        <v>0</v>
      </c>
      <c r="V20">
        <f>IF(U20=0,0,IF(OR(O20="✔ Concluída",O20="✔ No ritmo",O20="○ Sem prazo"),1,0))</f>
        <v>0</v>
      </c>
      <c r="W20" t="str">
        <f>IF(AND(U20=1,O20&lt;&gt;"✔ Concluída",G20&lt;&gt;""),G20+ROW()/100000,"")</f>
        <v/>
      </c>
    </row>
    <row r="21" ht="30" customHeight="1">
      <c r="B21" s="128" t="str">
        <f>IF(C21="","",ROW()-14)</f>
        <v/>
      </c>
      <c r="C21" s="129" t="n"/>
      <c r="D21" s="129" t="n"/>
      <c r="E21" s="129" t="n"/>
      <c r="F21" s="130" t="n"/>
      <c r="G21" s="130" t="n"/>
      <c r="H21" s="131" t="n"/>
      <c r="I21" s="131" t="n"/>
      <c r="J21" s="131" t="n"/>
      <c r="K21" s="131" t="n"/>
      <c r="L21" s="132" t="n"/>
      <c r="M21" s="133" t="str">
        <f>IF(C21="","",IF(E21="Concluída",1,IF(AND(ISNUMBER(I21),ISNUMBER(J21),ISNUMBER(K21),K21&lt;&gt;I21),MAX(0,MIN(1,(J21-I21)/(K21-I21))),IF(ISNUMBER(L21),MAX(0,MIN(1,L21)),0))))</f>
        <v/>
      </c>
      <c r="N21" s="133" t="str">
        <f>IF(OR(C21="",F21="",G21=""),"",IF(G21&lt;=F21,1,MAX(0,MIN(1,(Hoje-F21)/(G21-F21)))))</f>
        <v/>
      </c>
      <c r="O21" s="128" t="str">
        <f>IF(C21="","",IF(OR(E21="Concluída",M21&gt;=1),"✔ Concluída",IF(E21="Pausada","‖ Pausada",IF(E21="Abandonada","– Abandonada",IF(N21="","○ Sem prazo",IF(G21&lt;Hoje,"✖ Vencida",IF(M21&gt;=N21-0.1,"✔ No ritmo",IF(M21&gt;=N21-0.25,"▲ Atenção","✖ Atrasada"))))))))</f>
        <v/>
      </c>
      <c r="P21" s="134" t="str">
        <f>IF(OR(C21="",G21="",O21="✔ Concluída"),"",G21-Hoje)</f>
        <v/>
      </c>
      <c r="Q21" s="128" t="str">
        <f>IF(OR(C21="",G21=""),"",IF(G21-IF(F21="",Hoje,F21)&lt;=183,"Curto",IF(G21-IF(F21="",Hoje,F21)&lt;=731,"Médio","Longo")))</f>
        <v/>
      </c>
      <c r="R21" s="128" t="str">
        <f>IF(C21="","",COUNTIFS('Tarefas'!$I$34:$I$333,C21,'Tarefas'!$G$34:$G$333,"&lt;&gt;Concluída",'Tarefas'!$G$34:$G$333,"&lt;&gt;Cancelada"))</f>
        <v/>
      </c>
      <c r="S21" s="135" t="n"/>
      <c r="T21" s="135" t="n"/>
      <c r="U21">
        <f>IF(C21="",0,IF(OR(E21="Pausada",E21="Abandonada"),0,1))</f>
        <v>0</v>
      </c>
      <c r="V21">
        <f>IF(U21=0,0,IF(OR(O21="✔ Concluída",O21="✔ No ritmo",O21="○ Sem prazo"),1,0))</f>
        <v>0</v>
      </c>
      <c r="W21" t="str">
        <f>IF(AND(U21=1,O21&lt;&gt;"✔ Concluída",G21&lt;&gt;""),G21+ROW()/100000,"")</f>
        <v/>
      </c>
    </row>
    <row r="22" ht="30" customHeight="1">
      <c r="B22" s="128" t="str">
        <f>IF(C22="","",ROW()-14)</f>
        <v/>
      </c>
      <c r="C22" s="129" t="n"/>
      <c r="D22" s="129" t="n"/>
      <c r="E22" s="129" t="n"/>
      <c r="F22" s="130" t="n"/>
      <c r="G22" s="130" t="n"/>
      <c r="H22" s="131" t="n"/>
      <c r="I22" s="131" t="n"/>
      <c r="J22" s="131" t="n"/>
      <c r="K22" s="131" t="n"/>
      <c r="L22" s="132" t="n"/>
      <c r="M22" s="133" t="str">
        <f>IF(C22="","",IF(E22="Concluída",1,IF(AND(ISNUMBER(I22),ISNUMBER(J22),ISNUMBER(K22),K22&lt;&gt;I22),MAX(0,MIN(1,(J22-I22)/(K22-I22))),IF(ISNUMBER(L22),MAX(0,MIN(1,L22)),0))))</f>
        <v/>
      </c>
      <c r="N22" s="133" t="str">
        <f>IF(OR(C22="",F22="",G22=""),"",IF(G22&lt;=F22,1,MAX(0,MIN(1,(Hoje-F22)/(G22-F22)))))</f>
        <v/>
      </c>
      <c r="O22" s="128" t="str">
        <f>IF(C22="","",IF(OR(E22="Concluída",M22&gt;=1),"✔ Concluída",IF(E22="Pausada","‖ Pausada",IF(E22="Abandonada","– Abandonada",IF(N22="","○ Sem prazo",IF(G22&lt;Hoje,"✖ Vencida",IF(M22&gt;=N22-0.1,"✔ No ritmo",IF(M22&gt;=N22-0.25,"▲ Atenção","✖ Atrasada"))))))))</f>
        <v/>
      </c>
      <c r="P22" s="134" t="str">
        <f>IF(OR(C22="",G22="",O22="✔ Concluída"),"",G22-Hoje)</f>
        <v/>
      </c>
      <c r="Q22" s="128" t="str">
        <f>IF(OR(C22="",G22=""),"",IF(G22-IF(F22="",Hoje,F22)&lt;=183,"Curto",IF(G22-IF(F22="",Hoje,F22)&lt;=731,"Médio","Longo")))</f>
        <v/>
      </c>
      <c r="R22" s="128" t="str">
        <f>IF(C22="","",COUNTIFS('Tarefas'!$I$34:$I$333,C22,'Tarefas'!$G$34:$G$333,"&lt;&gt;Concluída",'Tarefas'!$G$34:$G$333,"&lt;&gt;Cancelada"))</f>
        <v/>
      </c>
      <c r="S22" s="135" t="n"/>
      <c r="T22" s="135" t="n"/>
      <c r="U22">
        <f>IF(C22="",0,IF(OR(E22="Pausada",E22="Abandonada"),0,1))</f>
        <v>0</v>
      </c>
      <c r="V22">
        <f>IF(U22=0,0,IF(OR(O22="✔ Concluída",O22="✔ No ritmo",O22="○ Sem prazo"),1,0))</f>
        <v>0</v>
      </c>
      <c r="W22" t="str">
        <f>IF(AND(U22=1,O22&lt;&gt;"✔ Concluída",G22&lt;&gt;""),G22+ROW()/100000,"")</f>
        <v/>
      </c>
    </row>
    <row r="23" ht="30" customHeight="1">
      <c r="B23" s="128" t="str">
        <f>IF(C23="","",ROW()-14)</f>
        <v/>
      </c>
      <c r="C23" s="129" t="n"/>
      <c r="D23" s="129" t="n"/>
      <c r="E23" s="129" t="n"/>
      <c r="F23" s="130" t="n"/>
      <c r="G23" s="130" t="n"/>
      <c r="H23" s="131" t="n"/>
      <c r="I23" s="131" t="n"/>
      <c r="J23" s="131" t="n"/>
      <c r="K23" s="131" t="n"/>
      <c r="L23" s="132" t="n"/>
      <c r="M23" s="133" t="str">
        <f>IF(C23="","",IF(E23="Concluída",1,IF(AND(ISNUMBER(I23),ISNUMBER(J23),ISNUMBER(K23),K23&lt;&gt;I23),MAX(0,MIN(1,(J23-I23)/(K23-I23))),IF(ISNUMBER(L23),MAX(0,MIN(1,L23)),0))))</f>
        <v/>
      </c>
      <c r="N23" s="133" t="str">
        <f>IF(OR(C23="",F23="",G23=""),"",IF(G23&lt;=F23,1,MAX(0,MIN(1,(Hoje-F23)/(G23-F23)))))</f>
        <v/>
      </c>
      <c r="O23" s="128" t="str">
        <f>IF(C23="","",IF(OR(E23="Concluída",M23&gt;=1),"✔ Concluída",IF(E23="Pausada","‖ Pausada",IF(E23="Abandonada","– Abandonada",IF(N23="","○ Sem prazo",IF(G23&lt;Hoje,"✖ Vencida",IF(M23&gt;=N23-0.1,"✔ No ritmo",IF(M23&gt;=N23-0.25,"▲ Atenção","✖ Atrasada"))))))))</f>
        <v/>
      </c>
      <c r="P23" s="134" t="str">
        <f>IF(OR(C23="",G23="",O23="✔ Concluída"),"",G23-Hoje)</f>
        <v/>
      </c>
      <c r="Q23" s="128" t="str">
        <f>IF(OR(C23="",G23=""),"",IF(G23-IF(F23="",Hoje,F23)&lt;=183,"Curto",IF(G23-IF(F23="",Hoje,F23)&lt;=731,"Médio","Longo")))</f>
        <v/>
      </c>
      <c r="R23" s="128" t="str">
        <f>IF(C23="","",COUNTIFS('Tarefas'!$I$34:$I$333,C23,'Tarefas'!$G$34:$G$333,"&lt;&gt;Concluída",'Tarefas'!$G$34:$G$333,"&lt;&gt;Cancelada"))</f>
        <v/>
      </c>
      <c r="S23" s="135" t="n"/>
      <c r="T23" s="135" t="n"/>
      <c r="U23">
        <f>IF(C23="",0,IF(OR(E23="Pausada",E23="Abandonada"),0,1))</f>
        <v>0</v>
      </c>
      <c r="V23">
        <f>IF(U23=0,0,IF(OR(O23="✔ Concluída",O23="✔ No ritmo",O23="○ Sem prazo"),1,0))</f>
        <v>0</v>
      </c>
      <c r="W23" t="str">
        <f>IF(AND(U23=1,O23&lt;&gt;"✔ Concluída",G23&lt;&gt;""),G23+ROW()/100000,"")</f>
        <v/>
      </c>
    </row>
    <row r="24" ht="30" customHeight="1">
      <c r="B24" s="128" t="str">
        <f>IF(C24="","",ROW()-14)</f>
        <v/>
      </c>
      <c r="C24" s="129" t="n"/>
      <c r="D24" s="129" t="n"/>
      <c r="E24" s="129" t="n"/>
      <c r="F24" s="130" t="n"/>
      <c r="G24" s="130" t="n"/>
      <c r="H24" s="131" t="n"/>
      <c r="I24" s="131" t="n"/>
      <c r="J24" s="131" t="n"/>
      <c r="K24" s="131" t="n"/>
      <c r="L24" s="132" t="n"/>
      <c r="M24" s="133" t="str">
        <f>IF(C24="","",IF(E24="Concluída",1,IF(AND(ISNUMBER(I24),ISNUMBER(J24),ISNUMBER(K24),K24&lt;&gt;I24),MAX(0,MIN(1,(J24-I24)/(K24-I24))),IF(ISNUMBER(L24),MAX(0,MIN(1,L24)),0))))</f>
        <v/>
      </c>
      <c r="N24" s="133" t="str">
        <f>IF(OR(C24="",F24="",G24=""),"",IF(G24&lt;=F24,1,MAX(0,MIN(1,(Hoje-F24)/(G24-F24)))))</f>
        <v/>
      </c>
      <c r="O24" s="128" t="str">
        <f>IF(C24="","",IF(OR(E24="Concluída",M24&gt;=1),"✔ Concluída",IF(E24="Pausada","‖ Pausada",IF(E24="Abandonada","– Abandonada",IF(N24="","○ Sem prazo",IF(G24&lt;Hoje,"✖ Vencida",IF(M24&gt;=N24-0.1,"✔ No ritmo",IF(M24&gt;=N24-0.25,"▲ Atenção","✖ Atrasada"))))))))</f>
        <v/>
      </c>
      <c r="P24" s="134" t="str">
        <f>IF(OR(C24="",G24="",O24="✔ Concluída"),"",G24-Hoje)</f>
        <v/>
      </c>
      <c r="Q24" s="128" t="str">
        <f>IF(OR(C24="",G24=""),"",IF(G24-IF(F24="",Hoje,F24)&lt;=183,"Curto",IF(G24-IF(F24="",Hoje,F24)&lt;=731,"Médio","Longo")))</f>
        <v/>
      </c>
      <c r="R24" s="128" t="str">
        <f>IF(C24="","",COUNTIFS('Tarefas'!$I$34:$I$333,C24,'Tarefas'!$G$34:$G$333,"&lt;&gt;Concluída",'Tarefas'!$G$34:$G$333,"&lt;&gt;Cancelada"))</f>
        <v/>
      </c>
      <c r="S24" s="135" t="n"/>
      <c r="T24" s="135" t="n"/>
      <c r="U24">
        <f>IF(C24="",0,IF(OR(E24="Pausada",E24="Abandonada"),0,1))</f>
        <v>0</v>
      </c>
      <c r="V24">
        <f>IF(U24=0,0,IF(OR(O24="✔ Concluída",O24="✔ No ritmo",O24="○ Sem prazo"),1,0))</f>
        <v>0</v>
      </c>
      <c r="W24" t="str">
        <f>IF(AND(U24=1,O24&lt;&gt;"✔ Concluída",G24&lt;&gt;""),G24+ROW()/100000,"")</f>
        <v/>
      </c>
    </row>
    <row r="25" ht="30" customHeight="1">
      <c r="B25" s="128" t="str">
        <f>IF(C25="","",ROW()-14)</f>
        <v/>
      </c>
      <c r="C25" s="129" t="n"/>
      <c r="D25" s="129" t="n"/>
      <c r="E25" s="129" t="n"/>
      <c r="F25" s="130" t="n"/>
      <c r="G25" s="130" t="n"/>
      <c r="H25" s="131" t="n"/>
      <c r="I25" s="131" t="n"/>
      <c r="J25" s="131" t="n"/>
      <c r="K25" s="131" t="n"/>
      <c r="L25" s="132" t="n"/>
      <c r="M25" s="133" t="str">
        <f>IF(C25="","",IF(E25="Concluída",1,IF(AND(ISNUMBER(I25),ISNUMBER(J25),ISNUMBER(K25),K25&lt;&gt;I25),MAX(0,MIN(1,(J25-I25)/(K25-I25))),IF(ISNUMBER(L25),MAX(0,MIN(1,L25)),0))))</f>
        <v/>
      </c>
      <c r="N25" s="133" t="str">
        <f>IF(OR(C25="",F25="",G25=""),"",IF(G25&lt;=F25,1,MAX(0,MIN(1,(Hoje-F25)/(G25-F25)))))</f>
        <v/>
      </c>
      <c r="O25" s="128" t="str">
        <f>IF(C25="","",IF(OR(E25="Concluída",M25&gt;=1),"✔ Concluída",IF(E25="Pausada","‖ Pausada",IF(E25="Abandonada","– Abandonada",IF(N25="","○ Sem prazo",IF(G25&lt;Hoje,"✖ Vencida",IF(M25&gt;=N25-0.1,"✔ No ritmo",IF(M25&gt;=N25-0.25,"▲ Atenção","✖ Atrasada"))))))))</f>
        <v/>
      </c>
      <c r="P25" s="134" t="str">
        <f>IF(OR(C25="",G25="",O25="✔ Concluída"),"",G25-Hoje)</f>
        <v/>
      </c>
      <c r="Q25" s="128" t="str">
        <f>IF(OR(C25="",G25=""),"",IF(G25-IF(F25="",Hoje,F25)&lt;=183,"Curto",IF(G25-IF(F25="",Hoje,F25)&lt;=731,"Médio","Longo")))</f>
        <v/>
      </c>
      <c r="R25" s="128" t="str">
        <f>IF(C25="","",COUNTIFS('Tarefas'!$I$34:$I$333,C25,'Tarefas'!$G$34:$G$333,"&lt;&gt;Concluída",'Tarefas'!$G$34:$G$333,"&lt;&gt;Cancelada"))</f>
        <v/>
      </c>
      <c r="S25" s="135" t="n"/>
      <c r="T25" s="135" t="n"/>
      <c r="U25">
        <f>IF(C25="",0,IF(OR(E25="Pausada",E25="Abandonada"),0,1))</f>
        <v>0</v>
      </c>
      <c r="V25">
        <f>IF(U25=0,0,IF(OR(O25="✔ Concluída",O25="✔ No ritmo",O25="○ Sem prazo"),1,0))</f>
        <v>0</v>
      </c>
      <c r="W25" t="str">
        <f>IF(AND(U25=1,O25&lt;&gt;"✔ Concluída",G25&lt;&gt;""),G25+ROW()/100000,"")</f>
        <v/>
      </c>
    </row>
    <row r="26" ht="30" customHeight="1">
      <c r="B26" s="128" t="str">
        <f>IF(C26="","",ROW()-14)</f>
        <v/>
      </c>
      <c r="C26" s="129" t="n"/>
      <c r="D26" s="129" t="n"/>
      <c r="E26" s="129" t="n"/>
      <c r="F26" s="130" t="n"/>
      <c r="G26" s="130" t="n"/>
      <c r="H26" s="131" t="n"/>
      <c r="I26" s="131" t="n"/>
      <c r="J26" s="131" t="n"/>
      <c r="K26" s="131" t="n"/>
      <c r="L26" s="132" t="n"/>
      <c r="M26" s="133" t="str">
        <f>IF(C26="","",IF(E26="Concluída",1,IF(AND(ISNUMBER(I26),ISNUMBER(J26),ISNUMBER(K26),K26&lt;&gt;I26),MAX(0,MIN(1,(J26-I26)/(K26-I26))),IF(ISNUMBER(L26),MAX(0,MIN(1,L26)),0))))</f>
        <v/>
      </c>
      <c r="N26" s="133" t="str">
        <f>IF(OR(C26="",F26="",G26=""),"",IF(G26&lt;=F26,1,MAX(0,MIN(1,(Hoje-F26)/(G26-F26)))))</f>
        <v/>
      </c>
      <c r="O26" s="128" t="str">
        <f>IF(C26="","",IF(OR(E26="Concluída",M26&gt;=1),"✔ Concluída",IF(E26="Pausada","‖ Pausada",IF(E26="Abandonada","– Abandonada",IF(N26="","○ Sem prazo",IF(G26&lt;Hoje,"✖ Vencida",IF(M26&gt;=N26-0.1,"✔ No ritmo",IF(M26&gt;=N26-0.25,"▲ Atenção","✖ Atrasada"))))))))</f>
        <v/>
      </c>
      <c r="P26" s="134" t="str">
        <f>IF(OR(C26="",G26="",O26="✔ Concluída"),"",G26-Hoje)</f>
        <v/>
      </c>
      <c r="Q26" s="128" t="str">
        <f>IF(OR(C26="",G26=""),"",IF(G26-IF(F26="",Hoje,F26)&lt;=183,"Curto",IF(G26-IF(F26="",Hoje,F26)&lt;=731,"Médio","Longo")))</f>
        <v/>
      </c>
      <c r="R26" s="128" t="str">
        <f>IF(C26="","",COUNTIFS('Tarefas'!$I$34:$I$333,C26,'Tarefas'!$G$34:$G$333,"&lt;&gt;Concluída",'Tarefas'!$G$34:$G$333,"&lt;&gt;Cancelada"))</f>
        <v/>
      </c>
      <c r="S26" s="135" t="n"/>
      <c r="T26" s="135" t="n"/>
      <c r="U26">
        <f>IF(C26="",0,IF(OR(E26="Pausada",E26="Abandonada"),0,1))</f>
        <v>0</v>
      </c>
      <c r="V26">
        <f>IF(U26=0,0,IF(OR(O26="✔ Concluída",O26="✔ No ritmo",O26="○ Sem prazo"),1,0))</f>
        <v>0</v>
      </c>
      <c r="W26" t="str">
        <f>IF(AND(U26=1,O26&lt;&gt;"✔ Concluída",G26&lt;&gt;""),G26+ROW()/100000,"")</f>
        <v/>
      </c>
    </row>
    <row r="27" ht="30" customHeight="1">
      <c r="B27" s="128" t="str">
        <f>IF(C27="","",ROW()-14)</f>
        <v/>
      </c>
      <c r="C27" s="129" t="n"/>
      <c r="D27" s="129" t="n"/>
      <c r="E27" s="129" t="n"/>
      <c r="F27" s="130" t="n"/>
      <c r="G27" s="130" t="n"/>
      <c r="H27" s="131" t="n"/>
      <c r="I27" s="131" t="n"/>
      <c r="J27" s="131" t="n"/>
      <c r="K27" s="131" t="n"/>
      <c r="L27" s="132" t="n"/>
      <c r="M27" s="133" t="str">
        <f>IF(C27="","",IF(E27="Concluída",1,IF(AND(ISNUMBER(I27),ISNUMBER(J27),ISNUMBER(K27),K27&lt;&gt;I27),MAX(0,MIN(1,(J27-I27)/(K27-I27))),IF(ISNUMBER(L27),MAX(0,MIN(1,L27)),0))))</f>
        <v/>
      </c>
      <c r="N27" s="133" t="str">
        <f>IF(OR(C27="",F27="",G27=""),"",IF(G27&lt;=F27,1,MAX(0,MIN(1,(Hoje-F27)/(G27-F27)))))</f>
        <v/>
      </c>
      <c r="O27" s="128" t="str">
        <f>IF(C27="","",IF(OR(E27="Concluída",M27&gt;=1),"✔ Concluída",IF(E27="Pausada","‖ Pausada",IF(E27="Abandonada","– Abandonada",IF(N27="","○ Sem prazo",IF(G27&lt;Hoje,"✖ Vencida",IF(M27&gt;=N27-0.1,"✔ No ritmo",IF(M27&gt;=N27-0.25,"▲ Atenção","✖ Atrasada"))))))))</f>
        <v/>
      </c>
      <c r="P27" s="134" t="str">
        <f>IF(OR(C27="",G27="",O27="✔ Concluída"),"",G27-Hoje)</f>
        <v/>
      </c>
      <c r="Q27" s="128" t="str">
        <f>IF(OR(C27="",G27=""),"",IF(G27-IF(F27="",Hoje,F27)&lt;=183,"Curto",IF(G27-IF(F27="",Hoje,F27)&lt;=731,"Médio","Longo")))</f>
        <v/>
      </c>
      <c r="R27" s="128" t="str">
        <f>IF(C27="","",COUNTIFS('Tarefas'!$I$34:$I$333,C27,'Tarefas'!$G$34:$G$333,"&lt;&gt;Concluída",'Tarefas'!$G$34:$G$333,"&lt;&gt;Cancelada"))</f>
        <v/>
      </c>
      <c r="S27" s="135" t="n"/>
      <c r="T27" s="135" t="n"/>
      <c r="U27">
        <f>IF(C27="",0,IF(OR(E27="Pausada",E27="Abandonada"),0,1))</f>
        <v>0</v>
      </c>
      <c r="V27">
        <f>IF(U27=0,0,IF(OR(O27="✔ Concluída",O27="✔ No ritmo",O27="○ Sem prazo"),1,0))</f>
        <v>0</v>
      </c>
      <c r="W27" t="str">
        <f>IF(AND(U27=1,O27&lt;&gt;"✔ Concluída",G27&lt;&gt;""),G27+ROW()/100000,"")</f>
        <v/>
      </c>
    </row>
    <row r="28" ht="30" customHeight="1">
      <c r="B28" s="128" t="str">
        <f>IF(C28="","",ROW()-14)</f>
        <v/>
      </c>
      <c r="C28" s="129" t="n"/>
      <c r="D28" s="129" t="n"/>
      <c r="E28" s="129" t="n"/>
      <c r="F28" s="130" t="n"/>
      <c r="G28" s="130" t="n"/>
      <c r="H28" s="131" t="n"/>
      <c r="I28" s="131" t="n"/>
      <c r="J28" s="131" t="n"/>
      <c r="K28" s="131" t="n"/>
      <c r="L28" s="132" t="n"/>
      <c r="M28" s="133" t="str">
        <f>IF(C28="","",IF(E28="Concluída",1,IF(AND(ISNUMBER(I28),ISNUMBER(J28),ISNUMBER(K28),K28&lt;&gt;I28),MAX(0,MIN(1,(J28-I28)/(K28-I28))),IF(ISNUMBER(L28),MAX(0,MIN(1,L28)),0))))</f>
        <v/>
      </c>
      <c r="N28" s="133" t="str">
        <f>IF(OR(C28="",F28="",G28=""),"",IF(G28&lt;=F28,1,MAX(0,MIN(1,(Hoje-F28)/(G28-F28)))))</f>
        <v/>
      </c>
      <c r="O28" s="128" t="str">
        <f>IF(C28="","",IF(OR(E28="Concluída",M28&gt;=1),"✔ Concluída",IF(E28="Pausada","‖ Pausada",IF(E28="Abandonada","– Abandonada",IF(N28="","○ Sem prazo",IF(G28&lt;Hoje,"✖ Vencida",IF(M28&gt;=N28-0.1,"✔ No ritmo",IF(M28&gt;=N28-0.25,"▲ Atenção","✖ Atrasada"))))))))</f>
        <v/>
      </c>
      <c r="P28" s="134" t="str">
        <f>IF(OR(C28="",G28="",O28="✔ Concluída"),"",G28-Hoje)</f>
        <v/>
      </c>
      <c r="Q28" s="128" t="str">
        <f>IF(OR(C28="",G28=""),"",IF(G28-IF(F28="",Hoje,F28)&lt;=183,"Curto",IF(G28-IF(F28="",Hoje,F28)&lt;=731,"Médio","Longo")))</f>
        <v/>
      </c>
      <c r="R28" s="128" t="str">
        <f>IF(C28="","",COUNTIFS('Tarefas'!$I$34:$I$333,C28,'Tarefas'!$G$34:$G$333,"&lt;&gt;Concluída",'Tarefas'!$G$34:$G$333,"&lt;&gt;Cancelada"))</f>
        <v/>
      </c>
      <c r="S28" s="135" t="n"/>
      <c r="T28" s="135" t="n"/>
      <c r="U28">
        <f>IF(C28="",0,IF(OR(E28="Pausada",E28="Abandonada"),0,1))</f>
        <v>0</v>
      </c>
      <c r="V28">
        <f>IF(U28=0,0,IF(OR(O28="✔ Concluída",O28="✔ No ritmo",O28="○ Sem prazo"),1,0))</f>
        <v>0</v>
      </c>
      <c r="W28" t="str">
        <f>IF(AND(U28=1,O28&lt;&gt;"✔ Concluída",G28&lt;&gt;""),G28+ROW()/100000,"")</f>
        <v/>
      </c>
    </row>
    <row r="29" ht="30" customHeight="1">
      <c r="B29" s="128" t="str">
        <f>IF(C29="","",ROW()-14)</f>
        <v/>
      </c>
      <c r="C29" s="129" t="n"/>
      <c r="D29" s="129" t="n"/>
      <c r="E29" s="129" t="n"/>
      <c r="F29" s="130" t="n"/>
      <c r="G29" s="130" t="n"/>
      <c r="H29" s="131" t="n"/>
      <c r="I29" s="131" t="n"/>
      <c r="J29" s="131" t="n"/>
      <c r="K29" s="131" t="n"/>
      <c r="L29" s="132" t="n"/>
      <c r="M29" s="133" t="str">
        <f>IF(C29="","",IF(E29="Concluída",1,IF(AND(ISNUMBER(I29),ISNUMBER(J29),ISNUMBER(K29),K29&lt;&gt;I29),MAX(0,MIN(1,(J29-I29)/(K29-I29))),IF(ISNUMBER(L29),MAX(0,MIN(1,L29)),0))))</f>
        <v/>
      </c>
      <c r="N29" s="133" t="str">
        <f>IF(OR(C29="",F29="",G29=""),"",IF(G29&lt;=F29,1,MAX(0,MIN(1,(Hoje-F29)/(G29-F29)))))</f>
        <v/>
      </c>
      <c r="O29" s="128" t="str">
        <f>IF(C29="","",IF(OR(E29="Concluída",M29&gt;=1),"✔ Concluída",IF(E29="Pausada","‖ Pausada",IF(E29="Abandonada","– Abandonada",IF(N29="","○ Sem prazo",IF(G29&lt;Hoje,"✖ Vencida",IF(M29&gt;=N29-0.1,"✔ No ritmo",IF(M29&gt;=N29-0.25,"▲ Atenção","✖ Atrasada"))))))))</f>
        <v/>
      </c>
      <c r="P29" s="134" t="str">
        <f>IF(OR(C29="",G29="",O29="✔ Concluída"),"",G29-Hoje)</f>
        <v/>
      </c>
      <c r="Q29" s="128" t="str">
        <f>IF(OR(C29="",G29=""),"",IF(G29-IF(F29="",Hoje,F29)&lt;=183,"Curto",IF(G29-IF(F29="",Hoje,F29)&lt;=731,"Médio","Longo")))</f>
        <v/>
      </c>
      <c r="R29" s="128" t="str">
        <f>IF(C29="","",COUNTIFS('Tarefas'!$I$34:$I$333,C29,'Tarefas'!$G$34:$G$333,"&lt;&gt;Concluída",'Tarefas'!$G$34:$G$333,"&lt;&gt;Cancelada"))</f>
        <v/>
      </c>
      <c r="S29" s="135" t="n"/>
      <c r="T29" s="135" t="n"/>
      <c r="U29">
        <f>IF(C29="",0,IF(OR(E29="Pausada",E29="Abandonada"),0,1))</f>
        <v>0</v>
      </c>
      <c r="V29">
        <f>IF(U29=0,0,IF(OR(O29="✔ Concluída",O29="✔ No ritmo",O29="○ Sem prazo"),1,0))</f>
        <v>0</v>
      </c>
      <c r="W29" t="str">
        <f>IF(AND(U29=1,O29&lt;&gt;"✔ Concluída",G29&lt;&gt;""),G29+ROW()/100000,"")</f>
        <v/>
      </c>
    </row>
    <row r="30" ht="30" customHeight="1">
      <c r="B30" s="128" t="str">
        <f>IF(C30="","",ROW()-14)</f>
        <v/>
      </c>
      <c r="C30" s="129" t="n"/>
      <c r="D30" s="129" t="n"/>
      <c r="E30" s="129" t="n"/>
      <c r="F30" s="130" t="n"/>
      <c r="G30" s="130" t="n"/>
      <c r="H30" s="131" t="n"/>
      <c r="I30" s="131" t="n"/>
      <c r="J30" s="131" t="n"/>
      <c r="K30" s="131" t="n"/>
      <c r="L30" s="132" t="n"/>
      <c r="M30" s="133" t="str">
        <f>IF(C30="","",IF(E30="Concluída",1,IF(AND(ISNUMBER(I30),ISNUMBER(J30),ISNUMBER(K30),K30&lt;&gt;I30),MAX(0,MIN(1,(J30-I30)/(K30-I30))),IF(ISNUMBER(L30),MAX(0,MIN(1,L30)),0))))</f>
        <v/>
      </c>
      <c r="N30" s="133" t="str">
        <f>IF(OR(C30="",F30="",G30=""),"",IF(G30&lt;=F30,1,MAX(0,MIN(1,(Hoje-F30)/(G30-F30)))))</f>
        <v/>
      </c>
      <c r="O30" s="128" t="str">
        <f>IF(C30="","",IF(OR(E30="Concluída",M30&gt;=1),"✔ Concluída",IF(E30="Pausada","‖ Pausada",IF(E30="Abandonada","– Abandonada",IF(N30="","○ Sem prazo",IF(G30&lt;Hoje,"✖ Vencida",IF(M30&gt;=N30-0.1,"✔ No ritmo",IF(M30&gt;=N30-0.25,"▲ Atenção","✖ Atrasada"))))))))</f>
        <v/>
      </c>
      <c r="P30" s="134" t="str">
        <f>IF(OR(C30="",G30="",O30="✔ Concluída"),"",G30-Hoje)</f>
        <v/>
      </c>
      <c r="Q30" s="128" t="str">
        <f>IF(OR(C30="",G30=""),"",IF(G30-IF(F30="",Hoje,F30)&lt;=183,"Curto",IF(G30-IF(F30="",Hoje,F30)&lt;=731,"Médio","Longo")))</f>
        <v/>
      </c>
      <c r="R30" s="128" t="str">
        <f>IF(C30="","",COUNTIFS('Tarefas'!$I$34:$I$333,C30,'Tarefas'!$G$34:$G$333,"&lt;&gt;Concluída",'Tarefas'!$G$34:$G$333,"&lt;&gt;Cancelada"))</f>
        <v/>
      </c>
      <c r="S30" s="135" t="n"/>
      <c r="T30" s="135" t="n"/>
      <c r="U30">
        <f>IF(C30="",0,IF(OR(E30="Pausada",E30="Abandonada"),0,1))</f>
        <v>0</v>
      </c>
      <c r="V30">
        <f>IF(U30=0,0,IF(OR(O30="✔ Concluída",O30="✔ No ritmo",O30="○ Sem prazo"),1,0))</f>
        <v>0</v>
      </c>
      <c r="W30" t="str">
        <f>IF(AND(U30=1,O30&lt;&gt;"✔ Concluída",G30&lt;&gt;""),G30+ROW()/100000,"")</f>
        <v/>
      </c>
    </row>
    <row r="31" ht="30" customHeight="1">
      <c r="B31" s="128" t="str">
        <f>IF(C31="","",ROW()-14)</f>
        <v/>
      </c>
      <c r="C31" s="129" t="n"/>
      <c r="D31" s="129" t="n"/>
      <c r="E31" s="129" t="n"/>
      <c r="F31" s="130" t="n"/>
      <c r="G31" s="130" t="n"/>
      <c r="H31" s="131" t="n"/>
      <c r="I31" s="131" t="n"/>
      <c r="J31" s="131" t="n"/>
      <c r="K31" s="131" t="n"/>
      <c r="L31" s="132" t="n"/>
      <c r="M31" s="133" t="str">
        <f>IF(C31="","",IF(E31="Concluída",1,IF(AND(ISNUMBER(I31),ISNUMBER(J31),ISNUMBER(K31),K31&lt;&gt;I31),MAX(0,MIN(1,(J31-I31)/(K31-I31))),IF(ISNUMBER(L31),MAX(0,MIN(1,L31)),0))))</f>
        <v/>
      </c>
      <c r="N31" s="133" t="str">
        <f>IF(OR(C31="",F31="",G31=""),"",IF(G31&lt;=F31,1,MAX(0,MIN(1,(Hoje-F31)/(G31-F31)))))</f>
        <v/>
      </c>
      <c r="O31" s="128" t="str">
        <f>IF(C31="","",IF(OR(E31="Concluída",M31&gt;=1),"✔ Concluída",IF(E31="Pausada","‖ Pausada",IF(E31="Abandonada","– Abandonada",IF(N31="","○ Sem prazo",IF(G31&lt;Hoje,"✖ Vencida",IF(M31&gt;=N31-0.1,"✔ No ritmo",IF(M31&gt;=N31-0.25,"▲ Atenção","✖ Atrasada"))))))))</f>
        <v/>
      </c>
      <c r="P31" s="134" t="str">
        <f>IF(OR(C31="",G31="",O31="✔ Concluída"),"",G31-Hoje)</f>
        <v/>
      </c>
      <c r="Q31" s="128" t="str">
        <f>IF(OR(C31="",G31=""),"",IF(G31-IF(F31="",Hoje,F31)&lt;=183,"Curto",IF(G31-IF(F31="",Hoje,F31)&lt;=731,"Médio","Longo")))</f>
        <v/>
      </c>
      <c r="R31" s="128" t="str">
        <f>IF(C31="","",COUNTIFS('Tarefas'!$I$34:$I$333,C31,'Tarefas'!$G$34:$G$333,"&lt;&gt;Concluída",'Tarefas'!$G$34:$G$333,"&lt;&gt;Cancelada"))</f>
        <v/>
      </c>
      <c r="S31" s="135" t="n"/>
      <c r="T31" s="135" t="n"/>
      <c r="U31">
        <f>IF(C31="",0,IF(OR(E31="Pausada",E31="Abandonada"),0,1))</f>
        <v>0</v>
      </c>
      <c r="V31">
        <f>IF(U31=0,0,IF(OR(O31="✔ Concluída",O31="✔ No ritmo",O31="○ Sem prazo"),1,0))</f>
        <v>0</v>
      </c>
      <c r="W31" t="str">
        <f>IF(AND(U31=1,O31&lt;&gt;"✔ Concluída",G31&lt;&gt;""),G31+ROW()/100000,"")</f>
        <v/>
      </c>
    </row>
    <row r="32" ht="30" customHeight="1">
      <c r="B32" s="128" t="str">
        <f>IF(C32="","",ROW()-14)</f>
        <v/>
      </c>
      <c r="C32" s="129" t="n"/>
      <c r="D32" s="129" t="n"/>
      <c r="E32" s="129" t="n"/>
      <c r="F32" s="130" t="n"/>
      <c r="G32" s="130" t="n"/>
      <c r="H32" s="131" t="n"/>
      <c r="I32" s="131" t="n"/>
      <c r="J32" s="131" t="n"/>
      <c r="K32" s="131" t="n"/>
      <c r="L32" s="132" t="n"/>
      <c r="M32" s="133" t="str">
        <f>IF(C32="","",IF(E32="Concluída",1,IF(AND(ISNUMBER(I32),ISNUMBER(J32),ISNUMBER(K32),K32&lt;&gt;I32),MAX(0,MIN(1,(J32-I32)/(K32-I32))),IF(ISNUMBER(L32),MAX(0,MIN(1,L32)),0))))</f>
        <v/>
      </c>
      <c r="N32" s="133" t="str">
        <f>IF(OR(C32="",F32="",G32=""),"",IF(G32&lt;=F32,1,MAX(0,MIN(1,(Hoje-F32)/(G32-F32)))))</f>
        <v/>
      </c>
      <c r="O32" s="128" t="str">
        <f>IF(C32="","",IF(OR(E32="Concluída",M32&gt;=1),"✔ Concluída",IF(E32="Pausada","‖ Pausada",IF(E32="Abandonada","– Abandonada",IF(N32="","○ Sem prazo",IF(G32&lt;Hoje,"✖ Vencida",IF(M32&gt;=N32-0.1,"✔ No ritmo",IF(M32&gt;=N32-0.25,"▲ Atenção","✖ Atrasada"))))))))</f>
        <v/>
      </c>
      <c r="P32" s="134" t="str">
        <f>IF(OR(C32="",G32="",O32="✔ Concluída"),"",G32-Hoje)</f>
        <v/>
      </c>
      <c r="Q32" s="128" t="str">
        <f>IF(OR(C32="",G32=""),"",IF(G32-IF(F32="",Hoje,F32)&lt;=183,"Curto",IF(G32-IF(F32="",Hoje,F32)&lt;=731,"Médio","Longo")))</f>
        <v/>
      </c>
      <c r="R32" s="128" t="str">
        <f>IF(C32="","",COUNTIFS('Tarefas'!$I$34:$I$333,C32,'Tarefas'!$G$34:$G$333,"&lt;&gt;Concluída",'Tarefas'!$G$34:$G$333,"&lt;&gt;Cancelada"))</f>
        <v/>
      </c>
      <c r="S32" s="135" t="n"/>
      <c r="T32" s="135" t="n"/>
      <c r="U32">
        <f>IF(C32="",0,IF(OR(E32="Pausada",E32="Abandonada"),0,1))</f>
        <v>0</v>
      </c>
      <c r="V32">
        <f>IF(U32=0,0,IF(OR(O32="✔ Concluída",O32="✔ No ritmo",O32="○ Sem prazo"),1,0))</f>
        <v>0</v>
      </c>
      <c r="W32" t="str">
        <f>IF(AND(U32=1,O32&lt;&gt;"✔ Concluída",G32&lt;&gt;""),G32+ROW()/100000,"")</f>
        <v/>
      </c>
    </row>
    <row r="33" ht="30" customHeight="1">
      <c r="B33" s="128" t="str">
        <f>IF(C33="","",ROW()-14)</f>
        <v/>
      </c>
      <c r="C33" s="129" t="n"/>
      <c r="D33" s="129" t="n"/>
      <c r="E33" s="129" t="n"/>
      <c r="F33" s="130" t="n"/>
      <c r="G33" s="130" t="n"/>
      <c r="H33" s="131" t="n"/>
      <c r="I33" s="131" t="n"/>
      <c r="J33" s="131" t="n"/>
      <c r="K33" s="131" t="n"/>
      <c r="L33" s="132" t="n"/>
      <c r="M33" s="133" t="str">
        <f>IF(C33="","",IF(E33="Concluída",1,IF(AND(ISNUMBER(I33),ISNUMBER(J33),ISNUMBER(K33),K33&lt;&gt;I33),MAX(0,MIN(1,(J33-I33)/(K33-I33))),IF(ISNUMBER(L33),MAX(0,MIN(1,L33)),0))))</f>
        <v/>
      </c>
      <c r="N33" s="133" t="str">
        <f>IF(OR(C33="",F33="",G33=""),"",IF(G33&lt;=F33,1,MAX(0,MIN(1,(Hoje-F33)/(G33-F33)))))</f>
        <v/>
      </c>
      <c r="O33" s="128" t="str">
        <f>IF(C33="","",IF(OR(E33="Concluída",M33&gt;=1),"✔ Concluída",IF(E33="Pausada","‖ Pausada",IF(E33="Abandonada","– Abandonada",IF(N33="","○ Sem prazo",IF(G33&lt;Hoje,"✖ Vencida",IF(M33&gt;=N33-0.1,"✔ No ritmo",IF(M33&gt;=N33-0.25,"▲ Atenção","✖ Atrasada"))))))))</f>
        <v/>
      </c>
      <c r="P33" s="134" t="str">
        <f>IF(OR(C33="",G33="",O33="✔ Concluída"),"",G33-Hoje)</f>
        <v/>
      </c>
      <c r="Q33" s="128" t="str">
        <f>IF(OR(C33="",G33=""),"",IF(G33-IF(F33="",Hoje,F33)&lt;=183,"Curto",IF(G33-IF(F33="",Hoje,F33)&lt;=731,"Médio","Longo")))</f>
        <v/>
      </c>
      <c r="R33" s="128" t="str">
        <f>IF(C33="","",COUNTIFS('Tarefas'!$I$34:$I$333,C33,'Tarefas'!$G$34:$G$333,"&lt;&gt;Concluída",'Tarefas'!$G$34:$G$333,"&lt;&gt;Cancelada"))</f>
        <v/>
      </c>
      <c r="S33" s="135" t="n"/>
      <c r="T33" s="135" t="n"/>
      <c r="U33">
        <f>IF(C33="",0,IF(OR(E33="Pausada",E33="Abandonada"),0,1))</f>
        <v>0</v>
      </c>
      <c r="V33">
        <f>IF(U33=0,0,IF(OR(O33="✔ Concluída",O33="✔ No ritmo",O33="○ Sem prazo"),1,0))</f>
        <v>0</v>
      </c>
      <c r="W33" t="str">
        <f>IF(AND(U33=1,O33&lt;&gt;"✔ Concluída",G33&lt;&gt;""),G33+ROW()/100000,"")</f>
        <v/>
      </c>
    </row>
    <row r="34" ht="30" customHeight="1">
      <c r="B34" s="128" t="str">
        <f>IF(C34="","",ROW()-14)</f>
        <v/>
      </c>
      <c r="C34" s="129" t="n"/>
      <c r="D34" s="129" t="n"/>
      <c r="E34" s="129" t="n"/>
      <c r="F34" s="130" t="n"/>
      <c r="G34" s="130" t="n"/>
      <c r="H34" s="131" t="n"/>
      <c r="I34" s="131" t="n"/>
      <c r="J34" s="131" t="n"/>
      <c r="K34" s="131" t="n"/>
      <c r="L34" s="132" t="n"/>
      <c r="M34" s="133" t="str">
        <f>IF(C34="","",IF(E34="Concluída",1,IF(AND(ISNUMBER(I34),ISNUMBER(J34),ISNUMBER(K34),K34&lt;&gt;I34),MAX(0,MIN(1,(J34-I34)/(K34-I34))),IF(ISNUMBER(L34),MAX(0,MIN(1,L34)),0))))</f>
        <v/>
      </c>
      <c r="N34" s="133" t="str">
        <f>IF(OR(C34="",F34="",G34=""),"",IF(G34&lt;=F34,1,MAX(0,MIN(1,(Hoje-F34)/(G34-F34)))))</f>
        <v/>
      </c>
      <c r="O34" s="128" t="str">
        <f>IF(C34="","",IF(OR(E34="Concluída",M34&gt;=1),"✔ Concluída",IF(E34="Pausada","‖ Pausada",IF(E34="Abandonada","– Abandonada",IF(N34="","○ Sem prazo",IF(G34&lt;Hoje,"✖ Vencida",IF(M34&gt;=N34-0.1,"✔ No ritmo",IF(M34&gt;=N34-0.25,"▲ Atenção","✖ Atrasada"))))))))</f>
        <v/>
      </c>
      <c r="P34" s="134" t="str">
        <f>IF(OR(C34="",G34="",O34="✔ Concluída"),"",G34-Hoje)</f>
        <v/>
      </c>
      <c r="Q34" s="128" t="str">
        <f>IF(OR(C34="",G34=""),"",IF(G34-IF(F34="",Hoje,F34)&lt;=183,"Curto",IF(G34-IF(F34="",Hoje,F34)&lt;=731,"Médio","Longo")))</f>
        <v/>
      </c>
      <c r="R34" s="128" t="str">
        <f>IF(C34="","",COUNTIFS('Tarefas'!$I$34:$I$333,C34,'Tarefas'!$G$34:$G$333,"&lt;&gt;Concluída",'Tarefas'!$G$34:$G$333,"&lt;&gt;Cancelada"))</f>
        <v/>
      </c>
      <c r="S34" s="135" t="n"/>
      <c r="T34" s="135" t="n"/>
      <c r="U34">
        <f>IF(C34="",0,IF(OR(E34="Pausada",E34="Abandonada"),0,1))</f>
        <v>0</v>
      </c>
      <c r="V34">
        <f>IF(U34=0,0,IF(OR(O34="✔ Concluída",O34="✔ No ritmo",O34="○ Sem prazo"),1,0))</f>
        <v>0</v>
      </c>
      <c r="W34" t="str">
        <f>IF(AND(U34=1,O34&lt;&gt;"✔ Concluída",G34&lt;&gt;""),G34+ROW()/100000,"")</f>
        <v/>
      </c>
    </row>
    <row r="35" ht="30" customHeight="1">
      <c r="B35" s="128" t="str">
        <f>IF(C35="","",ROW()-14)</f>
        <v/>
      </c>
      <c r="C35" s="129" t="n"/>
      <c r="D35" s="129" t="n"/>
      <c r="E35" s="129" t="n"/>
      <c r="F35" s="130" t="n"/>
      <c r="G35" s="130" t="n"/>
      <c r="H35" s="131" t="n"/>
      <c r="I35" s="131" t="n"/>
      <c r="J35" s="131" t="n"/>
      <c r="K35" s="131" t="n"/>
      <c r="L35" s="132" t="n"/>
      <c r="M35" s="133" t="str">
        <f>IF(C35="","",IF(E35="Concluída",1,IF(AND(ISNUMBER(I35),ISNUMBER(J35),ISNUMBER(K35),K35&lt;&gt;I35),MAX(0,MIN(1,(J35-I35)/(K35-I35))),IF(ISNUMBER(L35),MAX(0,MIN(1,L35)),0))))</f>
        <v/>
      </c>
      <c r="N35" s="133" t="str">
        <f>IF(OR(C35="",F35="",G35=""),"",IF(G35&lt;=F35,1,MAX(0,MIN(1,(Hoje-F35)/(G35-F35)))))</f>
        <v/>
      </c>
      <c r="O35" s="128" t="str">
        <f>IF(C35="","",IF(OR(E35="Concluída",M35&gt;=1),"✔ Concluída",IF(E35="Pausada","‖ Pausada",IF(E35="Abandonada","– Abandonada",IF(N35="","○ Sem prazo",IF(G35&lt;Hoje,"✖ Vencida",IF(M35&gt;=N35-0.1,"✔ No ritmo",IF(M35&gt;=N35-0.25,"▲ Atenção","✖ Atrasada"))))))))</f>
        <v/>
      </c>
      <c r="P35" s="134" t="str">
        <f>IF(OR(C35="",G35="",O35="✔ Concluída"),"",G35-Hoje)</f>
        <v/>
      </c>
      <c r="Q35" s="128" t="str">
        <f>IF(OR(C35="",G35=""),"",IF(G35-IF(F35="",Hoje,F35)&lt;=183,"Curto",IF(G35-IF(F35="",Hoje,F35)&lt;=731,"Médio","Longo")))</f>
        <v/>
      </c>
      <c r="R35" s="128" t="str">
        <f>IF(C35="","",COUNTIFS('Tarefas'!$I$34:$I$333,C35,'Tarefas'!$G$34:$G$333,"&lt;&gt;Concluída",'Tarefas'!$G$34:$G$333,"&lt;&gt;Cancelada"))</f>
        <v/>
      </c>
      <c r="S35" s="135" t="n"/>
      <c r="T35" s="135" t="n"/>
      <c r="U35">
        <f>IF(C35="",0,IF(OR(E35="Pausada",E35="Abandonada"),0,1))</f>
        <v>0</v>
      </c>
      <c r="V35">
        <f>IF(U35=0,0,IF(OR(O35="✔ Concluída",O35="✔ No ritmo",O35="○ Sem prazo"),1,0))</f>
        <v>0</v>
      </c>
      <c r="W35" t="str">
        <f>IF(AND(U35=1,O35&lt;&gt;"✔ Concluída",G35&lt;&gt;""),G35+ROW()/100000,"")</f>
        <v/>
      </c>
    </row>
    <row r="36" ht="30" customHeight="1">
      <c r="B36" s="128" t="str">
        <f>IF(C36="","",ROW()-14)</f>
        <v/>
      </c>
      <c r="C36" s="129" t="n"/>
      <c r="D36" s="129" t="n"/>
      <c r="E36" s="129" t="n"/>
      <c r="F36" s="130" t="n"/>
      <c r="G36" s="130" t="n"/>
      <c r="H36" s="131" t="n"/>
      <c r="I36" s="131" t="n"/>
      <c r="J36" s="131" t="n"/>
      <c r="K36" s="131" t="n"/>
      <c r="L36" s="132" t="n"/>
      <c r="M36" s="133" t="str">
        <f>IF(C36="","",IF(E36="Concluída",1,IF(AND(ISNUMBER(I36),ISNUMBER(J36),ISNUMBER(K36),K36&lt;&gt;I36),MAX(0,MIN(1,(J36-I36)/(K36-I36))),IF(ISNUMBER(L36),MAX(0,MIN(1,L36)),0))))</f>
        <v/>
      </c>
      <c r="N36" s="133" t="str">
        <f>IF(OR(C36="",F36="",G36=""),"",IF(G36&lt;=F36,1,MAX(0,MIN(1,(Hoje-F36)/(G36-F36)))))</f>
        <v/>
      </c>
      <c r="O36" s="128" t="str">
        <f>IF(C36="","",IF(OR(E36="Concluída",M36&gt;=1),"✔ Concluída",IF(E36="Pausada","‖ Pausada",IF(E36="Abandonada","– Abandonada",IF(N36="","○ Sem prazo",IF(G36&lt;Hoje,"✖ Vencida",IF(M36&gt;=N36-0.1,"✔ No ritmo",IF(M36&gt;=N36-0.25,"▲ Atenção","✖ Atrasada"))))))))</f>
        <v/>
      </c>
      <c r="P36" s="134" t="str">
        <f>IF(OR(C36="",G36="",O36="✔ Concluída"),"",G36-Hoje)</f>
        <v/>
      </c>
      <c r="Q36" s="128" t="str">
        <f>IF(OR(C36="",G36=""),"",IF(G36-IF(F36="",Hoje,F36)&lt;=183,"Curto",IF(G36-IF(F36="",Hoje,F36)&lt;=731,"Médio","Longo")))</f>
        <v/>
      </c>
      <c r="R36" s="128" t="str">
        <f>IF(C36="","",COUNTIFS('Tarefas'!$I$34:$I$333,C36,'Tarefas'!$G$34:$G$333,"&lt;&gt;Concluída",'Tarefas'!$G$34:$G$333,"&lt;&gt;Cancelada"))</f>
        <v/>
      </c>
      <c r="S36" s="135" t="n"/>
      <c r="T36" s="135" t="n"/>
      <c r="U36">
        <f>IF(C36="",0,IF(OR(E36="Pausada",E36="Abandonada"),0,1))</f>
        <v>0</v>
      </c>
      <c r="V36">
        <f>IF(U36=0,0,IF(OR(O36="✔ Concluída",O36="✔ No ritmo",O36="○ Sem prazo"),1,0))</f>
        <v>0</v>
      </c>
      <c r="W36" t="str">
        <f>IF(AND(U36=1,O36&lt;&gt;"✔ Concluída",G36&lt;&gt;""),G36+ROW()/100000,"")</f>
        <v/>
      </c>
    </row>
    <row r="37" ht="30" customHeight="1">
      <c r="B37" s="128" t="str">
        <f>IF(C37="","",ROW()-14)</f>
        <v/>
      </c>
      <c r="C37" s="129" t="n"/>
      <c r="D37" s="129" t="n"/>
      <c r="E37" s="129" t="n"/>
      <c r="F37" s="130" t="n"/>
      <c r="G37" s="130" t="n"/>
      <c r="H37" s="131" t="n"/>
      <c r="I37" s="131" t="n"/>
      <c r="J37" s="131" t="n"/>
      <c r="K37" s="131" t="n"/>
      <c r="L37" s="132" t="n"/>
      <c r="M37" s="133" t="str">
        <f>IF(C37="","",IF(E37="Concluída",1,IF(AND(ISNUMBER(I37),ISNUMBER(J37),ISNUMBER(K37),K37&lt;&gt;I37),MAX(0,MIN(1,(J37-I37)/(K37-I37))),IF(ISNUMBER(L37),MAX(0,MIN(1,L37)),0))))</f>
        <v/>
      </c>
      <c r="N37" s="133" t="str">
        <f>IF(OR(C37="",F37="",G37=""),"",IF(G37&lt;=F37,1,MAX(0,MIN(1,(Hoje-F37)/(G37-F37)))))</f>
        <v/>
      </c>
      <c r="O37" s="128" t="str">
        <f>IF(C37="","",IF(OR(E37="Concluída",M37&gt;=1),"✔ Concluída",IF(E37="Pausada","‖ Pausada",IF(E37="Abandonada","– Abandonada",IF(N37="","○ Sem prazo",IF(G37&lt;Hoje,"✖ Vencida",IF(M37&gt;=N37-0.1,"✔ No ritmo",IF(M37&gt;=N37-0.25,"▲ Atenção","✖ Atrasada"))))))))</f>
        <v/>
      </c>
      <c r="P37" s="134" t="str">
        <f>IF(OR(C37="",G37="",O37="✔ Concluída"),"",G37-Hoje)</f>
        <v/>
      </c>
      <c r="Q37" s="128" t="str">
        <f>IF(OR(C37="",G37=""),"",IF(G37-IF(F37="",Hoje,F37)&lt;=183,"Curto",IF(G37-IF(F37="",Hoje,F37)&lt;=731,"Médio","Longo")))</f>
        <v/>
      </c>
      <c r="R37" s="128" t="str">
        <f>IF(C37="","",COUNTIFS('Tarefas'!$I$34:$I$333,C37,'Tarefas'!$G$34:$G$333,"&lt;&gt;Concluída",'Tarefas'!$G$34:$G$333,"&lt;&gt;Cancelada"))</f>
        <v/>
      </c>
      <c r="S37" s="135" t="n"/>
      <c r="T37" s="135" t="n"/>
      <c r="U37">
        <f>IF(C37="",0,IF(OR(E37="Pausada",E37="Abandonada"),0,1))</f>
        <v>0</v>
      </c>
      <c r="V37">
        <f>IF(U37=0,0,IF(OR(O37="✔ Concluída",O37="✔ No ritmo",O37="○ Sem prazo"),1,0))</f>
        <v>0</v>
      </c>
      <c r="W37" t="str">
        <f>IF(AND(U37=1,O37&lt;&gt;"✔ Concluída",G37&lt;&gt;""),G37+ROW()/100000,"")</f>
        <v/>
      </c>
    </row>
    <row r="38" ht="30" customHeight="1">
      <c r="B38" s="128" t="str">
        <f>IF(C38="","",ROW()-14)</f>
        <v/>
      </c>
      <c r="C38" s="129" t="n"/>
      <c r="D38" s="129" t="n"/>
      <c r="E38" s="129" t="n"/>
      <c r="F38" s="130" t="n"/>
      <c r="G38" s="130" t="n"/>
      <c r="H38" s="131" t="n"/>
      <c r="I38" s="131" t="n"/>
      <c r="J38" s="131" t="n"/>
      <c r="K38" s="131" t="n"/>
      <c r="L38" s="132" t="n"/>
      <c r="M38" s="133" t="str">
        <f>IF(C38="","",IF(E38="Concluída",1,IF(AND(ISNUMBER(I38),ISNUMBER(J38),ISNUMBER(K38),K38&lt;&gt;I38),MAX(0,MIN(1,(J38-I38)/(K38-I38))),IF(ISNUMBER(L38),MAX(0,MIN(1,L38)),0))))</f>
        <v/>
      </c>
      <c r="N38" s="133" t="str">
        <f>IF(OR(C38="",F38="",G38=""),"",IF(G38&lt;=F38,1,MAX(0,MIN(1,(Hoje-F38)/(G38-F38)))))</f>
        <v/>
      </c>
      <c r="O38" s="128" t="str">
        <f>IF(C38="","",IF(OR(E38="Concluída",M38&gt;=1),"✔ Concluída",IF(E38="Pausada","‖ Pausada",IF(E38="Abandonada","– Abandonada",IF(N38="","○ Sem prazo",IF(G38&lt;Hoje,"✖ Vencida",IF(M38&gt;=N38-0.1,"✔ No ritmo",IF(M38&gt;=N38-0.25,"▲ Atenção","✖ Atrasada"))))))))</f>
        <v/>
      </c>
      <c r="P38" s="134" t="str">
        <f>IF(OR(C38="",G38="",O38="✔ Concluída"),"",G38-Hoje)</f>
        <v/>
      </c>
      <c r="Q38" s="128" t="str">
        <f>IF(OR(C38="",G38=""),"",IF(G38-IF(F38="",Hoje,F38)&lt;=183,"Curto",IF(G38-IF(F38="",Hoje,F38)&lt;=731,"Médio","Longo")))</f>
        <v/>
      </c>
      <c r="R38" s="128" t="str">
        <f>IF(C38="","",COUNTIFS('Tarefas'!$I$34:$I$333,C38,'Tarefas'!$G$34:$G$333,"&lt;&gt;Concluída",'Tarefas'!$G$34:$G$333,"&lt;&gt;Cancelada"))</f>
        <v/>
      </c>
      <c r="S38" s="135" t="n"/>
      <c r="T38" s="135" t="n"/>
      <c r="U38">
        <f>IF(C38="",0,IF(OR(E38="Pausada",E38="Abandonada"),0,1))</f>
        <v>0</v>
      </c>
      <c r="V38">
        <f>IF(U38=0,0,IF(OR(O38="✔ Concluída",O38="✔ No ritmo",O38="○ Sem prazo"),1,0))</f>
        <v>0</v>
      </c>
      <c r="W38" t="str">
        <f>IF(AND(U38=1,O38&lt;&gt;"✔ Concluída",G38&lt;&gt;""),G38+ROW()/100000,"")</f>
        <v/>
      </c>
    </row>
    <row r="39" ht="30" customHeight="1">
      <c r="B39" s="128" t="str">
        <f>IF(C39="","",ROW()-14)</f>
        <v/>
      </c>
      <c r="C39" s="129" t="n"/>
      <c r="D39" s="129" t="n"/>
      <c r="E39" s="129" t="n"/>
      <c r="F39" s="130" t="n"/>
      <c r="G39" s="130" t="n"/>
      <c r="H39" s="131" t="n"/>
      <c r="I39" s="131" t="n"/>
      <c r="J39" s="131" t="n"/>
      <c r="K39" s="131" t="n"/>
      <c r="L39" s="132" t="n"/>
      <c r="M39" s="133" t="str">
        <f>IF(C39="","",IF(E39="Concluída",1,IF(AND(ISNUMBER(I39),ISNUMBER(J39),ISNUMBER(K39),K39&lt;&gt;I39),MAX(0,MIN(1,(J39-I39)/(K39-I39))),IF(ISNUMBER(L39),MAX(0,MIN(1,L39)),0))))</f>
        <v/>
      </c>
      <c r="N39" s="133" t="str">
        <f>IF(OR(C39="",F39="",G39=""),"",IF(G39&lt;=F39,1,MAX(0,MIN(1,(Hoje-F39)/(G39-F39)))))</f>
        <v/>
      </c>
      <c r="O39" s="128" t="str">
        <f>IF(C39="","",IF(OR(E39="Concluída",M39&gt;=1),"✔ Concluída",IF(E39="Pausada","‖ Pausada",IF(E39="Abandonada","– Abandonada",IF(N39="","○ Sem prazo",IF(G39&lt;Hoje,"✖ Vencida",IF(M39&gt;=N39-0.1,"✔ No ritmo",IF(M39&gt;=N39-0.25,"▲ Atenção","✖ Atrasada"))))))))</f>
        <v/>
      </c>
      <c r="P39" s="134" t="str">
        <f>IF(OR(C39="",G39="",O39="✔ Concluída"),"",G39-Hoje)</f>
        <v/>
      </c>
      <c r="Q39" s="128" t="str">
        <f>IF(OR(C39="",G39=""),"",IF(G39-IF(F39="",Hoje,F39)&lt;=183,"Curto",IF(G39-IF(F39="",Hoje,F39)&lt;=731,"Médio","Longo")))</f>
        <v/>
      </c>
      <c r="R39" s="128" t="str">
        <f>IF(C39="","",COUNTIFS('Tarefas'!$I$34:$I$333,C39,'Tarefas'!$G$34:$G$333,"&lt;&gt;Concluída",'Tarefas'!$G$34:$G$333,"&lt;&gt;Cancelada"))</f>
        <v/>
      </c>
      <c r="S39" s="135" t="n"/>
      <c r="T39" s="135" t="n"/>
      <c r="U39">
        <f>IF(C39="",0,IF(OR(E39="Pausada",E39="Abandonada"),0,1))</f>
        <v>0</v>
      </c>
      <c r="V39">
        <f>IF(U39=0,0,IF(OR(O39="✔ Concluída",O39="✔ No ritmo",O39="○ Sem prazo"),1,0))</f>
        <v>0</v>
      </c>
      <c r="W39" t="str">
        <f>IF(AND(U39=1,O39&lt;&gt;"✔ Concluída",G39&lt;&gt;""),G39+ROW()/100000,"")</f>
        <v/>
      </c>
    </row>
    <row r="40" ht="30" customHeight="1">
      <c r="B40" s="128" t="str">
        <f>IF(C40="","",ROW()-14)</f>
        <v/>
      </c>
      <c r="C40" s="129" t="n"/>
      <c r="D40" s="129" t="n"/>
      <c r="E40" s="129" t="n"/>
      <c r="F40" s="130" t="n"/>
      <c r="G40" s="130" t="n"/>
      <c r="H40" s="131" t="n"/>
      <c r="I40" s="131" t="n"/>
      <c r="J40" s="131" t="n"/>
      <c r="K40" s="131" t="n"/>
      <c r="L40" s="132" t="n"/>
      <c r="M40" s="133" t="str">
        <f>IF(C40="","",IF(E40="Concluída",1,IF(AND(ISNUMBER(I40),ISNUMBER(J40),ISNUMBER(K40),K40&lt;&gt;I40),MAX(0,MIN(1,(J40-I40)/(K40-I40))),IF(ISNUMBER(L40),MAX(0,MIN(1,L40)),0))))</f>
        <v/>
      </c>
      <c r="N40" s="133" t="str">
        <f>IF(OR(C40="",F40="",G40=""),"",IF(G40&lt;=F40,1,MAX(0,MIN(1,(Hoje-F40)/(G40-F40)))))</f>
        <v/>
      </c>
      <c r="O40" s="128" t="str">
        <f>IF(C40="","",IF(OR(E40="Concluída",M40&gt;=1),"✔ Concluída",IF(E40="Pausada","‖ Pausada",IF(E40="Abandonada","– Abandonada",IF(N40="","○ Sem prazo",IF(G40&lt;Hoje,"✖ Vencida",IF(M40&gt;=N40-0.1,"✔ No ritmo",IF(M40&gt;=N40-0.25,"▲ Atenção","✖ Atrasada"))))))))</f>
        <v/>
      </c>
      <c r="P40" s="134" t="str">
        <f>IF(OR(C40="",G40="",O40="✔ Concluída"),"",G40-Hoje)</f>
        <v/>
      </c>
      <c r="Q40" s="128" t="str">
        <f>IF(OR(C40="",G40=""),"",IF(G40-IF(F40="",Hoje,F40)&lt;=183,"Curto",IF(G40-IF(F40="",Hoje,F40)&lt;=731,"Médio","Longo")))</f>
        <v/>
      </c>
      <c r="R40" s="128" t="str">
        <f>IF(C40="","",COUNTIFS('Tarefas'!$I$34:$I$333,C40,'Tarefas'!$G$34:$G$333,"&lt;&gt;Concluída",'Tarefas'!$G$34:$G$333,"&lt;&gt;Cancelada"))</f>
        <v/>
      </c>
      <c r="S40" s="135" t="n"/>
      <c r="T40" s="135" t="n"/>
      <c r="U40">
        <f>IF(C40="",0,IF(OR(E40="Pausada",E40="Abandonada"),0,1))</f>
        <v>0</v>
      </c>
      <c r="V40">
        <f>IF(U40=0,0,IF(OR(O40="✔ Concluída",O40="✔ No ritmo",O40="○ Sem prazo"),1,0))</f>
        <v>0</v>
      </c>
      <c r="W40" t="str">
        <f>IF(AND(U40=1,O40&lt;&gt;"✔ Concluída",G40&lt;&gt;""),G40+ROW()/100000,"")</f>
        <v/>
      </c>
    </row>
    <row r="41" ht="30" customHeight="1">
      <c r="B41" s="128" t="str">
        <f>IF(C41="","",ROW()-14)</f>
        <v/>
      </c>
      <c r="C41" s="129" t="n"/>
      <c r="D41" s="129" t="n"/>
      <c r="E41" s="129" t="n"/>
      <c r="F41" s="130" t="n"/>
      <c r="G41" s="130" t="n"/>
      <c r="H41" s="131" t="n"/>
      <c r="I41" s="131" t="n"/>
      <c r="J41" s="131" t="n"/>
      <c r="K41" s="131" t="n"/>
      <c r="L41" s="132" t="n"/>
      <c r="M41" s="133" t="str">
        <f>IF(C41="","",IF(E41="Concluída",1,IF(AND(ISNUMBER(I41),ISNUMBER(J41),ISNUMBER(K41),K41&lt;&gt;I41),MAX(0,MIN(1,(J41-I41)/(K41-I41))),IF(ISNUMBER(L41),MAX(0,MIN(1,L41)),0))))</f>
        <v/>
      </c>
      <c r="N41" s="133" t="str">
        <f>IF(OR(C41="",F41="",G41=""),"",IF(G41&lt;=F41,1,MAX(0,MIN(1,(Hoje-F41)/(G41-F41)))))</f>
        <v/>
      </c>
      <c r="O41" s="128" t="str">
        <f>IF(C41="","",IF(OR(E41="Concluída",M41&gt;=1),"✔ Concluída",IF(E41="Pausada","‖ Pausada",IF(E41="Abandonada","– Abandonada",IF(N41="","○ Sem prazo",IF(G41&lt;Hoje,"✖ Vencida",IF(M41&gt;=N41-0.1,"✔ No ritmo",IF(M41&gt;=N41-0.25,"▲ Atenção","✖ Atrasada"))))))))</f>
        <v/>
      </c>
      <c r="P41" s="134" t="str">
        <f>IF(OR(C41="",G41="",O41="✔ Concluída"),"",G41-Hoje)</f>
        <v/>
      </c>
      <c r="Q41" s="128" t="str">
        <f>IF(OR(C41="",G41=""),"",IF(G41-IF(F41="",Hoje,F41)&lt;=183,"Curto",IF(G41-IF(F41="",Hoje,F41)&lt;=731,"Médio","Longo")))</f>
        <v/>
      </c>
      <c r="R41" s="128" t="str">
        <f>IF(C41="","",COUNTIFS('Tarefas'!$I$34:$I$333,C41,'Tarefas'!$G$34:$G$333,"&lt;&gt;Concluída",'Tarefas'!$G$34:$G$333,"&lt;&gt;Cancelada"))</f>
        <v/>
      </c>
      <c r="S41" s="135" t="n"/>
      <c r="T41" s="135" t="n"/>
      <c r="U41">
        <f>IF(C41="",0,IF(OR(E41="Pausada",E41="Abandonada"),0,1))</f>
        <v>0</v>
      </c>
      <c r="V41">
        <f>IF(U41=0,0,IF(OR(O41="✔ Concluída",O41="✔ No ritmo",O41="○ Sem prazo"),1,0))</f>
        <v>0</v>
      </c>
      <c r="W41" t="str">
        <f>IF(AND(U41=1,O41&lt;&gt;"✔ Concluída",G41&lt;&gt;""),G41+ROW()/100000,"")</f>
        <v/>
      </c>
    </row>
    <row r="42" ht="30" customHeight="1">
      <c r="B42" s="128" t="str">
        <f>IF(C42="","",ROW()-14)</f>
        <v/>
      </c>
      <c r="C42" s="129" t="n"/>
      <c r="D42" s="129" t="n"/>
      <c r="E42" s="129" t="n"/>
      <c r="F42" s="130" t="n"/>
      <c r="G42" s="130" t="n"/>
      <c r="H42" s="131" t="n"/>
      <c r="I42" s="131" t="n"/>
      <c r="J42" s="131" t="n"/>
      <c r="K42" s="131" t="n"/>
      <c r="L42" s="132" t="n"/>
      <c r="M42" s="133" t="str">
        <f>IF(C42="","",IF(E42="Concluída",1,IF(AND(ISNUMBER(I42),ISNUMBER(J42),ISNUMBER(K42),K42&lt;&gt;I42),MAX(0,MIN(1,(J42-I42)/(K42-I42))),IF(ISNUMBER(L42),MAX(0,MIN(1,L42)),0))))</f>
        <v/>
      </c>
      <c r="N42" s="133" t="str">
        <f>IF(OR(C42="",F42="",G42=""),"",IF(G42&lt;=F42,1,MAX(0,MIN(1,(Hoje-F42)/(G42-F42)))))</f>
        <v/>
      </c>
      <c r="O42" s="128" t="str">
        <f>IF(C42="","",IF(OR(E42="Concluída",M42&gt;=1),"✔ Concluída",IF(E42="Pausada","‖ Pausada",IF(E42="Abandonada","– Abandonada",IF(N42="","○ Sem prazo",IF(G42&lt;Hoje,"✖ Vencida",IF(M42&gt;=N42-0.1,"✔ No ritmo",IF(M42&gt;=N42-0.25,"▲ Atenção","✖ Atrasada"))))))))</f>
        <v/>
      </c>
      <c r="P42" s="134" t="str">
        <f>IF(OR(C42="",G42="",O42="✔ Concluída"),"",G42-Hoje)</f>
        <v/>
      </c>
      <c r="Q42" s="128" t="str">
        <f>IF(OR(C42="",G42=""),"",IF(G42-IF(F42="",Hoje,F42)&lt;=183,"Curto",IF(G42-IF(F42="",Hoje,F42)&lt;=731,"Médio","Longo")))</f>
        <v/>
      </c>
      <c r="R42" s="128" t="str">
        <f>IF(C42="","",COUNTIFS('Tarefas'!$I$34:$I$333,C42,'Tarefas'!$G$34:$G$333,"&lt;&gt;Concluída",'Tarefas'!$G$34:$G$333,"&lt;&gt;Cancelada"))</f>
        <v/>
      </c>
      <c r="S42" s="135" t="n"/>
      <c r="T42" s="135" t="n"/>
      <c r="U42">
        <f>IF(C42="",0,IF(OR(E42="Pausada",E42="Abandonada"),0,1))</f>
        <v>0</v>
      </c>
      <c r="V42">
        <f>IF(U42=0,0,IF(OR(O42="✔ Concluída",O42="✔ No ritmo",O42="○ Sem prazo"),1,0))</f>
        <v>0</v>
      </c>
      <c r="W42" t="str">
        <f>IF(AND(U42=1,O42&lt;&gt;"✔ Concluída",G42&lt;&gt;""),G42+ROW()/100000,"")</f>
        <v/>
      </c>
    </row>
    <row r="43" ht="30" customHeight="1">
      <c r="B43" s="128" t="str">
        <f>IF(C43="","",ROW()-14)</f>
        <v/>
      </c>
      <c r="C43" s="129" t="n"/>
      <c r="D43" s="129" t="n"/>
      <c r="E43" s="129" t="n"/>
      <c r="F43" s="130" t="n"/>
      <c r="G43" s="130" t="n"/>
      <c r="H43" s="131" t="n"/>
      <c r="I43" s="131" t="n"/>
      <c r="J43" s="131" t="n"/>
      <c r="K43" s="131" t="n"/>
      <c r="L43" s="132" t="n"/>
      <c r="M43" s="133" t="str">
        <f>IF(C43="","",IF(E43="Concluída",1,IF(AND(ISNUMBER(I43),ISNUMBER(J43),ISNUMBER(K43),K43&lt;&gt;I43),MAX(0,MIN(1,(J43-I43)/(K43-I43))),IF(ISNUMBER(L43),MAX(0,MIN(1,L43)),0))))</f>
        <v/>
      </c>
      <c r="N43" s="133" t="str">
        <f>IF(OR(C43="",F43="",G43=""),"",IF(G43&lt;=F43,1,MAX(0,MIN(1,(Hoje-F43)/(G43-F43)))))</f>
        <v/>
      </c>
      <c r="O43" s="128" t="str">
        <f>IF(C43="","",IF(OR(E43="Concluída",M43&gt;=1),"✔ Concluída",IF(E43="Pausada","‖ Pausada",IF(E43="Abandonada","– Abandonada",IF(N43="","○ Sem prazo",IF(G43&lt;Hoje,"✖ Vencida",IF(M43&gt;=N43-0.1,"✔ No ritmo",IF(M43&gt;=N43-0.25,"▲ Atenção","✖ Atrasada"))))))))</f>
        <v/>
      </c>
      <c r="P43" s="134" t="str">
        <f>IF(OR(C43="",G43="",O43="✔ Concluída"),"",G43-Hoje)</f>
        <v/>
      </c>
      <c r="Q43" s="128" t="str">
        <f>IF(OR(C43="",G43=""),"",IF(G43-IF(F43="",Hoje,F43)&lt;=183,"Curto",IF(G43-IF(F43="",Hoje,F43)&lt;=731,"Médio","Longo")))</f>
        <v/>
      </c>
      <c r="R43" s="128" t="str">
        <f>IF(C43="","",COUNTIFS('Tarefas'!$I$34:$I$333,C43,'Tarefas'!$G$34:$G$333,"&lt;&gt;Concluída",'Tarefas'!$G$34:$G$333,"&lt;&gt;Cancelada"))</f>
        <v/>
      </c>
      <c r="S43" s="135" t="n"/>
      <c r="T43" s="135" t="n"/>
      <c r="U43">
        <f>IF(C43="",0,IF(OR(E43="Pausada",E43="Abandonada"),0,1))</f>
        <v>0</v>
      </c>
      <c r="V43">
        <f>IF(U43=0,0,IF(OR(O43="✔ Concluída",O43="✔ No ritmo",O43="○ Sem prazo"),1,0))</f>
        <v>0</v>
      </c>
      <c r="W43" t="str">
        <f>IF(AND(U43=1,O43&lt;&gt;"✔ Concluída",G43&lt;&gt;""),G43+ROW()/100000,"")</f>
        <v/>
      </c>
    </row>
    <row r="44" ht="30" customHeight="1">
      <c r="B44" s="128" t="str">
        <f>IF(C44="","",ROW()-14)</f>
        <v/>
      </c>
      <c r="C44" s="129" t="n"/>
      <c r="D44" s="129" t="n"/>
      <c r="E44" s="129" t="n"/>
      <c r="F44" s="130" t="n"/>
      <c r="G44" s="130" t="n"/>
      <c r="H44" s="131" t="n"/>
      <c r="I44" s="131" t="n"/>
      <c r="J44" s="131" t="n"/>
      <c r="K44" s="131" t="n"/>
      <c r="L44" s="132" t="n"/>
      <c r="M44" s="133" t="str">
        <f>IF(C44="","",IF(E44="Concluída",1,IF(AND(ISNUMBER(I44),ISNUMBER(J44),ISNUMBER(K44),K44&lt;&gt;I44),MAX(0,MIN(1,(J44-I44)/(K44-I44))),IF(ISNUMBER(L44),MAX(0,MIN(1,L44)),0))))</f>
        <v/>
      </c>
      <c r="N44" s="133" t="str">
        <f>IF(OR(C44="",F44="",G44=""),"",IF(G44&lt;=F44,1,MAX(0,MIN(1,(Hoje-F44)/(G44-F44)))))</f>
        <v/>
      </c>
      <c r="O44" s="128" t="str">
        <f>IF(C44="","",IF(OR(E44="Concluída",M44&gt;=1),"✔ Concluída",IF(E44="Pausada","‖ Pausada",IF(E44="Abandonada","– Abandonada",IF(N44="","○ Sem prazo",IF(G44&lt;Hoje,"✖ Vencida",IF(M44&gt;=N44-0.1,"✔ No ritmo",IF(M44&gt;=N44-0.25,"▲ Atenção","✖ Atrasada"))))))))</f>
        <v/>
      </c>
      <c r="P44" s="134" t="str">
        <f>IF(OR(C44="",G44="",O44="✔ Concluída"),"",G44-Hoje)</f>
        <v/>
      </c>
      <c r="Q44" s="128" t="str">
        <f>IF(OR(C44="",G44=""),"",IF(G44-IF(F44="",Hoje,F44)&lt;=183,"Curto",IF(G44-IF(F44="",Hoje,F44)&lt;=731,"Médio","Longo")))</f>
        <v/>
      </c>
      <c r="R44" s="128" t="str">
        <f>IF(C44="","",COUNTIFS('Tarefas'!$I$34:$I$333,C44,'Tarefas'!$G$34:$G$333,"&lt;&gt;Concluída",'Tarefas'!$G$34:$G$333,"&lt;&gt;Cancelada"))</f>
        <v/>
      </c>
      <c r="S44" s="135" t="n"/>
      <c r="T44" s="135" t="n"/>
      <c r="U44">
        <f>IF(C44="",0,IF(OR(E44="Pausada",E44="Abandonada"),0,1))</f>
        <v>0</v>
      </c>
      <c r="V44">
        <f>IF(U44=0,0,IF(OR(O44="✔ Concluída",O44="✔ No ritmo",O44="○ Sem prazo"),1,0))</f>
        <v>0</v>
      </c>
      <c r="W44" t="str">
        <f>IF(AND(U44=1,O44&lt;&gt;"✔ Concluída",G44&lt;&gt;""),G44+ROW()/100000,"")</f>
        <v/>
      </c>
    </row>
    <row r="45" ht="30" customHeight="1">
      <c r="B45" s="128" t="str">
        <f>IF(C45="","",ROW()-14)</f>
        <v/>
      </c>
      <c r="C45" s="129" t="n"/>
      <c r="D45" s="129" t="n"/>
      <c r="E45" s="129" t="n"/>
      <c r="F45" s="130" t="n"/>
      <c r="G45" s="130" t="n"/>
      <c r="H45" s="131" t="n"/>
      <c r="I45" s="131" t="n"/>
      <c r="J45" s="131" t="n"/>
      <c r="K45" s="131" t="n"/>
      <c r="L45" s="132" t="n"/>
      <c r="M45" s="133" t="str">
        <f>IF(C45="","",IF(E45="Concluída",1,IF(AND(ISNUMBER(I45),ISNUMBER(J45),ISNUMBER(K45),K45&lt;&gt;I45),MAX(0,MIN(1,(J45-I45)/(K45-I45))),IF(ISNUMBER(L45),MAX(0,MIN(1,L45)),0))))</f>
        <v/>
      </c>
      <c r="N45" s="133" t="str">
        <f>IF(OR(C45="",F45="",G45=""),"",IF(G45&lt;=F45,1,MAX(0,MIN(1,(Hoje-F45)/(G45-F45)))))</f>
        <v/>
      </c>
      <c r="O45" s="128" t="str">
        <f>IF(C45="","",IF(OR(E45="Concluída",M45&gt;=1),"✔ Concluída",IF(E45="Pausada","‖ Pausada",IF(E45="Abandonada","– Abandonada",IF(N45="","○ Sem prazo",IF(G45&lt;Hoje,"✖ Vencida",IF(M45&gt;=N45-0.1,"✔ No ritmo",IF(M45&gt;=N45-0.25,"▲ Atenção","✖ Atrasada"))))))))</f>
        <v/>
      </c>
      <c r="P45" s="134" t="str">
        <f>IF(OR(C45="",G45="",O45="✔ Concluída"),"",G45-Hoje)</f>
        <v/>
      </c>
      <c r="Q45" s="128" t="str">
        <f>IF(OR(C45="",G45=""),"",IF(G45-IF(F45="",Hoje,F45)&lt;=183,"Curto",IF(G45-IF(F45="",Hoje,F45)&lt;=731,"Médio","Longo")))</f>
        <v/>
      </c>
      <c r="R45" s="128" t="str">
        <f>IF(C45="","",COUNTIFS('Tarefas'!$I$34:$I$333,C45,'Tarefas'!$G$34:$G$333,"&lt;&gt;Concluída",'Tarefas'!$G$34:$G$333,"&lt;&gt;Cancelada"))</f>
        <v/>
      </c>
      <c r="S45" s="135" t="n"/>
      <c r="T45" s="135" t="n"/>
      <c r="U45">
        <f>IF(C45="",0,IF(OR(E45="Pausada",E45="Abandonada"),0,1))</f>
        <v>0</v>
      </c>
      <c r="V45">
        <f>IF(U45=0,0,IF(OR(O45="✔ Concluída",O45="✔ No ritmo",O45="○ Sem prazo"),1,0))</f>
        <v>0</v>
      </c>
      <c r="W45" t="str">
        <f>IF(AND(U45=1,O45&lt;&gt;"✔ Concluída",G45&lt;&gt;""),G45+ROW()/100000,"")</f>
        <v/>
      </c>
    </row>
    <row r="46" ht="30" customHeight="1">
      <c r="B46" s="128" t="str">
        <f>IF(C46="","",ROW()-14)</f>
        <v/>
      </c>
      <c r="C46" s="129" t="n"/>
      <c r="D46" s="129" t="n"/>
      <c r="E46" s="129" t="n"/>
      <c r="F46" s="130" t="n"/>
      <c r="G46" s="130" t="n"/>
      <c r="H46" s="131" t="n"/>
      <c r="I46" s="131" t="n"/>
      <c r="J46" s="131" t="n"/>
      <c r="K46" s="131" t="n"/>
      <c r="L46" s="132" t="n"/>
      <c r="M46" s="133" t="str">
        <f>IF(C46="","",IF(E46="Concluída",1,IF(AND(ISNUMBER(I46),ISNUMBER(J46),ISNUMBER(K46),K46&lt;&gt;I46),MAX(0,MIN(1,(J46-I46)/(K46-I46))),IF(ISNUMBER(L46),MAX(0,MIN(1,L46)),0))))</f>
        <v/>
      </c>
      <c r="N46" s="133" t="str">
        <f>IF(OR(C46="",F46="",G46=""),"",IF(G46&lt;=F46,1,MAX(0,MIN(1,(Hoje-F46)/(G46-F46)))))</f>
        <v/>
      </c>
      <c r="O46" s="128" t="str">
        <f>IF(C46="","",IF(OR(E46="Concluída",M46&gt;=1),"✔ Concluída",IF(E46="Pausada","‖ Pausada",IF(E46="Abandonada","– Abandonada",IF(N46="","○ Sem prazo",IF(G46&lt;Hoje,"✖ Vencida",IF(M46&gt;=N46-0.1,"✔ No ritmo",IF(M46&gt;=N46-0.25,"▲ Atenção","✖ Atrasada"))))))))</f>
        <v/>
      </c>
      <c r="P46" s="134" t="str">
        <f>IF(OR(C46="",G46="",O46="✔ Concluída"),"",G46-Hoje)</f>
        <v/>
      </c>
      <c r="Q46" s="128" t="str">
        <f>IF(OR(C46="",G46=""),"",IF(G46-IF(F46="",Hoje,F46)&lt;=183,"Curto",IF(G46-IF(F46="",Hoje,F46)&lt;=731,"Médio","Longo")))</f>
        <v/>
      </c>
      <c r="R46" s="128" t="str">
        <f>IF(C46="","",COUNTIFS('Tarefas'!$I$34:$I$333,C46,'Tarefas'!$G$34:$G$333,"&lt;&gt;Concluída",'Tarefas'!$G$34:$G$333,"&lt;&gt;Cancelada"))</f>
        <v/>
      </c>
      <c r="S46" s="135" t="n"/>
      <c r="T46" s="135" t="n"/>
      <c r="U46">
        <f>IF(C46="",0,IF(OR(E46="Pausada",E46="Abandonada"),0,1))</f>
        <v>0</v>
      </c>
      <c r="V46">
        <f>IF(U46=0,0,IF(OR(O46="✔ Concluída",O46="✔ No ritmo",O46="○ Sem prazo"),1,0))</f>
        <v>0</v>
      </c>
      <c r="W46" t="str">
        <f>IF(AND(U46=1,O46&lt;&gt;"✔ Concluída",G46&lt;&gt;""),G46+ROW()/100000,"")</f>
        <v/>
      </c>
    </row>
    <row r="47" ht="30" customHeight="1">
      <c r="B47" s="128" t="str">
        <f>IF(C47="","",ROW()-14)</f>
        <v/>
      </c>
      <c r="C47" s="129" t="n"/>
      <c r="D47" s="129" t="n"/>
      <c r="E47" s="129" t="n"/>
      <c r="F47" s="130" t="n"/>
      <c r="G47" s="130" t="n"/>
      <c r="H47" s="131" t="n"/>
      <c r="I47" s="131" t="n"/>
      <c r="J47" s="131" t="n"/>
      <c r="K47" s="131" t="n"/>
      <c r="L47" s="132" t="n"/>
      <c r="M47" s="133" t="str">
        <f>IF(C47="","",IF(E47="Concluída",1,IF(AND(ISNUMBER(I47),ISNUMBER(J47),ISNUMBER(K47),K47&lt;&gt;I47),MAX(0,MIN(1,(J47-I47)/(K47-I47))),IF(ISNUMBER(L47),MAX(0,MIN(1,L47)),0))))</f>
        <v/>
      </c>
      <c r="N47" s="133" t="str">
        <f>IF(OR(C47="",F47="",G47=""),"",IF(G47&lt;=F47,1,MAX(0,MIN(1,(Hoje-F47)/(G47-F47)))))</f>
        <v/>
      </c>
      <c r="O47" s="128" t="str">
        <f>IF(C47="","",IF(OR(E47="Concluída",M47&gt;=1),"✔ Concluída",IF(E47="Pausada","‖ Pausada",IF(E47="Abandonada","– Abandonada",IF(N47="","○ Sem prazo",IF(G47&lt;Hoje,"✖ Vencida",IF(M47&gt;=N47-0.1,"✔ No ritmo",IF(M47&gt;=N47-0.25,"▲ Atenção","✖ Atrasada"))))))))</f>
        <v/>
      </c>
      <c r="P47" s="134" t="str">
        <f>IF(OR(C47="",G47="",O47="✔ Concluída"),"",G47-Hoje)</f>
        <v/>
      </c>
      <c r="Q47" s="128" t="str">
        <f>IF(OR(C47="",G47=""),"",IF(G47-IF(F47="",Hoje,F47)&lt;=183,"Curto",IF(G47-IF(F47="",Hoje,F47)&lt;=731,"Médio","Longo")))</f>
        <v/>
      </c>
      <c r="R47" s="128" t="str">
        <f>IF(C47="","",COUNTIFS('Tarefas'!$I$34:$I$333,C47,'Tarefas'!$G$34:$G$333,"&lt;&gt;Concluída",'Tarefas'!$G$34:$G$333,"&lt;&gt;Cancelada"))</f>
        <v/>
      </c>
      <c r="S47" s="135" t="n"/>
      <c r="T47" s="135" t="n"/>
      <c r="U47">
        <f>IF(C47="",0,IF(OR(E47="Pausada",E47="Abandonada"),0,1))</f>
        <v>0</v>
      </c>
      <c r="V47">
        <f>IF(U47=0,0,IF(OR(O47="✔ Concluída",O47="✔ No ritmo",O47="○ Sem prazo"),1,0))</f>
        <v>0</v>
      </c>
      <c r="W47" t="str">
        <f>IF(AND(U47=1,O47&lt;&gt;"✔ Concluída",G47&lt;&gt;""),G47+ROW()/100000,"")</f>
        <v/>
      </c>
    </row>
    <row r="48" ht="30" customHeight="1">
      <c r="B48" s="128" t="str">
        <f>IF(C48="","",ROW()-14)</f>
        <v/>
      </c>
      <c r="C48" s="129" t="n"/>
      <c r="D48" s="129" t="n"/>
      <c r="E48" s="129" t="n"/>
      <c r="F48" s="130" t="n"/>
      <c r="G48" s="130" t="n"/>
      <c r="H48" s="131" t="n"/>
      <c r="I48" s="131" t="n"/>
      <c r="J48" s="131" t="n"/>
      <c r="K48" s="131" t="n"/>
      <c r="L48" s="132" t="n"/>
      <c r="M48" s="133" t="str">
        <f>IF(C48="","",IF(E48="Concluída",1,IF(AND(ISNUMBER(I48),ISNUMBER(J48),ISNUMBER(K48),K48&lt;&gt;I48),MAX(0,MIN(1,(J48-I48)/(K48-I48))),IF(ISNUMBER(L48),MAX(0,MIN(1,L48)),0))))</f>
        <v/>
      </c>
      <c r="N48" s="133" t="str">
        <f>IF(OR(C48="",F48="",G48=""),"",IF(G48&lt;=F48,1,MAX(0,MIN(1,(Hoje-F48)/(G48-F48)))))</f>
        <v/>
      </c>
      <c r="O48" s="128" t="str">
        <f>IF(C48="","",IF(OR(E48="Concluída",M48&gt;=1),"✔ Concluída",IF(E48="Pausada","‖ Pausada",IF(E48="Abandonada","– Abandonada",IF(N48="","○ Sem prazo",IF(G48&lt;Hoje,"✖ Vencida",IF(M48&gt;=N48-0.1,"✔ No ritmo",IF(M48&gt;=N48-0.25,"▲ Atenção","✖ Atrasada"))))))))</f>
        <v/>
      </c>
      <c r="P48" s="134" t="str">
        <f>IF(OR(C48="",G48="",O48="✔ Concluída"),"",G48-Hoje)</f>
        <v/>
      </c>
      <c r="Q48" s="128" t="str">
        <f>IF(OR(C48="",G48=""),"",IF(G48-IF(F48="",Hoje,F48)&lt;=183,"Curto",IF(G48-IF(F48="",Hoje,F48)&lt;=731,"Médio","Longo")))</f>
        <v/>
      </c>
      <c r="R48" s="128" t="str">
        <f>IF(C48="","",COUNTIFS('Tarefas'!$I$34:$I$333,C48,'Tarefas'!$G$34:$G$333,"&lt;&gt;Concluída",'Tarefas'!$G$34:$G$333,"&lt;&gt;Cancelada"))</f>
        <v/>
      </c>
      <c r="S48" s="135" t="n"/>
      <c r="T48" s="135" t="n"/>
      <c r="U48">
        <f>IF(C48="",0,IF(OR(E48="Pausada",E48="Abandonada"),0,1))</f>
        <v>0</v>
      </c>
      <c r="V48">
        <f>IF(U48=0,0,IF(OR(O48="✔ Concluída",O48="✔ No ritmo",O48="○ Sem prazo"),1,0))</f>
        <v>0</v>
      </c>
      <c r="W48" t="str">
        <f>IF(AND(U48=1,O48&lt;&gt;"✔ Concluída",G48&lt;&gt;""),G48+ROW()/100000,"")</f>
        <v/>
      </c>
    </row>
    <row r="49" ht="30" customHeight="1">
      <c r="B49" s="128" t="str">
        <f>IF(C49="","",ROW()-14)</f>
        <v/>
      </c>
      <c r="C49" s="129" t="n"/>
      <c r="D49" s="129" t="n"/>
      <c r="E49" s="129" t="n"/>
      <c r="F49" s="130" t="n"/>
      <c r="G49" s="130" t="n"/>
      <c r="H49" s="131" t="n"/>
      <c r="I49" s="131" t="n"/>
      <c r="J49" s="131" t="n"/>
      <c r="K49" s="131" t="n"/>
      <c r="L49" s="132" t="n"/>
      <c r="M49" s="133" t="str">
        <f>IF(C49="","",IF(E49="Concluída",1,IF(AND(ISNUMBER(I49),ISNUMBER(J49),ISNUMBER(K49),K49&lt;&gt;I49),MAX(0,MIN(1,(J49-I49)/(K49-I49))),IF(ISNUMBER(L49),MAX(0,MIN(1,L49)),0))))</f>
        <v/>
      </c>
      <c r="N49" s="133" t="str">
        <f>IF(OR(C49="",F49="",G49=""),"",IF(G49&lt;=F49,1,MAX(0,MIN(1,(Hoje-F49)/(G49-F49)))))</f>
        <v/>
      </c>
      <c r="O49" s="128" t="str">
        <f>IF(C49="","",IF(OR(E49="Concluída",M49&gt;=1),"✔ Concluída",IF(E49="Pausada","‖ Pausada",IF(E49="Abandonada","– Abandonada",IF(N49="","○ Sem prazo",IF(G49&lt;Hoje,"✖ Vencida",IF(M49&gt;=N49-0.1,"✔ No ritmo",IF(M49&gt;=N49-0.25,"▲ Atenção","✖ Atrasada"))))))))</f>
        <v/>
      </c>
      <c r="P49" s="134" t="str">
        <f>IF(OR(C49="",G49="",O49="✔ Concluída"),"",G49-Hoje)</f>
        <v/>
      </c>
      <c r="Q49" s="128" t="str">
        <f>IF(OR(C49="",G49=""),"",IF(G49-IF(F49="",Hoje,F49)&lt;=183,"Curto",IF(G49-IF(F49="",Hoje,F49)&lt;=731,"Médio","Longo")))</f>
        <v/>
      </c>
      <c r="R49" s="128" t="str">
        <f>IF(C49="","",COUNTIFS('Tarefas'!$I$34:$I$333,C49,'Tarefas'!$G$34:$G$333,"&lt;&gt;Concluída",'Tarefas'!$G$34:$G$333,"&lt;&gt;Cancelada"))</f>
        <v/>
      </c>
      <c r="S49" s="135" t="n"/>
      <c r="T49" s="135" t="n"/>
      <c r="U49">
        <f>IF(C49="",0,IF(OR(E49="Pausada",E49="Abandonada"),0,1))</f>
        <v>0</v>
      </c>
      <c r="V49">
        <f>IF(U49=0,0,IF(OR(O49="✔ Concluída",O49="✔ No ritmo",O49="○ Sem prazo"),1,0))</f>
        <v>0</v>
      </c>
      <c r="W49" t="str">
        <f>IF(AND(U49=1,O49&lt;&gt;"✔ Concluída",G49&lt;&gt;""),G49+ROW()/100000,"")</f>
        <v/>
      </c>
    </row>
    <row r="50" ht="30" customHeight="1">
      <c r="B50" s="128" t="str">
        <f>IF(C50="","",ROW()-14)</f>
        <v/>
      </c>
      <c r="C50" s="129" t="n"/>
      <c r="D50" s="129" t="n"/>
      <c r="E50" s="129" t="n"/>
      <c r="F50" s="130" t="n"/>
      <c r="G50" s="130" t="n"/>
      <c r="H50" s="131" t="n"/>
      <c r="I50" s="131" t="n"/>
      <c r="J50" s="131" t="n"/>
      <c r="K50" s="131" t="n"/>
      <c r="L50" s="132" t="n"/>
      <c r="M50" s="133" t="str">
        <f>IF(C50="","",IF(E50="Concluída",1,IF(AND(ISNUMBER(I50),ISNUMBER(J50),ISNUMBER(K50),K50&lt;&gt;I50),MAX(0,MIN(1,(J50-I50)/(K50-I50))),IF(ISNUMBER(L50),MAX(0,MIN(1,L50)),0))))</f>
        <v/>
      </c>
      <c r="N50" s="133" t="str">
        <f>IF(OR(C50="",F50="",G50=""),"",IF(G50&lt;=F50,1,MAX(0,MIN(1,(Hoje-F50)/(G50-F50)))))</f>
        <v/>
      </c>
      <c r="O50" s="128" t="str">
        <f>IF(C50="","",IF(OR(E50="Concluída",M50&gt;=1),"✔ Concluída",IF(E50="Pausada","‖ Pausada",IF(E50="Abandonada","– Abandonada",IF(N50="","○ Sem prazo",IF(G50&lt;Hoje,"✖ Vencida",IF(M50&gt;=N50-0.1,"✔ No ritmo",IF(M50&gt;=N50-0.25,"▲ Atenção","✖ Atrasada"))))))))</f>
        <v/>
      </c>
      <c r="P50" s="134" t="str">
        <f>IF(OR(C50="",G50="",O50="✔ Concluída"),"",G50-Hoje)</f>
        <v/>
      </c>
      <c r="Q50" s="128" t="str">
        <f>IF(OR(C50="",G50=""),"",IF(G50-IF(F50="",Hoje,F50)&lt;=183,"Curto",IF(G50-IF(F50="",Hoje,F50)&lt;=731,"Médio","Longo")))</f>
        <v/>
      </c>
      <c r="R50" s="128" t="str">
        <f>IF(C50="","",COUNTIFS('Tarefas'!$I$34:$I$333,C50,'Tarefas'!$G$34:$G$333,"&lt;&gt;Concluída",'Tarefas'!$G$34:$G$333,"&lt;&gt;Cancelada"))</f>
        <v/>
      </c>
      <c r="S50" s="135" t="n"/>
      <c r="T50" s="135" t="n"/>
      <c r="U50">
        <f>IF(C50="",0,IF(OR(E50="Pausada",E50="Abandonada"),0,1))</f>
        <v>0</v>
      </c>
      <c r="V50">
        <f>IF(U50=0,0,IF(OR(O50="✔ Concluída",O50="✔ No ritmo",O50="○ Sem prazo"),1,0))</f>
        <v>0</v>
      </c>
      <c r="W50" t="str">
        <f>IF(AND(U50=1,O50&lt;&gt;"✔ Concluída",G50&lt;&gt;""),G50+ROW()/100000,"")</f>
        <v/>
      </c>
    </row>
    <row r="51" ht="30" customHeight="1">
      <c r="B51" s="128" t="str">
        <f>IF(C51="","",ROW()-14)</f>
        <v/>
      </c>
      <c r="C51" s="129" t="n"/>
      <c r="D51" s="129" t="n"/>
      <c r="E51" s="129" t="n"/>
      <c r="F51" s="130" t="n"/>
      <c r="G51" s="130" t="n"/>
      <c r="H51" s="131" t="n"/>
      <c r="I51" s="131" t="n"/>
      <c r="J51" s="131" t="n"/>
      <c r="K51" s="131" t="n"/>
      <c r="L51" s="132" t="n"/>
      <c r="M51" s="133" t="str">
        <f>IF(C51="","",IF(E51="Concluída",1,IF(AND(ISNUMBER(I51),ISNUMBER(J51),ISNUMBER(K51),K51&lt;&gt;I51),MAX(0,MIN(1,(J51-I51)/(K51-I51))),IF(ISNUMBER(L51),MAX(0,MIN(1,L51)),0))))</f>
        <v/>
      </c>
      <c r="N51" s="133" t="str">
        <f>IF(OR(C51="",F51="",G51=""),"",IF(G51&lt;=F51,1,MAX(0,MIN(1,(Hoje-F51)/(G51-F51)))))</f>
        <v/>
      </c>
      <c r="O51" s="128" t="str">
        <f>IF(C51="","",IF(OR(E51="Concluída",M51&gt;=1),"✔ Concluída",IF(E51="Pausada","‖ Pausada",IF(E51="Abandonada","– Abandonada",IF(N51="","○ Sem prazo",IF(G51&lt;Hoje,"✖ Vencida",IF(M51&gt;=N51-0.1,"✔ No ritmo",IF(M51&gt;=N51-0.25,"▲ Atenção","✖ Atrasada"))))))))</f>
        <v/>
      </c>
      <c r="P51" s="134" t="str">
        <f>IF(OR(C51="",G51="",O51="✔ Concluída"),"",G51-Hoje)</f>
        <v/>
      </c>
      <c r="Q51" s="128" t="str">
        <f>IF(OR(C51="",G51=""),"",IF(G51-IF(F51="",Hoje,F51)&lt;=183,"Curto",IF(G51-IF(F51="",Hoje,F51)&lt;=731,"Médio","Longo")))</f>
        <v/>
      </c>
      <c r="R51" s="128" t="str">
        <f>IF(C51="","",COUNTIFS('Tarefas'!$I$34:$I$333,C51,'Tarefas'!$G$34:$G$333,"&lt;&gt;Concluída",'Tarefas'!$G$34:$G$333,"&lt;&gt;Cancelada"))</f>
        <v/>
      </c>
      <c r="S51" s="135" t="n"/>
      <c r="T51" s="135" t="n"/>
      <c r="U51">
        <f>IF(C51="",0,IF(OR(E51="Pausada",E51="Abandonada"),0,1))</f>
        <v>0</v>
      </c>
      <c r="V51">
        <f>IF(U51=0,0,IF(OR(O51="✔ Concluída",O51="✔ No ritmo",O51="○ Sem prazo"),1,0))</f>
        <v>0</v>
      </c>
      <c r="W51" t="str">
        <f>IF(AND(U51=1,O51&lt;&gt;"✔ Concluída",G51&lt;&gt;""),G51+ROW()/100000,"")</f>
        <v/>
      </c>
    </row>
    <row r="52" ht="30" customHeight="1">
      <c r="B52" s="128" t="str">
        <f>IF(C52="","",ROW()-14)</f>
        <v/>
      </c>
      <c r="C52" s="129" t="n"/>
      <c r="D52" s="129" t="n"/>
      <c r="E52" s="129" t="n"/>
      <c r="F52" s="130" t="n"/>
      <c r="G52" s="130" t="n"/>
      <c r="H52" s="131" t="n"/>
      <c r="I52" s="131" t="n"/>
      <c r="J52" s="131" t="n"/>
      <c r="K52" s="131" t="n"/>
      <c r="L52" s="132" t="n"/>
      <c r="M52" s="133" t="str">
        <f>IF(C52="","",IF(E52="Concluída",1,IF(AND(ISNUMBER(I52),ISNUMBER(J52),ISNUMBER(K52),K52&lt;&gt;I52),MAX(0,MIN(1,(J52-I52)/(K52-I52))),IF(ISNUMBER(L52),MAX(0,MIN(1,L52)),0))))</f>
        <v/>
      </c>
      <c r="N52" s="133" t="str">
        <f>IF(OR(C52="",F52="",G52=""),"",IF(G52&lt;=F52,1,MAX(0,MIN(1,(Hoje-F52)/(G52-F52)))))</f>
        <v/>
      </c>
      <c r="O52" s="128" t="str">
        <f>IF(C52="","",IF(OR(E52="Concluída",M52&gt;=1),"✔ Concluída",IF(E52="Pausada","‖ Pausada",IF(E52="Abandonada","– Abandonada",IF(N52="","○ Sem prazo",IF(G52&lt;Hoje,"✖ Vencida",IF(M52&gt;=N52-0.1,"✔ No ritmo",IF(M52&gt;=N52-0.25,"▲ Atenção","✖ Atrasada"))))))))</f>
        <v/>
      </c>
      <c r="P52" s="134" t="str">
        <f>IF(OR(C52="",G52="",O52="✔ Concluída"),"",G52-Hoje)</f>
        <v/>
      </c>
      <c r="Q52" s="128" t="str">
        <f>IF(OR(C52="",G52=""),"",IF(G52-IF(F52="",Hoje,F52)&lt;=183,"Curto",IF(G52-IF(F52="",Hoje,F52)&lt;=731,"Médio","Longo")))</f>
        <v/>
      </c>
      <c r="R52" s="128" t="str">
        <f>IF(C52="","",COUNTIFS('Tarefas'!$I$34:$I$333,C52,'Tarefas'!$G$34:$G$333,"&lt;&gt;Concluída",'Tarefas'!$G$34:$G$333,"&lt;&gt;Cancelada"))</f>
        <v/>
      </c>
      <c r="S52" s="135" t="n"/>
      <c r="T52" s="135" t="n"/>
      <c r="U52">
        <f>IF(C52="",0,IF(OR(E52="Pausada",E52="Abandonada"),0,1))</f>
        <v>0</v>
      </c>
      <c r="V52">
        <f>IF(U52=0,0,IF(OR(O52="✔ Concluída",O52="✔ No ritmo",O52="○ Sem prazo"),1,0))</f>
        <v>0</v>
      </c>
      <c r="W52" t="str">
        <f>IF(AND(U52=1,O52&lt;&gt;"✔ Concluída",G52&lt;&gt;""),G52+ROW()/100000,"")</f>
        <v/>
      </c>
    </row>
    <row r="53" ht="30" customHeight="1">
      <c r="B53" s="128" t="str">
        <f>IF(C53="","",ROW()-14)</f>
        <v/>
      </c>
      <c r="C53" s="129" t="n"/>
      <c r="D53" s="129" t="n"/>
      <c r="E53" s="129" t="n"/>
      <c r="F53" s="130" t="n"/>
      <c r="G53" s="130" t="n"/>
      <c r="H53" s="131" t="n"/>
      <c r="I53" s="131" t="n"/>
      <c r="J53" s="131" t="n"/>
      <c r="K53" s="131" t="n"/>
      <c r="L53" s="132" t="n"/>
      <c r="M53" s="133" t="str">
        <f>IF(C53="","",IF(E53="Concluída",1,IF(AND(ISNUMBER(I53),ISNUMBER(J53),ISNUMBER(K53),K53&lt;&gt;I53),MAX(0,MIN(1,(J53-I53)/(K53-I53))),IF(ISNUMBER(L53),MAX(0,MIN(1,L53)),0))))</f>
        <v/>
      </c>
      <c r="N53" s="133" t="str">
        <f>IF(OR(C53="",F53="",G53=""),"",IF(G53&lt;=F53,1,MAX(0,MIN(1,(Hoje-F53)/(G53-F53)))))</f>
        <v/>
      </c>
      <c r="O53" s="128" t="str">
        <f>IF(C53="","",IF(OR(E53="Concluída",M53&gt;=1),"✔ Concluída",IF(E53="Pausada","‖ Pausada",IF(E53="Abandonada","– Abandonada",IF(N53="","○ Sem prazo",IF(G53&lt;Hoje,"✖ Vencida",IF(M53&gt;=N53-0.1,"✔ No ritmo",IF(M53&gt;=N53-0.25,"▲ Atenção","✖ Atrasada"))))))))</f>
        <v/>
      </c>
      <c r="P53" s="134" t="str">
        <f>IF(OR(C53="",G53="",O53="✔ Concluída"),"",G53-Hoje)</f>
        <v/>
      </c>
      <c r="Q53" s="128" t="str">
        <f>IF(OR(C53="",G53=""),"",IF(G53-IF(F53="",Hoje,F53)&lt;=183,"Curto",IF(G53-IF(F53="",Hoje,F53)&lt;=731,"Médio","Longo")))</f>
        <v/>
      </c>
      <c r="R53" s="128" t="str">
        <f>IF(C53="","",COUNTIFS('Tarefas'!$I$34:$I$333,C53,'Tarefas'!$G$34:$G$333,"&lt;&gt;Concluída",'Tarefas'!$G$34:$G$333,"&lt;&gt;Cancelada"))</f>
        <v/>
      </c>
      <c r="S53" s="135" t="n"/>
      <c r="T53" s="135" t="n"/>
      <c r="U53">
        <f>IF(C53="",0,IF(OR(E53="Pausada",E53="Abandonada"),0,1))</f>
        <v>0</v>
      </c>
      <c r="V53">
        <f>IF(U53=0,0,IF(OR(O53="✔ Concluída",O53="✔ No ritmo",O53="○ Sem prazo"),1,0))</f>
        <v>0</v>
      </c>
      <c r="W53" t="str">
        <f>IF(AND(U53=1,O53&lt;&gt;"✔ Concluída",G53&lt;&gt;""),G53+ROW()/100000,"")</f>
        <v/>
      </c>
    </row>
    <row r="54" ht="30" customHeight="1">
      <c r="B54" s="128" t="str">
        <f>IF(C54="","",ROW()-14)</f>
        <v/>
      </c>
      <c r="C54" s="129" t="n"/>
      <c r="D54" s="129" t="n"/>
      <c r="E54" s="129" t="n"/>
      <c r="F54" s="130" t="n"/>
      <c r="G54" s="130" t="n"/>
      <c r="H54" s="131" t="n"/>
      <c r="I54" s="131" t="n"/>
      <c r="J54" s="131" t="n"/>
      <c r="K54" s="131" t="n"/>
      <c r="L54" s="132" t="n"/>
      <c r="M54" s="133" t="str">
        <f>IF(C54="","",IF(E54="Concluída",1,IF(AND(ISNUMBER(I54),ISNUMBER(J54),ISNUMBER(K54),K54&lt;&gt;I54),MAX(0,MIN(1,(J54-I54)/(K54-I54))),IF(ISNUMBER(L54),MAX(0,MIN(1,L54)),0))))</f>
        <v/>
      </c>
      <c r="N54" s="133" t="str">
        <f>IF(OR(C54="",F54="",G54=""),"",IF(G54&lt;=F54,1,MAX(0,MIN(1,(Hoje-F54)/(G54-F54)))))</f>
        <v/>
      </c>
      <c r="O54" s="128" t="str">
        <f>IF(C54="","",IF(OR(E54="Concluída",M54&gt;=1),"✔ Concluída",IF(E54="Pausada","‖ Pausada",IF(E54="Abandonada","– Abandonada",IF(N54="","○ Sem prazo",IF(G54&lt;Hoje,"✖ Vencida",IF(M54&gt;=N54-0.1,"✔ No ritmo",IF(M54&gt;=N54-0.25,"▲ Atenção","✖ Atrasada"))))))))</f>
        <v/>
      </c>
      <c r="P54" s="134" t="str">
        <f>IF(OR(C54="",G54="",O54="✔ Concluída"),"",G54-Hoje)</f>
        <v/>
      </c>
      <c r="Q54" s="128" t="str">
        <f>IF(OR(C54="",G54=""),"",IF(G54-IF(F54="",Hoje,F54)&lt;=183,"Curto",IF(G54-IF(F54="",Hoje,F54)&lt;=731,"Médio","Longo")))</f>
        <v/>
      </c>
      <c r="R54" s="128" t="str">
        <f>IF(C54="","",COUNTIFS('Tarefas'!$I$34:$I$333,C54,'Tarefas'!$G$34:$G$333,"&lt;&gt;Concluída",'Tarefas'!$G$34:$G$333,"&lt;&gt;Cancelada"))</f>
        <v/>
      </c>
      <c r="S54" s="135" t="n"/>
      <c r="T54" s="135" t="n"/>
      <c r="U54">
        <f>IF(C54="",0,IF(OR(E54="Pausada",E54="Abandonada"),0,1))</f>
        <v>0</v>
      </c>
      <c r="V54">
        <f>IF(U54=0,0,IF(OR(O54="✔ Concluída",O54="✔ No ritmo",O54="○ Sem prazo"),1,0))</f>
        <v>0</v>
      </c>
      <c r="W54" t="str">
        <f>IF(AND(U54=1,O54&lt;&gt;"✔ Concluída",G54&lt;&gt;""),G54+ROW()/100000,"")</f>
        <v/>
      </c>
    </row>
    <row r="55" ht="30" customHeight="1">
      <c r="B55" s="128" t="str">
        <f>IF(C55="","",ROW()-14)</f>
        <v/>
      </c>
      <c r="C55" s="129" t="n"/>
      <c r="D55" s="129" t="n"/>
      <c r="E55" s="129" t="n"/>
      <c r="F55" s="130" t="n"/>
      <c r="G55" s="130" t="n"/>
      <c r="H55" s="131" t="n"/>
      <c r="I55" s="131" t="n"/>
      <c r="J55" s="131" t="n"/>
      <c r="K55" s="131" t="n"/>
      <c r="L55" s="132" t="n"/>
      <c r="M55" s="133" t="str">
        <f>IF(C55="","",IF(E55="Concluída",1,IF(AND(ISNUMBER(I55),ISNUMBER(J55),ISNUMBER(K55),K55&lt;&gt;I55),MAX(0,MIN(1,(J55-I55)/(K55-I55))),IF(ISNUMBER(L55),MAX(0,MIN(1,L55)),0))))</f>
        <v/>
      </c>
      <c r="N55" s="133" t="str">
        <f>IF(OR(C55="",F55="",G55=""),"",IF(G55&lt;=F55,1,MAX(0,MIN(1,(Hoje-F55)/(G55-F55)))))</f>
        <v/>
      </c>
      <c r="O55" s="128" t="str">
        <f>IF(C55="","",IF(OR(E55="Concluída",M55&gt;=1),"✔ Concluída",IF(E55="Pausada","‖ Pausada",IF(E55="Abandonada","– Abandonada",IF(N55="","○ Sem prazo",IF(G55&lt;Hoje,"✖ Vencida",IF(M55&gt;=N55-0.1,"✔ No ritmo",IF(M55&gt;=N55-0.25,"▲ Atenção","✖ Atrasada"))))))))</f>
        <v/>
      </c>
      <c r="P55" s="134" t="str">
        <f>IF(OR(C55="",G55="",O55="✔ Concluída"),"",G55-Hoje)</f>
        <v/>
      </c>
      <c r="Q55" s="128" t="str">
        <f>IF(OR(C55="",G55=""),"",IF(G55-IF(F55="",Hoje,F55)&lt;=183,"Curto",IF(G55-IF(F55="",Hoje,F55)&lt;=731,"Médio","Longo")))</f>
        <v/>
      </c>
      <c r="R55" s="128" t="str">
        <f>IF(C55="","",COUNTIFS('Tarefas'!$I$34:$I$333,C55,'Tarefas'!$G$34:$G$333,"&lt;&gt;Concluída",'Tarefas'!$G$34:$G$333,"&lt;&gt;Cancelada"))</f>
        <v/>
      </c>
      <c r="S55" s="135" t="n"/>
      <c r="T55" s="135" t="n"/>
      <c r="U55">
        <f>IF(C55="",0,IF(OR(E55="Pausada",E55="Abandonada"),0,1))</f>
        <v>0</v>
      </c>
      <c r="V55">
        <f>IF(U55=0,0,IF(OR(O55="✔ Concluída",O55="✔ No ritmo",O55="○ Sem prazo"),1,0))</f>
        <v>0</v>
      </c>
      <c r="W55" t="str">
        <f>IF(AND(U55=1,O55&lt;&gt;"✔ Concluída",G55&lt;&gt;""),G55+ROW()/100000,"")</f>
        <v/>
      </c>
    </row>
    <row r="56" ht="30" customHeight="1">
      <c r="B56" s="128" t="str">
        <f>IF(C56="","",ROW()-14)</f>
        <v/>
      </c>
      <c r="C56" s="129" t="n"/>
      <c r="D56" s="129" t="n"/>
      <c r="E56" s="129" t="n"/>
      <c r="F56" s="130" t="n"/>
      <c r="G56" s="130" t="n"/>
      <c r="H56" s="131" t="n"/>
      <c r="I56" s="131" t="n"/>
      <c r="J56" s="131" t="n"/>
      <c r="K56" s="131" t="n"/>
      <c r="L56" s="132" t="n"/>
      <c r="M56" s="133" t="str">
        <f>IF(C56="","",IF(E56="Concluída",1,IF(AND(ISNUMBER(I56),ISNUMBER(J56),ISNUMBER(K56),K56&lt;&gt;I56),MAX(0,MIN(1,(J56-I56)/(K56-I56))),IF(ISNUMBER(L56),MAX(0,MIN(1,L56)),0))))</f>
        <v/>
      </c>
      <c r="N56" s="133" t="str">
        <f>IF(OR(C56="",F56="",G56=""),"",IF(G56&lt;=F56,1,MAX(0,MIN(1,(Hoje-F56)/(G56-F56)))))</f>
        <v/>
      </c>
      <c r="O56" s="128" t="str">
        <f>IF(C56="","",IF(OR(E56="Concluída",M56&gt;=1),"✔ Concluída",IF(E56="Pausada","‖ Pausada",IF(E56="Abandonada","– Abandonada",IF(N56="","○ Sem prazo",IF(G56&lt;Hoje,"✖ Vencida",IF(M56&gt;=N56-0.1,"✔ No ritmo",IF(M56&gt;=N56-0.25,"▲ Atenção","✖ Atrasada"))))))))</f>
        <v/>
      </c>
      <c r="P56" s="134" t="str">
        <f>IF(OR(C56="",G56="",O56="✔ Concluída"),"",G56-Hoje)</f>
        <v/>
      </c>
      <c r="Q56" s="128" t="str">
        <f>IF(OR(C56="",G56=""),"",IF(G56-IF(F56="",Hoje,F56)&lt;=183,"Curto",IF(G56-IF(F56="",Hoje,F56)&lt;=731,"Médio","Longo")))</f>
        <v/>
      </c>
      <c r="R56" s="128" t="str">
        <f>IF(C56="","",COUNTIFS('Tarefas'!$I$34:$I$333,C56,'Tarefas'!$G$34:$G$333,"&lt;&gt;Concluída",'Tarefas'!$G$34:$G$333,"&lt;&gt;Cancelada"))</f>
        <v/>
      </c>
      <c r="S56" s="135" t="n"/>
      <c r="T56" s="135" t="n"/>
      <c r="U56">
        <f>IF(C56="",0,IF(OR(E56="Pausada",E56="Abandonada"),0,1))</f>
        <v>0</v>
      </c>
      <c r="V56">
        <f>IF(U56=0,0,IF(OR(O56="✔ Concluída",O56="✔ No ritmo",O56="○ Sem prazo"),1,0))</f>
        <v>0</v>
      </c>
      <c r="W56" t="str">
        <f>IF(AND(U56=1,O56&lt;&gt;"✔ Concluída",G56&lt;&gt;""),G56+ROW()/100000,"")</f>
        <v/>
      </c>
    </row>
    <row r="57" ht="30" customHeight="1">
      <c r="B57" s="128" t="str">
        <f>IF(C57="","",ROW()-14)</f>
        <v/>
      </c>
      <c r="C57" s="129" t="n"/>
      <c r="D57" s="129" t="n"/>
      <c r="E57" s="129" t="n"/>
      <c r="F57" s="130" t="n"/>
      <c r="G57" s="130" t="n"/>
      <c r="H57" s="131" t="n"/>
      <c r="I57" s="131" t="n"/>
      <c r="J57" s="131" t="n"/>
      <c r="K57" s="131" t="n"/>
      <c r="L57" s="132" t="n"/>
      <c r="M57" s="133" t="str">
        <f>IF(C57="","",IF(E57="Concluída",1,IF(AND(ISNUMBER(I57),ISNUMBER(J57),ISNUMBER(K57),K57&lt;&gt;I57),MAX(0,MIN(1,(J57-I57)/(K57-I57))),IF(ISNUMBER(L57),MAX(0,MIN(1,L57)),0))))</f>
        <v/>
      </c>
      <c r="N57" s="133" t="str">
        <f>IF(OR(C57="",F57="",G57=""),"",IF(G57&lt;=F57,1,MAX(0,MIN(1,(Hoje-F57)/(G57-F57)))))</f>
        <v/>
      </c>
      <c r="O57" s="128" t="str">
        <f>IF(C57="","",IF(OR(E57="Concluída",M57&gt;=1),"✔ Concluída",IF(E57="Pausada","‖ Pausada",IF(E57="Abandonada","– Abandonada",IF(N57="","○ Sem prazo",IF(G57&lt;Hoje,"✖ Vencida",IF(M57&gt;=N57-0.1,"✔ No ritmo",IF(M57&gt;=N57-0.25,"▲ Atenção","✖ Atrasada"))))))))</f>
        <v/>
      </c>
      <c r="P57" s="134" t="str">
        <f>IF(OR(C57="",G57="",O57="✔ Concluída"),"",G57-Hoje)</f>
        <v/>
      </c>
      <c r="Q57" s="128" t="str">
        <f>IF(OR(C57="",G57=""),"",IF(G57-IF(F57="",Hoje,F57)&lt;=183,"Curto",IF(G57-IF(F57="",Hoje,F57)&lt;=731,"Médio","Longo")))</f>
        <v/>
      </c>
      <c r="R57" s="128" t="str">
        <f>IF(C57="","",COUNTIFS('Tarefas'!$I$34:$I$333,C57,'Tarefas'!$G$34:$G$333,"&lt;&gt;Concluída",'Tarefas'!$G$34:$G$333,"&lt;&gt;Cancelada"))</f>
        <v/>
      </c>
      <c r="S57" s="135" t="n"/>
      <c r="T57" s="135" t="n"/>
      <c r="U57">
        <f>IF(C57="",0,IF(OR(E57="Pausada",E57="Abandonada"),0,1))</f>
        <v>0</v>
      </c>
      <c r="V57">
        <f>IF(U57=0,0,IF(OR(O57="✔ Concluída",O57="✔ No ritmo",O57="○ Sem prazo"),1,0))</f>
        <v>0</v>
      </c>
      <c r="W57" t="str">
        <f>IF(AND(U57=1,O57&lt;&gt;"✔ Concluída",G57&lt;&gt;""),G57+ROW()/100000,"")</f>
        <v/>
      </c>
    </row>
    <row r="58" ht="30" customHeight="1">
      <c r="B58" s="128" t="str">
        <f>IF(C58="","",ROW()-14)</f>
        <v/>
      </c>
      <c r="C58" s="129" t="n"/>
      <c r="D58" s="129" t="n"/>
      <c r="E58" s="129" t="n"/>
      <c r="F58" s="130" t="n"/>
      <c r="G58" s="130" t="n"/>
      <c r="H58" s="131" t="n"/>
      <c r="I58" s="131" t="n"/>
      <c r="J58" s="131" t="n"/>
      <c r="K58" s="131" t="n"/>
      <c r="L58" s="132" t="n"/>
      <c r="M58" s="133" t="str">
        <f>IF(C58="","",IF(E58="Concluída",1,IF(AND(ISNUMBER(I58),ISNUMBER(J58),ISNUMBER(K58),K58&lt;&gt;I58),MAX(0,MIN(1,(J58-I58)/(K58-I58))),IF(ISNUMBER(L58),MAX(0,MIN(1,L58)),0))))</f>
        <v/>
      </c>
      <c r="N58" s="133" t="str">
        <f>IF(OR(C58="",F58="",G58=""),"",IF(G58&lt;=F58,1,MAX(0,MIN(1,(Hoje-F58)/(G58-F58)))))</f>
        <v/>
      </c>
      <c r="O58" s="128" t="str">
        <f>IF(C58="","",IF(OR(E58="Concluída",M58&gt;=1),"✔ Concluída",IF(E58="Pausada","‖ Pausada",IF(E58="Abandonada","– Abandonada",IF(N58="","○ Sem prazo",IF(G58&lt;Hoje,"✖ Vencida",IF(M58&gt;=N58-0.1,"✔ No ritmo",IF(M58&gt;=N58-0.25,"▲ Atenção","✖ Atrasada"))))))))</f>
        <v/>
      </c>
      <c r="P58" s="134" t="str">
        <f>IF(OR(C58="",G58="",O58="✔ Concluída"),"",G58-Hoje)</f>
        <v/>
      </c>
      <c r="Q58" s="128" t="str">
        <f>IF(OR(C58="",G58=""),"",IF(G58-IF(F58="",Hoje,F58)&lt;=183,"Curto",IF(G58-IF(F58="",Hoje,F58)&lt;=731,"Médio","Longo")))</f>
        <v/>
      </c>
      <c r="R58" s="128" t="str">
        <f>IF(C58="","",COUNTIFS('Tarefas'!$I$34:$I$333,C58,'Tarefas'!$G$34:$G$333,"&lt;&gt;Concluída",'Tarefas'!$G$34:$G$333,"&lt;&gt;Cancelada"))</f>
        <v/>
      </c>
      <c r="S58" s="135" t="n"/>
      <c r="T58" s="135" t="n"/>
      <c r="U58">
        <f>IF(C58="",0,IF(OR(E58="Pausada",E58="Abandonada"),0,1))</f>
        <v>0</v>
      </c>
      <c r="V58">
        <f>IF(U58=0,0,IF(OR(O58="✔ Concluída",O58="✔ No ritmo",O58="○ Sem prazo"),1,0))</f>
        <v>0</v>
      </c>
      <c r="W58" t="str">
        <f>IF(AND(U58=1,O58&lt;&gt;"✔ Concluída",G58&lt;&gt;""),G58+ROW()/100000,"")</f>
        <v/>
      </c>
    </row>
    <row r="59" ht="30" customHeight="1">
      <c r="B59" s="128" t="str">
        <f>IF(C59="","",ROW()-14)</f>
        <v/>
      </c>
      <c r="C59" s="129" t="n"/>
      <c r="D59" s="129" t="n"/>
      <c r="E59" s="129" t="n"/>
      <c r="F59" s="130" t="n"/>
      <c r="G59" s="130" t="n"/>
      <c r="H59" s="131" t="n"/>
      <c r="I59" s="131" t="n"/>
      <c r="J59" s="131" t="n"/>
      <c r="K59" s="131" t="n"/>
      <c r="L59" s="132" t="n"/>
      <c r="M59" s="133" t="str">
        <f>IF(C59="","",IF(E59="Concluída",1,IF(AND(ISNUMBER(I59),ISNUMBER(J59),ISNUMBER(K59),K59&lt;&gt;I59),MAX(0,MIN(1,(J59-I59)/(K59-I59))),IF(ISNUMBER(L59),MAX(0,MIN(1,L59)),0))))</f>
        <v/>
      </c>
      <c r="N59" s="133" t="str">
        <f>IF(OR(C59="",F59="",G59=""),"",IF(G59&lt;=F59,1,MAX(0,MIN(1,(Hoje-F59)/(G59-F59)))))</f>
        <v/>
      </c>
      <c r="O59" s="128" t="str">
        <f>IF(C59="","",IF(OR(E59="Concluída",M59&gt;=1),"✔ Concluída",IF(E59="Pausada","‖ Pausada",IF(E59="Abandonada","– Abandonada",IF(N59="","○ Sem prazo",IF(G59&lt;Hoje,"✖ Vencida",IF(M59&gt;=N59-0.1,"✔ No ritmo",IF(M59&gt;=N59-0.25,"▲ Atenção","✖ Atrasada"))))))))</f>
        <v/>
      </c>
      <c r="P59" s="134" t="str">
        <f>IF(OR(C59="",G59="",O59="✔ Concluída"),"",G59-Hoje)</f>
        <v/>
      </c>
      <c r="Q59" s="128" t="str">
        <f>IF(OR(C59="",G59=""),"",IF(G59-IF(F59="",Hoje,F59)&lt;=183,"Curto",IF(G59-IF(F59="",Hoje,F59)&lt;=731,"Médio","Longo")))</f>
        <v/>
      </c>
      <c r="R59" s="128" t="str">
        <f>IF(C59="","",COUNTIFS('Tarefas'!$I$34:$I$333,C59,'Tarefas'!$G$34:$G$333,"&lt;&gt;Concluída",'Tarefas'!$G$34:$G$333,"&lt;&gt;Cancelada"))</f>
        <v/>
      </c>
      <c r="S59" s="135" t="n"/>
      <c r="T59" s="135" t="n"/>
      <c r="U59">
        <f>IF(C59="",0,IF(OR(E59="Pausada",E59="Abandonada"),0,1))</f>
        <v>0</v>
      </c>
      <c r="V59">
        <f>IF(U59=0,0,IF(OR(O59="✔ Concluída",O59="✔ No ritmo",O59="○ Sem prazo"),1,0))</f>
        <v>0</v>
      </c>
      <c r="W59" t="str">
        <f>IF(AND(U59=1,O59&lt;&gt;"✔ Concluída",G59&lt;&gt;""),G59+ROW()/100000,"")</f>
        <v/>
      </c>
    </row>
    <row r="60" ht="30" customHeight="1">
      <c r="B60" s="128" t="str">
        <f>IF(C60="","",ROW()-14)</f>
        <v/>
      </c>
      <c r="C60" s="129" t="n"/>
      <c r="D60" s="129" t="n"/>
      <c r="E60" s="129" t="n"/>
      <c r="F60" s="130" t="n"/>
      <c r="G60" s="130" t="n"/>
      <c r="H60" s="131" t="n"/>
      <c r="I60" s="131" t="n"/>
      <c r="J60" s="131" t="n"/>
      <c r="K60" s="131" t="n"/>
      <c r="L60" s="132" t="n"/>
      <c r="M60" s="133" t="str">
        <f>IF(C60="","",IF(E60="Concluída",1,IF(AND(ISNUMBER(I60),ISNUMBER(J60),ISNUMBER(K60),K60&lt;&gt;I60),MAX(0,MIN(1,(J60-I60)/(K60-I60))),IF(ISNUMBER(L60),MAX(0,MIN(1,L60)),0))))</f>
        <v/>
      </c>
      <c r="N60" s="133" t="str">
        <f>IF(OR(C60="",F60="",G60=""),"",IF(G60&lt;=F60,1,MAX(0,MIN(1,(Hoje-F60)/(G60-F60)))))</f>
        <v/>
      </c>
      <c r="O60" s="128" t="str">
        <f>IF(C60="","",IF(OR(E60="Concluída",M60&gt;=1),"✔ Concluída",IF(E60="Pausada","‖ Pausada",IF(E60="Abandonada","– Abandonada",IF(N60="","○ Sem prazo",IF(G60&lt;Hoje,"✖ Vencida",IF(M60&gt;=N60-0.1,"✔ No ritmo",IF(M60&gt;=N60-0.25,"▲ Atenção","✖ Atrasada"))))))))</f>
        <v/>
      </c>
      <c r="P60" s="134" t="str">
        <f>IF(OR(C60="",G60="",O60="✔ Concluída"),"",G60-Hoje)</f>
        <v/>
      </c>
      <c r="Q60" s="128" t="str">
        <f>IF(OR(C60="",G60=""),"",IF(G60-IF(F60="",Hoje,F60)&lt;=183,"Curto",IF(G60-IF(F60="",Hoje,F60)&lt;=731,"Médio","Longo")))</f>
        <v/>
      </c>
      <c r="R60" s="128" t="str">
        <f>IF(C60="","",COUNTIFS('Tarefas'!$I$34:$I$333,C60,'Tarefas'!$G$34:$G$333,"&lt;&gt;Concluída",'Tarefas'!$G$34:$G$333,"&lt;&gt;Cancelada"))</f>
        <v/>
      </c>
      <c r="S60" s="135" t="n"/>
      <c r="T60" s="135" t="n"/>
      <c r="U60">
        <f>IF(C60="",0,IF(OR(E60="Pausada",E60="Abandonada"),0,1))</f>
        <v>0</v>
      </c>
      <c r="V60">
        <f>IF(U60=0,0,IF(OR(O60="✔ Concluída",O60="✔ No ritmo",O60="○ Sem prazo"),1,0))</f>
        <v>0</v>
      </c>
      <c r="W60" t="str">
        <f>IF(AND(U60=1,O60&lt;&gt;"✔ Concluída",G60&lt;&gt;""),G60+ROW()/100000,"")</f>
        <v/>
      </c>
    </row>
    <row r="61" ht="30" customHeight="1">
      <c r="B61" s="128" t="str">
        <f>IF(C61="","",ROW()-14)</f>
        <v/>
      </c>
      <c r="C61" s="129" t="n"/>
      <c r="D61" s="129" t="n"/>
      <c r="E61" s="129" t="n"/>
      <c r="F61" s="130" t="n"/>
      <c r="G61" s="130" t="n"/>
      <c r="H61" s="131" t="n"/>
      <c r="I61" s="131" t="n"/>
      <c r="J61" s="131" t="n"/>
      <c r="K61" s="131" t="n"/>
      <c r="L61" s="132" t="n"/>
      <c r="M61" s="133" t="str">
        <f>IF(C61="","",IF(E61="Concluída",1,IF(AND(ISNUMBER(I61),ISNUMBER(J61),ISNUMBER(K61),K61&lt;&gt;I61),MAX(0,MIN(1,(J61-I61)/(K61-I61))),IF(ISNUMBER(L61),MAX(0,MIN(1,L61)),0))))</f>
        <v/>
      </c>
      <c r="N61" s="133" t="str">
        <f>IF(OR(C61="",F61="",G61=""),"",IF(G61&lt;=F61,1,MAX(0,MIN(1,(Hoje-F61)/(G61-F61)))))</f>
        <v/>
      </c>
      <c r="O61" s="128" t="str">
        <f>IF(C61="","",IF(OR(E61="Concluída",M61&gt;=1),"✔ Concluída",IF(E61="Pausada","‖ Pausada",IF(E61="Abandonada","– Abandonada",IF(N61="","○ Sem prazo",IF(G61&lt;Hoje,"✖ Vencida",IF(M61&gt;=N61-0.1,"✔ No ritmo",IF(M61&gt;=N61-0.25,"▲ Atenção","✖ Atrasada"))))))))</f>
        <v/>
      </c>
      <c r="P61" s="134" t="str">
        <f>IF(OR(C61="",G61="",O61="✔ Concluída"),"",G61-Hoje)</f>
        <v/>
      </c>
      <c r="Q61" s="128" t="str">
        <f>IF(OR(C61="",G61=""),"",IF(G61-IF(F61="",Hoje,F61)&lt;=183,"Curto",IF(G61-IF(F61="",Hoje,F61)&lt;=731,"Médio","Longo")))</f>
        <v/>
      </c>
      <c r="R61" s="128" t="str">
        <f>IF(C61="","",COUNTIFS('Tarefas'!$I$34:$I$333,C61,'Tarefas'!$G$34:$G$333,"&lt;&gt;Concluída",'Tarefas'!$G$34:$G$333,"&lt;&gt;Cancelada"))</f>
        <v/>
      </c>
      <c r="S61" s="135" t="n"/>
      <c r="T61" s="135" t="n"/>
      <c r="U61">
        <f>IF(C61="",0,IF(OR(E61="Pausada",E61="Abandonada"),0,1))</f>
        <v>0</v>
      </c>
      <c r="V61">
        <f>IF(U61=0,0,IF(OR(O61="✔ Concluída",O61="✔ No ritmo",O61="○ Sem prazo"),1,0))</f>
        <v>0</v>
      </c>
      <c r="W61" t="str">
        <f>IF(AND(U61=1,O61&lt;&gt;"✔ Concluída",G61&lt;&gt;""),G61+ROW()/100000,"")</f>
        <v/>
      </c>
    </row>
    <row r="62" ht="30" customHeight="1">
      <c r="B62" s="128" t="str">
        <f>IF(C62="","",ROW()-14)</f>
        <v/>
      </c>
      <c r="C62" s="129" t="n"/>
      <c r="D62" s="129" t="n"/>
      <c r="E62" s="129" t="n"/>
      <c r="F62" s="130" t="n"/>
      <c r="G62" s="130" t="n"/>
      <c r="H62" s="131" t="n"/>
      <c r="I62" s="131" t="n"/>
      <c r="J62" s="131" t="n"/>
      <c r="K62" s="131" t="n"/>
      <c r="L62" s="132" t="n"/>
      <c r="M62" s="133" t="str">
        <f>IF(C62="","",IF(E62="Concluída",1,IF(AND(ISNUMBER(I62),ISNUMBER(J62),ISNUMBER(K62),K62&lt;&gt;I62),MAX(0,MIN(1,(J62-I62)/(K62-I62))),IF(ISNUMBER(L62),MAX(0,MIN(1,L62)),0))))</f>
        <v/>
      </c>
      <c r="N62" s="133" t="str">
        <f>IF(OR(C62="",F62="",G62=""),"",IF(G62&lt;=F62,1,MAX(0,MIN(1,(Hoje-F62)/(G62-F62)))))</f>
        <v/>
      </c>
      <c r="O62" s="128" t="str">
        <f>IF(C62="","",IF(OR(E62="Concluída",M62&gt;=1),"✔ Concluída",IF(E62="Pausada","‖ Pausada",IF(E62="Abandonada","– Abandonada",IF(N62="","○ Sem prazo",IF(G62&lt;Hoje,"✖ Vencida",IF(M62&gt;=N62-0.1,"✔ No ritmo",IF(M62&gt;=N62-0.25,"▲ Atenção","✖ Atrasada"))))))))</f>
        <v/>
      </c>
      <c r="P62" s="134" t="str">
        <f>IF(OR(C62="",G62="",O62="✔ Concluída"),"",G62-Hoje)</f>
        <v/>
      </c>
      <c r="Q62" s="128" t="str">
        <f>IF(OR(C62="",G62=""),"",IF(G62-IF(F62="",Hoje,F62)&lt;=183,"Curto",IF(G62-IF(F62="",Hoje,F62)&lt;=731,"Médio","Longo")))</f>
        <v/>
      </c>
      <c r="R62" s="128" t="str">
        <f>IF(C62="","",COUNTIFS('Tarefas'!$I$34:$I$333,C62,'Tarefas'!$G$34:$G$333,"&lt;&gt;Concluída",'Tarefas'!$G$34:$G$333,"&lt;&gt;Cancelada"))</f>
        <v/>
      </c>
      <c r="S62" s="135" t="n"/>
      <c r="T62" s="135" t="n"/>
      <c r="U62">
        <f>IF(C62="",0,IF(OR(E62="Pausada",E62="Abandonada"),0,1))</f>
        <v>0</v>
      </c>
      <c r="V62">
        <f>IF(U62=0,0,IF(OR(O62="✔ Concluída",O62="✔ No ritmo",O62="○ Sem prazo"),1,0))</f>
        <v>0</v>
      </c>
      <c r="W62" t="str">
        <f>IF(AND(U62=1,O62&lt;&gt;"✔ Concluída",G62&lt;&gt;""),G62+ROW()/100000,"")</f>
        <v/>
      </c>
    </row>
    <row r="63" ht="30" customHeight="1">
      <c r="B63" s="128" t="str">
        <f>IF(C63="","",ROW()-14)</f>
        <v/>
      </c>
      <c r="C63" s="129" t="n"/>
      <c r="D63" s="129" t="n"/>
      <c r="E63" s="129" t="n"/>
      <c r="F63" s="130" t="n"/>
      <c r="G63" s="130" t="n"/>
      <c r="H63" s="131" t="n"/>
      <c r="I63" s="131" t="n"/>
      <c r="J63" s="131" t="n"/>
      <c r="K63" s="131" t="n"/>
      <c r="L63" s="132" t="n"/>
      <c r="M63" s="133" t="str">
        <f>IF(C63="","",IF(E63="Concluída",1,IF(AND(ISNUMBER(I63),ISNUMBER(J63),ISNUMBER(K63),K63&lt;&gt;I63),MAX(0,MIN(1,(J63-I63)/(K63-I63))),IF(ISNUMBER(L63),MAX(0,MIN(1,L63)),0))))</f>
        <v/>
      </c>
      <c r="N63" s="133" t="str">
        <f>IF(OR(C63="",F63="",G63=""),"",IF(G63&lt;=F63,1,MAX(0,MIN(1,(Hoje-F63)/(G63-F63)))))</f>
        <v/>
      </c>
      <c r="O63" s="128" t="str">
        <f>IF(C63="","",IF(OR(E63="Concluída",M63&gt;=1),"✔ Concluída",IF(E63="Pausada","‖ Pausada",IF(E63="Abandonada","– Abandonada",IF(N63="","○ Sem prazo",IF(G63&lt;Hoje,"✖ Vencida",IF(M63&gt;=N63-0.1,"✔ No ritmo",IF(M63&gt;=N63-0.25,"▲ Atenção","✖ Atrasada"))))))))</f>
        <v/>
      </c>
      <c r="P63" s="134" t="str">
        <f>IF(OR(C63="",G63="",O63="✔ Concluída"),"",G63-Hoje)</f>
        <v/>
      </c>
      <c r="Q63" s="128" t="str">
        <f>IF(OR(C63="",G63=""),"",IF(G63-IF(F63="",Hoje,F63)&lt;=183,"Curto",IF(G63-IF(F63="",Hoje,F63)&lt;=731,"Médio","Longo")))</f>
        <v/>
      </c>
      <c r="R63" s="128" t="str">
        <f>IF(C63="","",COUNTIFS('Tarefas'!$I$34:$I$333,C63,'Tarefas'!$G$34:$G$333,"&lt;&gt;Concluída",'Tarefas'!$G$34:$G$333,"&lt;&gt;Cancelada"))</f>
        <v/>
      </c>
      <c r="S63" s="135" t="n"/>
      <c r="T63" s="135" t="n"/>
      <c r="U63">
        <f>IF(C63="",0,IF(OR(E63="Pausada",E63="Abandonada"),0,1))</f>
        <v>0</v>
      </c>
      <c r="V63">
        <f>IF(U63=0,0,IF(OR(O63="✔ Concluída",O63="✔ No ritmo",O63="○ Sem prazo"),1,0))</f>
        <v>0</v>
      </c>
      <c r="W63" t="str">
        <f>IF(AND(U63=1,O63&lt;&gt;"✔ Concluída",G63&lt;&gt;""),G63+ROW()/100000,"")</f>
        <v/>
      </c>
    </row>
    <row r="64" ht="30" customHeight="1">
      <c r="B64" s="128" t="str">
        <f>IF(C64="","",ROW()-14)</f>
        <v/>
      </c>
      <c r="C64" s="129" t="n"/>
      <c r="D64" s="129" t="n"/>
      <c r="E64" s="129" t="n"/>
      <c r="F64" s="130" t="n"/>
      <c r="G64" s="130" t="n"/>
      <c r="H64" s="131" t="n"/>
      <c r="I64" s="131" t="n"/>
      <c r="J64" s="131" t="n"/>
      <c r="K64" s="131" t="n"/>
      <c r="L64" s="132" t="n"/>
      <c r="M64" s="133" t="str">
        <f>IF(C64="","",IF(E64="Concluída",1,IF(AND(ISNUMBER(I64),ISNUMBER(J64),ISNUMBER(K64),K64&lt;&gt;I64),MAX(0,MIN(1,(J64-I64)/(K64-I64))),IF(ISNUMBER(L64),MAX(0,MIN(1,L64)),0))))</f>
        <v/>
      </c>
      <c r="N64" s="133" t="str">
        <f>IF(OR(C64="",F64="",G64=""),"",IF(G64&lt;=F64,1,MAX(0,MIN(1,(Hoje-F64)/(G64-F64)))))</f>
        <v/>
      </c>
      <c r="O64" s="128" t="str">
        <f>IF(C64="","",IF(OR(E64="Concluída",M64&gt;=1),"✔ Concluída",IF(E64="Pausada","‖ Pausada",IF(E64="Abandonada","– Abandonada",IF(N64="","○ Sem prazo",IF(G64&lt;Hoje,"✖ Vencida",IF(M64&gt;=N64-0.1,"✔ No ritmo",IF(M64&gt;=N64-0.25,"▲ Atenção","✖ Atrasada"))))))))</f>
        <v/>
      </c>
      <c r="P64" s="134" t="str">
        <f>IF(OR(C64="",G64="",O64="✔ Concluída"),"",G64-Hoje)</f>
        <v/>
      </c>
      <c r="Q64" s="128" t="str">
        <f>IF(OR(C64="",G64=""),"",IF(G64-IF(F64="",Hoje,F64)&lt;=183,"Curto",IF(G64-IF(F64="",Hoje,F64)&lt;=731,"Médio","Longo")))</f>
        <v/>
      </c>
      <c r="R64" s="128" t="str">
        <f>IF(C64="","",COUNTIFS('Tarefas'!$I$34:$I$333,C64,'Tarefas'!$G$34:$G$333,"&lt;&gt;Concluída",'Tarefas'!$G$34:$G$333,"&lt;&gt;Cancelada"))</f>
        <v/>
      </c>
      <c r="S64" s="135" t="n"/>
      <c r="T64" s="135" t="n"/>
      <c r="U64">
        <f>IF(C64="",0,IF(OR(E64="Pausada",E64="Abandonada"),0,1))</f>
        <v>0</v>
      </c>
      <c r="V64">
        <f>IF(U64=0,0,IF(OR(O64="✔ Concluída",O64="✔ No ritmo",O64="○ Sem prazo"),1,0))</f>
        <v>0</v>
      </c>
      <c r="W64" t="str">
        <f>IF(AND(U64=1,O64&lt;&gt;"✔ Concluída",G64&lt;&gt;""),G64+ROW()/100000,"")</f>
        <v/>
      </c>
    </row>
    <row r="65" ht="30" customHeight="1">
      <c r="B65" s="128" t="str">
        <f>IF(C65="","",ROW()-14)</f>
        <v/>
      </c>
      <c r="C65" s="129" t="n"/>
      <c r="D65" s="129" t="n"/>
      <c r="E65" s="129" t="n"/>
      <c r="F65" s="130" t="n"/>
      <c r="G65" s="130" t="n"/>
      <c r="H65" s="131" t="n"/>
      <c r="I65" s="131" t="n"/>
      <c r="J65" s="131" t="n"/>
      <c r="K65" s="131" t="n"/>
      <c r="L65" s="132" t="n"/>
      <c r="M65" s="133" t="str">
        <f>IF(C65="","",IF(E65="Concluída",1,IF(AND(ISNUMBER(I65),ISNUMBER(J65),ISNUMBER(K65),K65&lt;&gt;I65),MAX(0,MIN(1,(J65-I65)/(K65-I65))),IF(ISNUMBER(L65),MAX(0,MIN(1,L65)),0))))</f>
        <v/>
      </c>
      <c r="N65" s="133" t="str">
        <f>IF(OR(C65="",F65="",G65=""),"",IF(G65&lt;=F65,1,MAX(0,MIN(1,(Hoje-F65)/(G65-F65)))))</f>
        <v/>
      </c>
      <c r="O65" s="128" t="str">
        <f>IF(C65="","",IF(OR(E65="Concluída",M65&gt;=1),"✔ Concluída",IF(E65="Pausada","‖ Pausada",IF(E65="Abandonada","– Abandonada",IF(N65="","○ Sem prazo",IF(G65&lt;Hoje,"✖ Vencida",IF(M65&gt;=N65-0.1,"✔ No ritmo",IF(M65&gt;=N65-0.25,"▲ Atenção","✖ Atrasada"))))))))</f>
        <v/>
      </c>
      <c r="P65" s="134" t="str">
        <f>IF(OR(C65="",G65="",O65="✔ Concluída"),"",G65-Hoje)</f>
        <v/>
      </c>
      <c r="Q65" s="128" t="str">
        <f>IF(OR(C65="",G65=""),"",IF(G65-IF(F65="",Hoje,F65)&lt;=183,"Curto",IF(G65-IF(F65="",Hoje,F65)&lt;=731,"Médio","Longo")))</f>
        <v/>
      </c>
      <c r="R65" s="128" t="str">
        <f>IF(C65="","",COUNTIFS('Tarefas'!$I$34:$I$333,C65,'Tarefas'!$G$34:$G$333,"&lt;&gt;Concluída",'Tarefas'!$G$34:$G$333,"&lt;&gt;Cancelada"))</f>
        <v/>
      </c>
      <c r="S65" s="135" t="n"/>
      <c r="T65" s="135" t="n"/>
      <c r="U65">
        <f>IF(C65="",0,IF(OR(E65="Pausada",E65="Abandonada"),0,1))</f>
        <v>0</v>
      </c>
      <c r="V65">
        <f>IF(U65=0,0,IF(OR(O65="✔ Concluída",O65="✔ No ritmo",O65="○ Sem prazo"),1,0))</f>
        <v>0</v>
      </c>
      <c r="W65" t="str">
        <f>IF(AND(U65=1,O65&lt;&gt;"✔ Concluída",G65&lt;&gt;""),G65+ROW()/100000,"")</f>
        <v/>
      </c>
    </row>
    <row r="66" ht="30" customHeight="1">
      <c r="B66" s="128" t="str">
        <f>IF(C66="","",ROW()-14)</f>
        <v/>
      </c>
      <c r="C66" s="129" t="n"/>
      <c r="D66" s="129" t="n"/>
      <c r="E66" s="129" t="n"/>
      <c r="F66" s="130" t="n"/>
      <c r="G66" s="130" t="n"/>
      <c r="H66" s="131" t="n"/>
      <c r="I66" s="131" t="n"/>
      <c r="J66" s="131" t="n"/>
      <c r="K66" s="131" t="n"/>
      <c r="L66" s="132" t="n"/>
      <c r="M66" s="133" t="str">
        <f>IF(C66="","",IF(E66="Concluída",1,IF(AND(ISNUMBER(I66),ISNUMBER(J66),ISNUMBER(K66),K66&lt;&gt;I66),MAX(0,MIN(1,(J66-I66)/(K66-I66))),IF(ISNUMBER(L66),MAX(0,MIN(1,L66)),0))))</f>
        <v/>
      </c>
      <c r="N66" s="133" t="str">
        <f>IF(OR(C66="",F66="",G66=""),"",IF(G66&lt;=F66,1,MAX(0,MIN(1,(Hoje-F66)/(G66-F66)))))</f>
        <v/>
      </c>
      <c r="O66" s="128" t="str">
        <f>IF(C66="","",IF(OR(E66="Concluída",M66&gt;=1),"✔ Concluída",IF(E66="Pausada","‖ Pausada",IF(E66="Abandonada","– Abandonada",IF(N66="","○ Sem prazo",IF(G66&lt;Hoje,"✖ Vencida",IF(M66&gt;=N66-0.1,"✔ No ritmo",IF(M66&gt;=N66-0.25,"▲ Atenção","✖ Atrasada"))))))))</f>
        <v/>
      </c>
      <c r="P66" s="134" t="str">
        <f>IF(OR(C66="",G66="",O66="✔ Concluída"),"",G66-Hoje)</f>
        <v/>
      </c>
      <c r="Q66" s="128" t="str">
        <f>IF(OR(C66="",G66=""),"",IF(G66-IF(F66="",Hoje,F66)&lt;=183,"Curto",IF(G66-IF(F66="",Hoje,F66)&lt;=731,"Médio","Longo")))</f>
        <v/>
      </c>
      <c r="R66" s="128" t="str">
        <f>IF(C66="","",COUNTIFS('Tarefas'!$I$34:$I$333,C66,'Tarefas'!$G$34:$G$333,"&lt;&gt;Concluída",'Tarefas'!$G$34:$G$333,"&lt;&gt;Cancelada"))</f>
        <v/>
      </c>
      <c r="S66" s="135" t="n"/>
      <c r="T66" s="135" t="n"/>
      <c r="U66">
        <f>IF(C66="",0,IF(OR(E66="Pausada",E66="Abandonada"),0,1))</f>
        <v>0</v>
      </c>
      <c r="V66">
        <f>IF(U66=0,0,IF(OR(O66="✔ Concluída",O66="✔ No ritmo",O66="○ Sem prazo"),1,0))</f>
        <v>0</v>
      </c>
      <c r="W66" t="str">
        <f>IF(AND(U66=1,O66&lt;&gt;"✔ Concluída",G66&lt;&gt;""),G66+ROW()/100000,"")</f>
        <v/>
      </c>
    </row>
    <row r="67" ht="30" customHeight="1">
      <c r="B67" s="128" t="str">
        <f>IF(C67="","",ROW()-14)</f>
        <v/>
      </c>
      <c r="C67" s="129" t="n"/>
      <c r="D67" s="129" t="n"/>
      <c r="E67" s="129" t="n"/>
      <c r="F67" s="130" t="n"/>
      <c r="G67" s="130" t="n"/>
      <c r="H67" s="131" t="n"/>
      <c r="I67" s="131" t="n"/>
      <c r="J67" s="131" t="n"/>
      <c r="K67" s="131" t="n"/>
      <c r="L67" s="132" t="n"/>
      <c r="M67" s="133" t="str">
        <f>IF(C67="","",IF(E67="Concluída",1,IF(AND(ISNUMBER(I67),ISNUMBER(J67),ISNUMBER(K67),K67&lt;&gt;I67),MAX(0,MIN(1,(J67-I67)/(K67-I67))),IF(ISNUMBER(L67),MAX(0,MIN(1,L67)),0))))</f>
        <v/>
      </c>
      <c r="N67" s="133" t="str">
        <f>IF(OR(C67="",F67="",G67=""),"",IF(G67&lt;=F67,1,MAX(0,MIN(1,(Hoje-F67)/(G67-F67)))))</f>
        <v/>
      </c>
      <c r="O67" s="128" t="str">
        <f>IF(C67="","",IF(OR(E67="Concluída",M67&gt;=1),"✔ Concluída",IF(E67="Pausada","‖ Pausada",IF(E67="Abandonada","– Abandonada",IF(N67="","○ Sem prazo",IF(G67&lt;Hoje,"✖ Vencida",IF(M67&gt;=N67-0.1,"✔ No ritmo",IF(M67&gt;=N67-0.25,"▲ Atenção","✖ Atrasada"))))))))</f>
        <v/>
      </c>
      <c r="P67" s="134" t="str">
        <f>IF(OR(C67="",G67="",O67="✔ Concluída"),"",G67-Hoje)</f>
        <v/>
      </c>
      <c r="Q67" s="128" t="str">
        <f>IF(OR(C67="",G67=""),"",IF(G67-IF(F67="",Hoje,F67)&lt;=183,"Curto",IF(G67-IF(F67="",Hoje,F67)&lt;=731,"Médio","Longo")))</f>
        <v/>
      </c>
      <c r="R67" s="128" t="str">
        <f>IF(C67="","",COUNTIFS('Tarefas'!$I$34:$I$333,C67,'Tarefas'!$G$34:$G$333,"&lt;&gt;Concluída",'Tarefas'!$G$34:$G$333,"&lt;&gt;Cancelada"))</f>
        <v/>
      </c>
      <c r="S67" s="135" t="n"/>
      <c r="T67" s="135" t="n"/>
      <c r="U67">
        <f>IF(C67="",0,IF(OR(E67="Pausada",E67="Abandonada"),0,1))</f>
        <v>0</v>
      </c>
      <c r="V67">
        <f>IF(U67=0,0,IF(OR(O67="✔ Concluída",O67="✔ No ritmo",O67="○ Sem prazo"),1,0))</f>
        <v>0</v>
      </c>
      <c r="W67" t="str">
        <f>IF(AND(U67=1,O67&lt;&gt;"✔ Concluída",G67&lt;&gt;""),G67+ROW()/100000,"")</f>
        <v/>
      </c>
    </row>
    <row r="68" ht="30" customHeight="1">
      <c r="B68" s="128" t="str">
        <f>IF(C68="","",ROW()-14)</f>
        <v/>
      </c>
      <c r="C68" s="129" t="n"/>
      <c r="D68" s="129" t="n"/>
      <c r="E68" s="129" t="n"/>
      <c r="F68" s="130" t="n"/>
      <c r="G68" s="130" t="n"/>
      <c r="H68" s="131" t="n"/>
      <c r="I68" s="131" t="n"/>
      <c r="J68" s="131" t="n"/>
      <c r="K68" s="131" t="n"/>
      <c r="L68" s="132" t="n"/>
      <c r="M68" s="133" t="str">
        <f>IF(C68="","",IF(E68="Concluída",1,IF(AND(ISNUMBER(I68),ISNUMBER(J68),ISNUMBER(K68),K68&lt;&gt;I68),MAX(0,MIN(1,(J68-I68)/(K68-I68))),IF(ISNUMBER(L68),MAX(0,MIN(1,L68)),0))))</f>
        <v/>
      </c>
      <c r="N68" s="133" t="str">
        <f>IF(OR(C68="",F68="",G68=""),"",IF(G68&lt;=F68,1,MAX(0,MIN(1,(Hoje-F68)/(G68-F68)))))</f>
        <v/>
      </c>
      <c r="O68" s="128" t="str">
        <f>IF(C68="","",IF(OR(E68="Concluída",M68&gt;=1),"✔ Concluída",IF(E68="Pausada","‖ Pausada",IF(E68="Abandonada","– Abandonada",IF(N68="","○ Sem prazo",IF(G68&lt;Hoje,"✖ Vencida",IF(M68&gt;=N68-0.1,"✔ No ritmo",IF(M68&gt;=N68-0.25,"▲ Atenção","✖ Atrasada"))))))))</f>
        <v/>
      </c>
      <c r="P68" s="134" t="str">
        <f>IF(OR(C68="",G68="",O68="✔ Concluída"),"",G68-Hoje)</f>
        <v/>
      </c>
      <c r="Q68" s="128" t="str">
        <f>IF(OR(C68="",G68=""),"",IF(G68-IF(F68="",Hoje,F68)&lt;=183,"Curto",IF(G68-IF(F68="",Hoje,F68)&lt;=731,"Médio","Longo")))</f>
        <v/>
      </c>
      <c r="R68" s="128" t="str">
        <f>IF(C68="","",COUNTIFS('Tarefas'!$I$34:$I$333,C68,'Tarefas'!$G$34:$G$333,"&lt;&gt;Concluída",'Tarefas'!$G$34:$G$333,"&lt;&gt;Cancelada"))</f>
        <v/>
      </c>
      <c r="S68" s="135" t="n"/>
      <c r="T68" s="135" t="n"/>
      <c r="U68">
        <f>IF(C68="",0,IF(OR(E68="Pausada",E68="Abandonada"),0,1))</f>
        <v>0</v>
      </c>
      <c r="V68">
        <f>IF(U68=0,0,IF(OR(O68="✔ Concluída",O68="✔ No ritmo",O68="○ Sem prazo"),1,0))</f>
        <v>0</v>
      </c>
      <c r="W68" t="str">
        <f>IF(AND(U68=1,O68&lt;&gt;"✔ Concluída",G68&lt;&gt;""),G68+ROW()/100000,"")</f>
        <v/>
      </c>
    </row>
    <row r="69" ht="30" customHeight="1">
      <c r="B69" s="128" t="str">
        <f>IF(C69="","",ROW()-14)</f>
        <v/>
      </c>
      <c r="C69" s="129" t="n"/>
      <c r="D69" s="129" t="n"/>
      <c r="E69" s="129" t="n"/>
      <c r="F69" s="130" t="n"/>
      <c r="G69" s="130" t="n"/>
      <c r="H69" s="131" t="n"/>
      <c r="I69" s="131" t="n"/>
      <c r="J69" s="131" t="n"/>
      <c r="K69" s="131" t="n"/>
      <c r="L69" s="132" t="n"/>
      <c r="M69" s="133" t="str">
        <f>IF(C69="","",IF(E69="Concluída",1,IF(AND(ISNUMBER(I69),ISNUMBER(J69),ISNUMBER(K69),K69&lt;&gt;I69),MAX(0,MIN(1,(J69-I69)/(K69-I69))),IF(ISNUMBER(L69),MAX(0,MIN(1,L69)),0))))</f>
        <v/>
      </c>
      <c r="N69" s="133" t="str">
        <f>IF(OR(C69="",F69="",G69=""),"",IF(G69&lt;=F69,1,MAX(0,MIN(1,(Hoje-F69)/(G69-F69)))))</f>
        <v/>
      </c>
      <c r="O69" s="128" t="str">
        <f>IF(C69="","",IF(OR(E69="Concluída",M69&gt;=1),"✔ Concluída",IF(E69="Pausada","‖ Pausada",IF(E69="Abandonada","– Abandonada",IF(N69="","○ Sem prazo",IF(G69&lt;Hoje,"✖ Vencida",IF(M69&gt;=N69-0.1,"✔ No ritmo",IF(M69&gt;=N69-0.25,"▲ Atenção","✖ Atrasada"))))))))</f>
        <v/>
      </c>
      <c r="P69" s="134" t="str">
        <f>IF(OR(C69="",G69="",O69="✔ Concluída"),"",G69-Hoje)</f>
        <v/>
      </c>
      <c r="Q69" s="128" t="str">
        <f>IF(OR(C69="",G69=""),"",IF(G69-IF(F69="",Hoje,F69)&lt;=183,"Curto",IF(G69-IF(F69="",Hoje,F69)&lt;=731,"Médio","Longo")))</f>
        <v/>
      </c>
      <c r="R69" s="128" t="str">
        <f>IF(C69="","",COUNTIFS('Tarefas'!$I$34:$I$333,C69,'Tarefas'!$G$34:$G$333,"&lt;&gt;Concluída",'Tarefas'!$G$34:$G$333,"&lt;&gt;Cancelada"))</f>
        <v/>
      </c>
      <c r="S69" s="135" t="n"/>
      <c r="T69" s="135" t="n"/>
      <c r="U69">
        <f>IF(C69="",0,IF(OR(E69="Pausada",E69="Abandonada"),0,1))</f>
        <v>0</v>
      </c>
      <c r="V69">
        <f>IF(U69=0,0,IF(OR(O69="✔ Concluída",O69="✔ No ritmo",O69="○ Sem prazo"),1,0))</f>
        <v>0</v>
      </c>
      <c r="W69" t="str">
        <f>IF(AND(U69=1,O69&lt;&gt;"✔ Concluída",G69&lt;&gt;""),G69+ROW()/100000,"")</f>
        <v/>
      </c>
    </row>
    <row r="70" ht="30" customHeight="1">
      <c r="B70" s="128" t="str">
        <f>IF(C70="","",ROW()-14)</f>
        <v/>
      </c>
      <c r="C70" s="129" t="n"/>
      <c r="D70" s="129" t="n"/>
      <c r="E70" s="129" t="n"/>
      <c r="F70" s="130" t="n"/>
      <c r="G70" s="130" t="n"/>
      <c r="H70" s="131" t="n"/>
      <c r="I70" s="131" t="n"/>
      <c r="J70" s="131" t="n"/>
      <c r="K70" s="131" t="n"/>
      <c r="L70" s="132" t="n"/>
      <c r="M70" s="133" t="str">
        <f>IF(C70="","",IF(E70="Concluída",1,IF(AND(ISNUMBER(I70),ISNUMBER(J70),ISNUMBER(K70),K70&lt;&gt;I70),MAX(0,MIN(1,(J70-I70)/(K70-I70))),IF(ISNUMBER(L70),MAX(0,MIN(1,L70)),0))))</f>
        <v/>
      </c>
      <c r="N70" s="133" t="str">
        <f>IF(OR(C70="",F70="",G70=""),"",IF(G70&lt;=F70,1,MAX(0,MIN(1,(Hoje-F70)/(G70-F70)))))</f>
        <v/>
      </c>
      <c r="O70" s="128" t="str">
        <f>IF(C70="","",IF(OR(E70="Concluída",M70&gt;=1),"✔ Concluída",IF(E70="Pausada","‖ Pausada",IF(E70="Abandonada","– Abandonada",IF(N70="","○ Sem prazo",IF(G70&lt;Hoje,"✖ Vencida",IF(M70&gt;=N70-0.1,"✔ No ritmo",IF(M70&gt;=N70-0.25,"▲ Atenção","✖ Atrasada"))))))))</f>
        <v/>
      </c>
      <c r="P70" s="134" t="str">
        <f>IF(OR(C70="",G70="",O70="✔ Concluída"),"",G70-Hoje)</f>
        <v/>
      </c>
      <c r="Q70" s="128" t="str">
        <f>IF(OR(C70="",G70=""),"",IF(G70-IF(F70="",Hoje,F70)&lt;=183,"Curto",IF(G70-IF(F70="",Hoje,F70)&lt;=731,"Médio","Longo")))</f>
        <v/>
      </c>
      <c r="R70" s="128" t="str">
        <f>IF(C70="","",COUNTIFS('Tarefas'!$I$34:$I$333,C70,'Tarefas'!$G$34:$G$333,"&lt;&gt;Concluída",'Tarefas'!$G$34:$G$333,"&lt;&gt;Cancelada"))</f>
        <v/>
      </c>
      <c r="S70" s="135" t="n"/>
      <c r="T70" s="135" t="n"/>
      <c r="U70">
        <f>IF(C70="",0,IF(OR(E70="Pausada",E70="Abandonada"),0,1))</f>
        <v>0</v>
      </c>
      <c r="V70">
        <f>IF(U70=0,0,IF(OR(O70="✔ Concluída",O70="✔ No ritmo",O70="○ Sem prazo"),1,0))</f>
        <v>0</v>
      </c>
      <c r="W70" t="str">
        <f>IF(AND(U70=1,O70&lt;&gt;"✔ Concluída",G70&lt;&gt;""),G70+ROW()/100000,"")</f>
        <v/>
      </c>
    </row>
    <row r="71" ht="30" customHeight="1">
      <c r="B71" s="128" t="str">
        <f>IF(C71="","",ROW()-14)</f>
        <v/>
      </c>
      <c r="C71" s="129" t="n"/>
      <c r="D71" s="129" t="n"/>
      <c r="E71" s="129" t="n"/>
      <c r="F71" s="130" t="n"/>
      <c r="G71" s="130" t="n"/>
      <c r="H71" s="131" t="n"/>
      <c r="I71" s="131" t="n"/>
      <c r="J71" s="131" t="n"/>
      <c r="K71" s="131" t="n"/>
      <c r="L71" s="132" t="n"/>
      <c r="M71" s="133" t="str">
        <f>IF(C71="","",IF(E71="Concluída",1,IF(AND(ISNUMBER(I71),ISNUMBER(J71),ISNUMBER(K71),K71&lt;&gt;I71),MAX(0,MIN(1,(J71-I71)/(K71-I71))),IF(ISNUMBER(L71),MAX(0,MIN(1,L71)),0))))</f>
        <v/>
      </c>
      <c r="N71" s="133" t="str">
        <f>IF(OR(C71="",F71="",G71=""),"",IF(G71&lt;=F71,1,MAX(0,MIN(1,(Hoje-F71)/(G71-F71)))))</f>
        <v/>
      </c>
      <c r="O71" s="128" t="str">
        <f>IF(C71="","",IF(OR(E71="Concluída",M71&gt;=1),"✔ Concluída",IF(E71="Pausada","‖ Pausada",IF(E71="Abandonada","– Abandonada",IF(N71="","○ Sem prazo",IF(G71&lt;Hoje,"✖ Vencida",IF(M71&gt;=N71-0.1,"✔ No ritmo",IF(M71&gt;=N71-0.25,"▲ Atenção","✖ Atrasada"))))))))</f>
        <v/>
      </c>
      <c r="P71" s="134" t="str">
        <f>IF(OR(C71="",G71="",O71="✔ Concluída"),"",G71-Hoje)</f>
        <v/>
      </c>
      <c r="Q71" s="128" t="str">
        <f>IF(OR(C71="",G71=""),"",IF(G71-IF(F71="",Hoje,F71)&lt;=183,"Curto",IF(G71-IF(F71="",Hoje,F71)&lt;=731,"Médio","Longo")))</f>
        <v/>
      </c>
      <c r="R71" s="128" t="str">
        <f>IF(C71="","",COUNTIFS('Tarefas'!$I$34:$I$333,C71,'Tarefas'!$G$34:$G$333,"&lt;&gt;Concluída",'Tarefas'!$G$34:$G$333,"&lt;&gt;Cancelada"))</f>
        <v/>
      </c>
      <c r="S71" s="135" t="n"/>
      <c r="T71" s="135" t="n"/>
      <c r="U71">
        <f>IF(C71="",0,IF(OR(E71="Pausada",E71="Abandonada"),0,1))</f>
        <v>0</v>
      </c>
      <c r="V71">
        <f>IF(U71=0,0,IF(OR(O71="✔ Concluída",O71="✔ No ritmo",O71="○ Sem prazo"),1,0))</f>
        <v>0</v>
      </c>
      <c r="W71" t="str">
        <f>IF(AND(U71=1,O71&lt;&gt;"✔ Concluída",G71&lt;&gt;""),G71+ROW()/100000,"")</f>
        <v/>
      </c>
    </row>
    <row r="72" ht="30" customHeight="1">
      <c r="B72" s="128" t="str">
        <f>IF(C72="","",ROW()-14)</f>
        <v/>
      </c>
      <c r="C72" s="129" t="n"/>
      <c r="D72" s="129" t="n"/>
      <c r="E72" s="129" t="n"/>
      <c r="F72" s="130" t="n"/>
      <c r="G72" s="130" t="n"/>
      <c r="H72" s="131" t="n"/>
      <c r="I72" s="131" t="n"/>
      <c r="J72" s="131" t="n"/>
      <c r="K72" s="131" t="n"/>
      <c r="L72" s="132" t="n"/>
      <c r="M72" s="133" t="str">
        <f>IF(C72="","",IF(E72="Concluída",1,IF(AND(ISNUMBER(I72),ISNUMBER(J72),ISNUMBER(K72),K72&lt;&gt;I72),MAX(0,MIN(1,(J72-I72)/(K72-I72))),IF(ISNUMBER(L72),MAX(0,MIN(1,L72)),0))))</f>
        <v/>
      </c>
      <c r="N72" s="133" t="str">
        <f>IF(OR(C72="",F72="",G72=""),"",IF(G72&lt;=F72,1,MAX(0,MIN(1,(Hoje-F72)/(G72-F72)))))</f>
        <v/>
      </c>
      <c r="O72" s="128" t="str">
        <f>IF(C72="","",IF(OR(E72="Concluída",M72&gt;=1),"✔ Concluída",IF(E72="Pausada","‖ Pausada",IF(E72="Abandonada","– Abandonada",IF(N72="","○ Sem prazo",IF(G72&lt;Hoje,"✖ Vencida",IF(M72&gt;=N72-0.1,"✔ No ritmo",IF(M72&gt;=N72-0.25,"▲ Atenção","✖ Atrasada"))))))))</f>
        <v/>
      </c>
      <c r="P72" s="134" t="str">
        <f>IF(OR(C72="",G72="",O72="✔ Concluída"),"",G72-Hoje)</f>
        <v/>
      </c>
      <c r="Q72" s="128" t="str">
        <f>IF(OR(C72="",G72=""),"",IF(G72-IF(F72="",Hoje,F72)&lt;=183,"Curto",IF(G72-IF(F72="",Hoje,F72)&lt;=731,"Médio","Longo")))</f>
        <v/>
      </c>
      <c r="R72" s="128" t="str">
        <f>IF(C72="","",COUNTIFS('Tarefas'!$I$34:$I$333,C72,'Tarefas'!$G$34:$G$333,"&lt;&gt;Concluída",'Tarefas'!$G$34:$G$333,"&lt;&gt;Cancelada"))</f>
        <v/>
      </c>
      <c r="S72" s="135" t="n"/>
      <c r="T72" s="135" t="n"/>
      <c r="U72">
        <f>IF(C72="",0,IF(OR(E72="Pausada",E72="Abandonada"),0,1))</f>
        <v>0</v>
      </c>
      <c r="V72">
        <f>IF(U72=0,0,IF(OR(O72="✔ Concluída",O72="✔ No ritmo",O72="○ Sem prazo"),1,0))</f>
        <v>0</v>
      </c>
      <c r="W72" t="str">
        <f>IF(AND(U72=1,O72&lt;&gt;"✔ Concluída",G72&lt;&gt;""),G72+ROW()/100000,"")</f>
        <v/>
      </c>
    </row>
    <row r="73" ht="30" customHeight="1">
      <c r="B73" s="128" t="str">
        <f>IF(C73="","",ROW()-14)</f>
        <v/>
      </c>
      <c r="C73" s="129" t="n"/>
      <c r="D73" s="129" t="n"/>
      <c r="E73" s="129" t="n"/>
      <c r="F73" s="130" t="n"/>
      <c r="G73" s="130" t="n"/>
      <c r="H73" s="131" t="n"/>
      <c r="I73" s="131" t="n"/>
      <c r="J73" s="131" t="n"/>
      <c r="K73" s="131" t="n"/>
      <c r="L73" s="132" t="n"/>
      <c r="M73" s="133" t="str">
        <f>IF(C73="","",IF(E73="Concluída",1,IF(AND(ISNUMBER(I73),ISNUMBER(J73),ISNUMBER(K73),K73&lt;&gt;I73),MAX(0,MIN(1,(J73-I73)/(K73-I73))),IF(ISNUMBER(L73),MAX(0,MIN(1,L73)),0))))</f>
        <v/>
      </c>
      <c r="N73" s="133" t="str">
        <f>IF(OR(C73="",F73="",G73=""),"",IF(G73&lt;=F73,1,MAX(0,MIN(1,(Hoje-F73)/(G73-F73)))))</f>
        <v/>
      </c>
      <c r="O73" s="128" t="str">
        <f>IF(C73="","",IF(OR(E73="Concluída",M73&gt;=1),"✔ Concluída",IF(E73="Pausada","‖ Pausada",IF(E73="Abandonada","– Abandonada",IF(N73="","○ Sem prazo",IF(G73&lt;Hoje,"✖ Vencida",IF(M73&gt;=N73-0.1,"✔ No ritmo",IF(M73&gt;=N73-0.25,"▲ Atenção","✖ Atrasada"))))))))</f>
        <v/>
      </c>
      <c r="P73" s="134" t="str">
        <f>IF(OR(C73="",G73="",O73="✔ Concluída"),"",G73-Hoje)</f>
        <v/>
      </c>
      <c r="Q73" s="128" t="str">
        <f>IF(OR(C73="",G73=""),"",IF(G73-IF(F73="",Hoje,F73)&lt;=183,"Curto",IF(G73-IF(F73="",Hoje,F73)&lt;=731,"Médio","Longo")))</f>
        <v/>
      </c>
      <c r="R73" s="128" t="str">
        <f>IF(C73="","",COUNTIFS('Tarefas'!$I$34:$I$333,C73,'Tarefas'!$G$34:$G$333,"&lt;&gt;Concluída",'Tarefas'!$G$34:$G$333,"&lt;&gt;Cancelada"))</f>
        <v/>
      </c>
      <c r="S73" s="135" t="n"/>
      <c r="T73" s="135" t="n"/>
      <c r="U73">
        <f>IF(C73="",0,IF(OR(E73="Pausada",E73="Abandonada"),0,1))</f>
        <v>0</v>
      </c>
      <c r="V73">
        <f>IF(U73=0,0,IF(OR(O73="✔ Concluída",O73="✔ No ritmo",O73="○ Sem prazo"),1,0))</f>
        <v>0</v>
      </c>
      <c r="W73" t="str">
        <f>IF(AND(U73=1,O73&lt;&gt;"✔ Concluída",G73&lt;&gt;""),G73+ROW()/100000,"")</f>
        <v/>
      </c>
    </row>
    <row r="74" ht="30" customHeight="1">
      <c r="B74" s="128" t="str">
        <f>IF(C74="","",ROW()-14)</f>
        <v/>
      </c>
      <c r="C74" s="129" t="n"/>
      <c r="D74" s="129" t="n"/>
      <c r="E74" s="129" t="n"/>
      <c r="F74" s="130" t="n"/>
      <c r="G74" s="130" t="n"/>
      <c r="H74" s="131" t="n"/>
      <c r="I74" s="131" t="n"/>
      <c r="J74" s="131" t="n"/>
      <c r="K74" s="131" t="n"/>
      <c r="L74" s="132" t="n"/>
      <c r="M74" s="133" t="str">
        <f>IF(C74="","",IF(E74="Concluída",1,IF(AND(ISNUMBER(I74),ISNUMBER(J74),ISNUMBER(K74),K74&lt;&gt;I74),MAX(0,MIN(1,(J74-I74)/(K74-I74))),IF(ISNUMBER(L74),MAX(0,MIN(1,L74)),0))))</f>
        <v/>
      </c>
      <c r="N74" s="133" t="str">
        <f>IF(OR(C74="",F74="",G74=""),"",IF(G74&lt;=F74,1,MAX(0,MIN(1,(Hoje-F74)/(G74-F74)))))</f>
        <v/>
      </c>
      <c r="O74" s="128" t="str">
        <f>IF(C74="","",IF(OR(E74="Concluída",M74&gt;=1),"✔ Concluída",IF(E74="Pausada","‖ Pausada",IF(E74="Abandonada","– Abandonada",IF(N74="","○ Sem prazo",IF(G74&lt;Hoje,"✖ Vencida",IF(M74&gt;=N74-0.1,"✔ No ritmo",IF(M74&gt;=N74-0.25,"▲ Atenção","✖ Atrasada"))))))))</f>
        <v/>
      </c>
      <c r="P74" s="134" t="str">
        <f>IF(OR(C74="",G74="",O74="✔ Concluída"),"",G74-Hoje)</f>
        <v/>
      </c>
      <c r="Q74" s="128" t="str">
        <f>IF(OR(C74="",G74=""),"",IF(G74-IF(F74="",Hoje,F74)&lt;=183,"Curto",IF(G74-IF(F74="",Hoje,F74)&lt;=731,"Médio","Longo")))</f>
        <v/>
      </c>
      <c r="R74" s="128" t="str">
        <f>IF(C74="","",COUNTIFS('Tarefas'!$I$34:$I$333,C74,'Tarefas'!$G$34:$G$333,"&lt;&gt;Concluída",'Tarefas'!$G$34:$G$333,"&lt;&gt;Cancelada"))</f>
        <v/>
      </c>
      <c r="S74" s="135" t="n"/>
      <c r="T74" s="135" t="n"/>
      <c r="U74">
        <f>IF(C74="",0,IF(OR(E74="Pausada",E74="Abandonada"),0,1))</f>
        <v>0</v>
      </c>
      <c r="V74">
        <f>IF(U74=0,0,IF(OR(O74="✔ Concluída",O74="✔ No ritmo",O74="○ Sem prazo"),1,0))</f>
        <v>0</v>
      </c>
      <c r="W74" t="str">
        <f>IF(AND(U74=1,O74&lt;&gt;"✔ Concluída",G74&lt;&gt;""),G74+ROW()/100000,"")</f>
        <v/>
      </c>
    </row>
  </sheetData>
  <autoFilter ref="B14:T74"/>
  <mergeCells count="23">
    <mergeCell ref="D10:E10"/>
    <mergeCell ref="B7:C7"/>
    <mergeCell ref="I12:K12"/>
    <mergeCell ref="L10:N10"/>
    <mergeCell ref="D11:E11"/>
    <mergeCell ref="D6:T6"/>
    <mergeCell ref="O12:T12"/>
    <mergeCell ref="B8:C8"/>
    <mergeCell ref="O11:T11"/>
    <mergeCell ref="I10:K10"/>
    <mergeCell ref="L11:N11"/>
    <mergeCell ref="D7:T7"/>
    <mergeCell ref="F11:H11"/>
    <mergeCell ref="D12:E12"/>
    <mergeCell ref="B6:C6"/>
    <mergeCell ref="F10:H10"/>
    <mergeCell ref="I11:K11"/>
    <mergeCell ref="O10:T10"/>
    <mergeCell ref="B5:C5"/>
    <mergeCell ref="D8:T8"/>
    <mergeCell ref="F12:H12"/>
    <mergeCell ref="L12:N12"/>
    <mergeCell ref="D5:T5"/>
  </mergeCells>
  <conditionalFormatting sqref="B12:T12">
    <cfRule type="expression" priority="1" dxfId="5">
      <formula>LEFT(B12,1)="✔"</formula>
    </cfRule>
    <cfRule type="expression" priority="2" dxfId="6">
      <formula>LEFT(B12,1)="▲"</formula>
    </cfRule>
    <cfRule type="expression" priority="3" dxfId="7">
      <formula>LEFT(B12,1)="✖"</formula>
    </cfRule>
    <cfRule type="expression" priority="4" dxfId="8">
      <formula>LEFT(B12,1)="○"</formula>
    </cfRule>
    <cfRule type="expression" priority="5" dxfId="8">
      <formula>LEFT(B12,1)="‖"</formula>
    </cfRule>
    <cfRule type="expression" priority="6" dxfId="8">
      <formula>LEFT(B12,1)="–"</formula>
    </cfRule>
  </conditionalFormatting>
  <conditionalFormatting sqref="M15:M74">
    <cfRule type="dataBar" priority="7">
      <dataBar showValue="1">
        <cfvo type="num" val="0"/>
        <cfvo type="num" val="1"/>
        <color rgb="002A78D6"/>
      </dataBar>
    </cfRule>
  </conditionalFormatting>
  <conditionalFormatting sqref="O15:O74">
    <cfRule type="expression" priority="8" dxfId="5">
      <formula>LEFT(O15,1)="✔"</formula>
    </cfRule>
    <cfRule type="expression" priority="9" dxfId="6">
      <formula>LEFT(O15,1)="▲"</formula>
    </cfRule>
    <cfRule type="expression" priority="10" dxfId="7">
      <formula>LEFT(O15,1)="✖"</formula>
    </cfRule>
    <cfRule type="expression" priority="11" dxfId="8">
      <formula>LEFT(O15,1)="○"</formula>
    </cfRule>
    <cfRule type="expression" priority="12" dxfId="8">
      <formula>LEFT(O15,1)="‖"</formula>
    </cfRule>
    <cfRule type="expression" priority="13" dxfId="8">
      <formula>LEFT(O15,1)="–"</formula>
    </cfRule>
  </conditionalFormatting>
  <conditionalFormatting sqref="C15:C74">
    <cfRule type="expression" priority="14" dxfId="12">
      <formula>$O15="✔ Concluída"</formula>
    </cfRule>
  </conditionalFormatting>
  <dataValidations count="4">
    <dataValidation sqref="D15:D74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15:E74" showDropDown="0" showInputMessage="1" showErrorMessage="1" allowBlank="1" errorTitle="Valor fora da lista" error="Escolha um item da lista (as listas ficam na aba Config)." prompt="Deixe 'Ativa' enquanto estiver perseguindo a meta" type="list" errorStyle="stop">
      <formula1>lst_StatusMeta</formula1>
    </dataValidation>
    <dataValidation sqref="F15:G74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L15:L74" showDropDown="0" showInputMessage="1" showErrorMessage="1" allowBlank="1" errorTitle="Valor inválido" error="Use um número entre 0 e 1." promptTitle="" prompt="Só para metas sem número (marcos). Ex.: 40%. Se preencher inicial/atual/alvo, este campo é ignorado." type="decimal" operator="between">
      <formula1>0</formula1>
      <formula2>1</formula2>
    </dataValidation>
  </dataValidations>
  <hyperlinks>
    <hyperlink ref="T1" location="'Dashboard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/>
  </sheetPr>
  <dimension ref="A1:N333"/>
  <sheetViews>
    <sheetView showGridLines="0" tabSelected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22" customWidth="1" min="3" max="3"/>
    <col width="18" customWidth="1" min="4" max="4"/>
    <col width="12" customWidth="1" min="5" max="5"/>
    <col width="12" customWidth="1" min="6" max="6"/>
    <col width="14" customWidth="1" min="7" max="7"/>
    <col width="13" customWidth="1" min="8" max="8"/>
    <col width="26" customWidth="1" min="9" max="9"/>
    <col width="9" customWidth="1" min="10" max="10"/>
    <col width="17" customWidth="1" min="11" max="11"/>
    <col width="18" customWidth="1" min="12" max="12"/>
    <col width="36" customWidth="1" min="13" max="13"/>
    <col hidden="1" width="13" customWidth="1" min="14" max="14"/>
  </cols>
  <sheetData>
    <row r="1" ht="34" customHeight="1">
      <c r="A1" s="96" t="n"/>
      <c r="B1" s="97" t="inlineStr">
        <is>
          <t>Tarefas &amp; projetos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98" t="inlineStr">
        <is>
          <t>◀ Dashboard</t>
        </is>
      </c>
    </row>
    <row r="2" ht="18" customHeight="1">
      <c r="A2" s="96" t="n"/>
      <c r="B2" s="99" t="inlineStr">
        <is>
          <t>Projetos agrupam tarefas; tarefas podem apontar para uma meta. Alertas e prioridade (matriz de Eisenhower) são automáticos.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118" t="inlineStr">
        <is>
          <t>TAREFAS ABERTAS</t>
        </is>
      </c>
      <c r="C5" s="119" t="inlineStr">
        <is>
          <t>ATRASADAS</t>
        </is>
      </c>
      <c r="D5" s="120" t="n"/>
      <c r="E5" s="119" t="inlineStr">
        <is>
          <t>VENCEM EM ATÉ 7 DIAS</t>
        </is>
      </c>
      <c r="F5" s="121" t="n"/>
      <c r="G5" s="120" t="n"/>
      <c r="H5" s="119" t="inlineStr">
        <is>
          <t>CONCLUÍDAS NO MÊS</t>
        </is>
      </c>
      <c r="I5" s="120" t="n"/>
      <c r="J5" s="119" t="inlineStr">
        <is>
          <t>ENTREGUES NO PRAZO (MÊS)</t>
        </is>
      </c>
      <c r="K5" s="121" t="n"/>
      <c r="L5" s="120" t="n"/>
      <c r="M5" s="118" t="inlineStr">
        <is>
          <t>PROJETOS EM ANDAMENTO</t>
        </is>
      </c>
    </row>
    <row r="6" ht="28" customHeight="1">
      <c r="B6" s="122">
        <f>COUNTIFS($B$34:$B$333,"?*",$G$34:$G$333,"&lt;&gt;Concluída",$G$34:$G$333,"&lt;&gt;Cancelada")</f>
        <v>0</v>
      </c>
      <c r="C6" s="123">
        <f>COUNTIF($K$34:$K$333,"✖*")</f>
        <v>0</v>
      </c>
      <c r="D6" s="32" t="n"/>
      <c r="E6" s="123">
        <f>COUNTIF($K$34:$K$333,"▲*")</f>
        <v>0</v>
      </c>
      <c r="F6" s="31" t="n"/>
      <c r="G6" s="32" t="n"/>
      <c r="H6" s="123">
        <f>COUNTIFS($G$34:$G$333,"Concluída",$H$34:$H$333,"&gt;="&amp;RefIni,$H$34:$H$333,"&lt;="&amp;RefFim)</f>
        <v>0</v>
      </c>
      <c r="I6" s="32" t="n"/>
      <c r="J6" s="124" t="str">
        <f>IFERROR(SUMPRODUCT(($G$34:$G$333="Concluída")*($H$34:$H$333&gt;=RefIni)*($H$34:$H$333&lt;=RefFim)*($F$34:$F$333&lt;&gt;"")*($H$34:$H$333&lt;=$F$34:$F$333))/SUMPRODUCT(($G$34:$G$333="Concluída")*($H$34:$H$333&gt;=RefIni)*($H$34:$H$333&lt;=RefFim)*($F$34:$F$333&lt;&gt;"")),"–")</f>
        <v>–</v>
      </c>
      <c r="K6" s="31" t="n"/>
      <c r="L6" s="32" t="n"/>
      <c r="M6" s="122">
        <f>COUNTIF($D$11:$D$30,"Em andamento")</f>
        <v>0</v>
      </c>
    </row>
    <row r="7" ht="25" customHeight="1">
      <c r="B7" s="126" t="str">
        <f>"Alta prioridade: "&amp;COUNTIFS($E$34:$E$333,"Alta",$K$34:$K$333,"&lt;&gt;✔*",$K$34:$K$333,"&lt;&gt;–*",$B$34:$B$333,"?*")</f>
        <v>Alta prioridade: 0</v>
      </c>
      <c r="C7" s="127" t="str">
        <f>IF(C6&gt;0,"✖ resolva ou replaneje","✔ nada atrasado")</f>
        <v>✔ nada atrasado</v>
      </c>
      <c r="D7" s="38" t="n"/>
      <c r="E7" s="127" t="str">
        <f>"inclui as que vencem hoje"</f>
        <v>inclui as que vencem hoje</v>
      </c>
      <c r="F7" s="37" t="n"/>
      <c r="G7" s="38" t="n"/>
      <c r="H7" s="127" t="str">
        <f>"Mês: "&amp;RotuloMes</f>
        <v>Mês: Outubro 2026</v>
      </c>
      <c r="I7" s="38" t="n"/>
      <c r="J7" s="127" t="str">
        <f>IF(ISNUMBER(J6),IF(J6&gt;=0.8,"✔ ","▲ ")&amp;"das concluídas com prazo","○ Nenhuma concluída com prazo")</f>
        <v>○ Nenhuma concluída com prazo</v>
      </c>
      <c r="K7" s="37" t="n"/>
      <c r="L7" s="38" t="n"/>
      <c r="M7" s="126" t="str">
        <f>"Ideias guardadas: "&amp;COUNTIF($D$11:$D$30,"Ideia")</f>
        <v>Ideias guardadas: 0</v>
      </c>
    </row>
    <row r="9" ht="22" customHeight="1">
      <c r="B9" s="101" t="inlineStr">
        <is>
          <t>PROJETOS · inclui o banco de ideias (status 'Ideia')</t>
        </is>
      </c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</row>
    <row r="10" ht="30" customHeight="1">
      <c r="B10" s="103" t="inlineStr">
        <is>
          <t>Projeto</t>
        </is>
      </c>
      <c r="C10" s="103" t="inlineStr">
        <is>
          <t>Área da vida</t>
        </is>
      </c>
      <c r="D10" s="103" t="inlineStr">
        <is>
          <t>Status</t>
        </is>
      </c>
      <c r="E10" s="103" t="inlineStr">
        <is>
          <t>Início</t>
        </is>
      </c>
      <c r="F10" s="103" t="inlineStr">
        <is>
          <t>Prazo</t>
        </is>
      </c>
      <c r="G10" s="104" t="inlineStr">
        <is>
          <t>Tarefas</t>
        </is>
      </c>
      <c r="H10" s="104" t="inlineStr">
        <is>
          <t>Concluídas</t>
        </is>
      </c>
      <c r="I10" s="103" t="inlineStr">
        <is>
          <t>Meta vinculada</t>
        </is>
      </c>
      <c r="J10" s="104" t="inlineStr">
        <is>
          <t>%</t>
        </is>
      </c>
      <c r="K10" s="104" t="inlineStr">
        <is>
          <t>Atrasadas</t>
        </is>
      </c>
      <c r="L10" s="104" t="inlineStr">
        <is>
          <t>Próxima entrega</t>
        </is>
      </c>
      <c r="M10" s="103" t="inlineStr">
        <is>
          <t>Descrição / notas</t>
        </is>
      </c>
    </row>
    <row r="11">
      <c r="B11" s="129" t="n"/>
      <c r="C11" s="129" t="n"/>
      <c r="D11" s="129" t="n"/>
      <c r="E11" s="130" t="n"/>
      <c r="F11" s="130" t="n"/>
      <c r="G11" s="128" t="str">
        <f>IF(B11="","",COUNTIF($C$34:$C$333,B11))</f>
        <v/>
      </c>
      <c r="H11" s="128" t="str">
        <f>IF(B11="","",COUNTIFS($C$34:$C$333,B11,$G$34:$G$333,"Concluída"))</f>
        <v/>
      </c>
      <c r="I11" s="129" t="n"/>
      <c r="J11" s="133" t="str">
        <f>IF(B11="","",IF(D11="Concluído",1,IF(G11-COUNTIFS($C$34:$C$333,B11,$G$34:$G$333,"Cancelada")&lt;=0,0,H11/(G11-COUNTIFS($C$34:$C$333,B11,$G$34:$G$333,"Cancelada")))))</f>
        <v/>
      </c>
      <c r="K11" s="136" t="str">
        <f>IF(B11="","",COUNTIFS($C$34:$C$333,B11,$K$34:$K$333,"✖*"))</f>
        <v/>
      </c>
      <c r="L11" s="137" t="str">
        <f>IF(B11="","",IF(SUMPRODUCT(MIN((($C$34:$C$333=B11)*($G$34:$G$333&lt;&gt;"Concluída")*($G$34:$G$333&lt;&gt;"Cancelada")*($F$34:$F$333&lt;&gt;""))*$F$34:$F$333+(1-(($C$34:$C$333=B11)*($G$34:$G$333&lt;&gt;"Concluída")*($G$34:$G$333&lt;&gt;"Cancelada")*($F$34:$F$333&lt;&gt;"")))*99999))&gt;=99999,"—",SUMPRODUCT(MIN((($C$34:$C$333=B11)*($G$34:$G$333&lt;&gt;"Concluída")*($G$34:$G$333&lt;&gt;"Cancelada")*($F$34:$F$333&lt;&gt;""))*$F$34:$F$333+(1-(($C$34:$C$333=B11)*($G$34:$G$333&lt;&gt;"Concluída")*($G$34:$G$333&lt;&gt;"Cancelada")*($F$34:$F$333&lt;&gt;"")))*99999))))</f>
        <v/>
      </c>
      <c r="M11" s="135" t="n"/>
    </row>
    <row r="12">
      <c r="B12" s="129" t="n"/>
      <c r="C12" s="129" t="n"/>
      <c r="D12" s="129" t="n"/>
      <c r="E12" s="130" t="n"/>
      <c r="F12" s="130" t="n"/>
      <c r="G12" s="128" t="str">
        <f>IF(B12="","",COUNTIF($C$34:$C$333,B12))</f>
        <v/>
      </c>
      <c r="H12" s="128" t="str">
        <f>IF(B12="","",COUNTIFS($C$34:$C$333,B12,$G$34:$G$333,"Concluída"))</f>
        <v/>
      </c>
      <c r="I12" s="129" t="n"/>
      <c r="J12" s="133" t="str">
        <f>IF(B12="","",IF(D12="Concluído",1,IF(G12-COUNTIFS($C$34:$C$333,B12,$G$34:$G$333,"Cancelada")&lt;=0,0,H12/(G12-COUNTIFS($C$34:$C$333,B12,$G$34:$G$333,"Cancelada")))))</f>
        <v/>
      </c>
      <c r="K12" s="136" t="str">
        <f>IF(B12="","",COUNTIFS($C$34:$C$333,B12,$K$34:$K$333,"✖*"))</f>
        <v/>
      </c>
      <c r="L12" s="137" t="str">
        <f>IF(B12="","",IF(SUMPRODUCT(MIN((($C$34:$C$333=B12)*($G$34:$G$333&lt;&gt;"Concluída")*($G$34:$G$333&lt;&gt;"Cancelada")*($F$34:$F$333&lt;&gt;""))*$F$34:$F$333+(1-(($C$34:$C$333=B12)*($G$34:$G$333&lt;&gt;"Concluída")*($G$34:$G$333&lt;&gt;"Cancelada")*($F$34:$F$333&lt;&gt;"")))*99999))&gt;=99999,"—",SUMPRODUCT(MIN((($C$34:$C$333=B12)*($G$34:$G$333&lt;&gt;"Concluída")*($G$34:$G$333&lt;&gt;"Cancelada")*($F$34:$F$333&lt;&gt;""))*$F$34:$F$333+(1-(($C$34:$C$333=B12)*($G$34:$G$333&lt;&gt;"Concluída")*($G$34:$G$333&lt;&gt;"Cancelada")*($F$34:$F$333&lt;&gt;"")))*99999))))</f>
        <v/>
      </c>
      <c r="M12" s="135" t="n"/>
    </row>
    <row r="13">
      <c r="B13" s="129" t="n"/>
      <c r="C13" s="129" t="n"/>
      <c r="D13" s="129" t="n"/>
      <c r="E13" s="130" t="n"/>
      <c r="F13" s="130" t="n"/>
      <c r="G13" s="128" t="str">
        <f>IF(B13="","",COUNTIF($C$34:$C$333,B13))</f>
        <v/>
      </c>
      <c r="H13" s="128" t="str">
        <f>IF(B13="","",COUNTIFS($C$34:$C$333,B13,$G$34:$G$333,"Concluída"))</f>
        <v/>
      </c>
      <c r="I13" s="129" t="n"/>
      <c r="J13" s="133" t="str">
        <f>IF(B13="","",IF(D13="Concluído",1,IF(G13-COUNTIFS($C$34:$C$333,B13,$G$34:$G$333,"Cancelada")&lt;=0,0,H13/(G13-COUNTIFS($C$34:$C$333,B13,$G$34:$G$333,"Cancelada")))))</f>
        <v/>
      </c>
      <c r="K13" s="136" t="str">
        <f>IF(B13="","",COUNTIFS($C$34:$C$333,B13,$K$34:$K$333,"✖*"))</f>
        <v/>
      </c>
      <c r="L13" s="137" t="str">
        <f>IF(B13="","",IF(SUMPRODUCT(MIN((($C$34:$C$333=B13)*($G$34:$G$333&lt;&gt;"Concluída")*($G$34:$G$333&lt;&gt;"Cancelada")*($F$34:$F$333&lt;&gt;""))*$F$34:$F$333+(1-(($C$34:$C$333=B13)*($G$34:$G$333&lt;&gt;"Concluída")*($G$34:$G$333&lt;&gt;"Cancelada")*($F$34:$F$333&lt;&gt;"")))*99999))&gt;=99999,"—",SUMPRODUCT(MIN((($C$34:$C$333=B13)*($G$34:$G$333&lt;&gt;"Concluída")*($G$34:$G$333&lt;&gt;"Cancelada")*($F$34:$F$333&lt;&gt;""))*$F$34:$F$333+(1-(($C$34:$C$333=B13)*($G$34:$G$333&lt;&gt;"Concluída")*($G$34:$G$333&lt;&gt;"Cancelada")*($F$34:$F$333&lt;&gt;"")))*99999))))</f>
        <v/>
      </c>
      <c r="M13" s="135" t="n"/>
    </row>
    <row r="14">
      <c r="B14" s="129" t="n"/>
      <c r="C14" s="129" t="n"/>
      <c r="D14" s="129" t="n"/>
      <c r="E14" s="130" t="n"/>
      <c r="F14" s="130" t="n"/>
      <c r="G14" s="128" t="str">
        <f>IF(B14="","",COUNTIF($C$34:$C$333,B14))</f>
        <v/>
      </c>
      <c r="H14" s="128" t="str">
        <f>IF(B14="","",COUNTIFS($C$34:$C$333,B14,$G$34:$G$333,"Concluída"))</f>
        <v/>
      </c>
      <c r="I14" s="129" t="n"/>
      <c r="J14" s="133" t="str">
        <f>IF(B14="","",IF(D14="Concluído",1,IF(G14-COUNTIFS($C$34:$C$333,B14,$G$34:$G$333,"Cancelada")&lt;=0,0,H14/(G14-COUNTIFS($C$34:$C$333,B14,$G$34:$G$333,"Cancelada")))))</f>
        <v/>
      </c>
      <c r="K14" s="136" t="str">
        <f>IF(B14="","",COUNTIFS($C$34:$C$333,B14,$K$34:$K$333,"✖*"))</f>
        <v/>
      </c>
      <c r="L14" s="137" t="str">
        <f>IF(B14="","",IF(SUMPRODUCT(MIN((($C$34:$C$333=B14)*($G$34:$G$333&lt;&gt;"Concluída")*($G$34:$G$333&lt;&gt;"Cancelada")*($F$34:$F$333&lt;&gt;""))*$F$34:$F$333+(1-(($C$34:$C$333=B14)*($G$34:$G$333&lt;&gt;"Concluída")*($G$34:$G$333&lt;&gt;"Cancelada")*($F$34:$F$333&lt;&gt;"")))*99999))&gt;=99999,"—",SUMPRODUCT(MIN((($C$34:$C$333=B14)*($G$34:$G$333&lt;&gt;"Concluída")*($G$34:$G$333&lt;&gt;"Cancelada")*($F$34:$F$333&lt;&gt;""))*$F$34:$F$333+(1-(($C$34:$C$333=B14)*($G$34:$G$333&lt;&gt;"Concluída")*($G$34:$G$333&lt;&gt;"Cancelada")*($F$34:$F$333&lt;&gt;"")))*99999))))</f>
        <v/>
      </c>
      <c r="M14" s="135" t="n"/>
    </row>
    <row r="15">
      <c r="B15" s="129" t="n"/>
      <c r="C15" s="129" t="n"/>
      <c r="D15" s="129" t="n"/>
      <c r="E15" s="130" t="n"/>
      <c r="F15" s="130" t="n"/>
      <c r="G15" s="128" t="str">
        <f>IF(B15="","",COUNTIF($C$34:$C$333,B15))</f>
        <v/>
      </c>
      <c r="H15" s="128" t="str">
        <f>IF(B15="","",COUNTIFS($C$34:$C$333,B15,$G$34:$G$333,"Concluída"))</f>
        <v/>
      </c>
      <c r="I15" s="129" t="n"/>
      <c r="J15" s="133" t="str">
        <f>IF(B15="","",IF(D15="Concluído",1,IF(G15-COUNTIFS($C$34:$C$333,B15,$G$34:$G$333,"Cancelada")&lt;=0,0,H15/(G15-COUNTIFS($C$34:$C$333,B15,$G$34:$G$333,"Cancelada")))))</f>
        <v/>
      </c>
      <c r="K15" s="136" t="str">
        <f>IF(B15="","",COUNTIFS($C$34:$C$333,B15,$K$34:$K$333,"✖*"))</f>
        <v/>
      </c>
      <c r="L15" s="137" t="str">
        <f>IF(B15="","",IF(SUMPRODUCT(MIN((($C$34:$C$333=B15)*($G$34:$G$333&lt;&gt;"Concluída")*($G$34:$G$333&lt;&gt;"Cancelada")*($F$34:$F$333&lt;&gt;""))*$F$34:$F$333+(1-(($C$34:$C$333=B15)*($G$34:$G$333&lt;&gt;"Concluída")*($G$34:$G$333&lt;&gt;"Cancelada")*($F$34:$F$333&lt;&gt;"")))*99999))&gt;=99999,"—",SUMPRODUCT(MIN((($C$34:$C$333=B15)*($G$34:$G$333&lt;&gt;"Concluída")*($G$34:$G$333&lt;&gt;"Cancelada")*($F$34:$F$333&lt;&gt;""))*$F$34:$F$333+(1-(($C$34:$C$333=B15)*($G$34:$G$333&lt;&gt;"Concluída")*($G$34:$G$333&lt;&gt;"Cancelada")*($F$34:$F$333&lt;&gt;"")))*99999))))</f>
        <v/>
      </c>
      <c r="M15" s="135" t="n"/>
    </row>
    <row r="16">
      <c r="B16" s="129" t="n"/>
      <c r="C16" s="129" t="n"/>
      <c r="D16" s="129" t="n"/>
      <c r="E16" s="130" t="n"/>
      <c r="F16" s="130" t="n"/>
      <c r="G16" s="128" t="str">
        <f>IF(B16="","",COUNTIF($C$34:$C$333,B16))</f>
        <v/>
      </c>
      <c r="H16" s="128" t="str">
        <f>IF(B16="","",COUNTIFS($C$34:$C$333,B16,$G$34:$G$333,"Concluída"))</f>
        <v/>
      </c>
      <c r="I16" s="129" t="n"/>
      <c r="J16" s="133" t="str">
        <f>IF(B16="","",IF(D16="Concluído",1,IF(G16-COUNTIFS($C$34:$C$333,B16,$G$34:$G$333,"Cancelada")&lt;=0,0,H16/(G16-COUNTIFS($C$34:$C$333,B16,$G$34:$G$333,"Cancelada")))))</f>
        <v/>
      </c>
      <c r="K16" s="136" t="str">
        <f>IF(B16="","",COUNTIFS($C$34:$C$333,B16,$K$34:$K$333,"✖*"))</f>
        <v/>
      </c>
      <c r="L16" s="137" t="str">
        <f>IF(B16="","",IF(SUMPRODUCT(MIN((($C$34:$C$333=B16)*($G$34:$G$333&lt;&gt;"Concluída")*($G$34:$G$333&lt;&gt;"Cancelada")*($F$34:$F$333&lt;&gt;""))*$F$34:$F$333+(1-(($C$34:$C$333=B16)*($G$34:$G$333&lt;&gt;"Concluída")*($G$34:$G$333&lt;&gt;"Cancelada")*($F$34:$F$333&lt;&gt;"")))*99999))&gt;=99999,"—",SUMPRODUCT(MIN((($C$34:$C$333=B16)*($G$34:$G$333&lt;&gt;"Concluída")*($G$34:$G$333&lt;&gt;"Cancelada")*($F$34:$F$333&lt;&gt;""))*$F$34:$F$333+(1-(($C$34:$C$333=B16)*($G$34:$G$333&lt;&gt;"Concluída")*($G$34:$G$333&lt;&gt;"Cancelada")*($F$34:$F$333&lt;&gt;"")))*99999))))</f>
        <v/>
      </c>
      <c r="M16" s="135" t="n"/>
    </row>
    <row r="17">
      <c r="B17" s="129" t="n"/>
      <c r="C17" s="129" t="n"/>
      <c r="D17" s="129" t="n"/>
      <c r="E17" s="130" t="n"/>
      <c r="F17" s="130" t="n"/>
      <c r="G17" s="128" t="str">
        <f>IF(B17="","",COUNTIF($C$34:$C$333,B17))</f>
        <v/>
      </c>
      <c r="H17" s="128" t="str">
        <f>IF(B17="","",COUNTIFS($C$34:$C$333,B17,$G$34:$G$333,"Concluída"))</f>
        <v/>
      </c>
      <c r="I17" s="129" t="n"/>
      <c r="J17" s="133" t="str">
        <f>IF(B17="","",IF(D17="Concluído",1,IF(G17-COUNTIFS($C$34:$C$333,B17,$G$34:$G$333,"Cancelada")&lt;=0,0,H17/(G17-COUNTIFS($C$34:$C$333,B17,$G$34:$G$333,"Cancelada")))))</f>
        <v/>
      </c>
      <c r="K17" s="136" t="str">
        <f>IF(B17="","",COUNTIFS($C$34:$C$333,B17,$K$34:$K$333,"✖*"))</f>
        <v/>
      </c>
      <c r="L17" s="137" t="str">
        <f>IF(B17="","",IF(SUMPRODUCT(MIN((($C$34:$C$333=B17)*($G$34:$G$333&lt;&gt;"Concluída")*($G$34:$G$333&lt;&gt;"Cancelada")*($F$34:$F$333&lt;&gt;""))*$F$34:$F$333+(1-(($C$34:$C$333=B17)*($G$34:$G$333&lt;&gt;"Concluída")*($G$34:$G$333&lt;&gt;"Cancelada")*($F$34:$F$333&lt;&gt;"")))*99999))&gt;=99999,"—",SUMPRODUCT(MIN((($C$34:$C$333=B17)*($G$34:$G$333&lt;&gt;"Concluída")*($G$34:$G$333&lt;&gt;"Cancelada")*($F$34:$F$333&lt;&gt;""))*$F$34:$F$333+(1-(($C$34:$C$333=B17)*($G$34:$G$333&lt;&gt;"Concluída")*($G$34:$G$333&lt;&gt;"Cancelada")*($F$34:$F$333&lt;&gt;"")))*99999))))</f>
        <v/>
      </c>
      <c r="M17" s="135" t="n"/>
    </row>
    <row r="18">
      <c r="B18" s="129" t="n"/>
      <c r="C18" s="129" t="n"/>
      <c r="D18" s="129" t="n"/>
      <c r="E18" s="130" t="n"/>
      <c r="F18" s="130" t="n"/>
      <c r="G18" s="128" t="str">
        <f>IF(B18="","",COUNTIF($C$34:$C$333,B18))</f>
        <v/>
      </c>
      <c r="H18" s="128" t="str">
        <f>IF(B18="","",COUNTIFS($C$34:$C$333,B18,$G$34:$G$333,"Concluída"))</f>
        <v/>
      </c>
      <c r="I18" s="129" t="n"/>
      <c r="J18" s="133" t="str">
        <f>IF(B18="","",IF(D18="Concluído",1,IF(G18-COUNTIFS($C$34:$C$333,B18,$G$34:$G$333,"Cancelada")&lt;=0,0,H18/(G18-COUNTIFS($C$34:$C$333,B18,$G$34:$G$333,"Cancelada")))))</f>
        <v/>
      </c>
      <c r="K18" s="136" t="str">
        <f>IF(B18="","",COUNTIFS($C$34:$C$333,B18,$K$34:$K$333,"✖*"))</f>
        <v/>
      </c>
      <c r="L18" s="137" t="str">
        <f>IF(B18="","",IF(SUMPRODUCT(MIN((($C$34:$C$333=B18)*($G$34:$G$333&lt;&gt;"Concluída")*($G$34:$G$333&lt;&gt;"Cancelada")*($F$34:$F$333&lt;&gt;""))*$F$34:$F$333+(1-(($C$34:$C$333=B18)*($G$34:$G$333&lt;&gt;"Concluída")*($G$34:$G$333&lt;&gt;"Cancelada")*($F$34:$F$333&lt;&gt;"")))*99999))&gt;=99999,"—",SUMPRODUCT(MIN((($C$34:$C$333=B18)*($G$34:$G$333&lt;&gt;"Concluída")*($G$34:$G$333&lt;&gt;"Cancelada")*($F$34:$F$333&lt;&gt;""))*$F$34:$F$333+(1-(($C$34:$C$333=B18)*($G$34:$G$333&lt;&gt;"Concluída")*($G$34:$G$333&lt;&gt;"Cancelada")*($F$34:$F$333&lt;&gt;"")))*99999))))</f>
        <v/>
      </c>
      <c r="M18" s="135" t="n"/>
    </row>
    <row r="19">
      <c r="B19" s="129" t="n"/>
      <c r="C19" s="129" t="n"/>
      <c r="D19" s="129" t="n"/>
      <c r="E19" s="130" t="n"/>
      <c r="F19" s="130" t="n"/>
      <c r="G19" s="128" t="str">
        <f>IF(B19="","",COUNTIF($C$34:$C$333,B19))</f>
        <v/>
      </c>
      <c r="H19" s="128" t="str">
        <f>IF(B19="","",COUNTIFS($C$34:$C$333,B19,$G$34:$G$333,"Concluída"))</f>
        <v/>
      </c>
      <c r="I19" s="129" t="n"/>
      <c r="J19" s="133" t="str">
        <f>IF(B19="","",IF(D19="Concluído",1,IF(G19-COUNTIFS($C$34:$C$333,B19,$G$34:$G$333,"Cancelada")&lt;=0,0,H19/(G19-COUNTIFS($C$34:$C$333,B19,$G$34:$G$333,"Cancelada")))))</f>
        <v/>
      </c>
      <c r="K19" s="136" t="str">
        <f>IF(B19="","",COUNTIFS($C$34:$C$333,B19,$K$34:$K$333,"✖*"))</f>
        <v/>
      </c>
      <c r="L19" s="137" t="str">
        <f>IF(B19="","",IF(SUMPRODUCT(MIN((($C$34:$C$333=B19)*($G$34:$G$333&lt;&gt;"Concluída")*($G$34:$G$333&lt;&gt;"Cancelada")*($F$34:$F$333&lt;&gt;""))*$F$34:$F$333+(1-(($C$34:$C$333=B19)*($G$34:$G$333&lt;&gt;"Concluída")*($G$34:$G$333&lt;&gt;"Cancelada")*($F$34:$F$333&lt;&gt;"")))*99999))&gt;=99999,"—",SUMPRODUCT(MIN((($C$34:$C$333=B19)*($G$34:$G$333&lt;&gt;"Concluída")*($G$34:$G$333&lt;&gt;"Cancelada")*($F$34:$F$333&lt;&gt;""))*$F$34:$F$333+(1-(($C$34:$C$333=B19)*($G$34:$G$333&lt;&gt;"Concluída")*($G$34:$G$333&lt;&gt;"Cancelada")*($F$34:$F$333&lt;&gt;"")))*99999))))</f>
        <v/>
      </c>
      <c r="M19" s="135" t="n"/>
    </row>
    <row r="20">
      <c r="B20" s="129" t="n"/>
      <c r="C20" s="129" t="n"/>
      <c r="D20" s="129" t="n"/>
      <c r="E20" s="130" t="n"/>
      <c r="F20" s="130" t="n"/>
      <c r="G20" s="128" t="str">
        <f>IF(B20="","",COUNTIF($C$34:$C$333,B20))</f>
        <v/>
      </c>
      <c r="H20" s="128" t="str">
        <f>IF(B20="","",COUNTIFS($C$34:$C$333,B20,$G$34:$G$333,"Concluída"))</f>
        <v/>
      </c>
      <c r="I20" s="129" t="n"/>
      <c r="J20" s="133" t="str">
        <f>IF(B20="","",IF(D20="Concluído",1,IF(G20-COUNTIFS($C$34:$C$333,B20,$G$34:$G$333,"Cancelada")&lt;=0,0,H20/(G20-COUNTIFS($C$34:$C$333,B20,$G$34:$G$333,"Cancelada")))))</f>
        <v/>
      </c>
      <c r="K20" s="136" t="str">
        <f>IF(B20="","",COUNTIFS($C$34:$C$333,B20,$K$34:$K$333,"✖*"))</f>
        <v/>
      </c>
      <c r="L20" s="137" t="str">
        <f>IF(B20="","",IF(SUMPRODUCT(MIN((($C$34:$C$333=B20)*($G$34:$G$333&lt;&gt;"Concluída")*($G$34:$G$333&lt;&gt;"Cancelada")*($F$34:$F$333&lt;&gt;""))*$F$34:$F$333+(1-(($C$34:$C$333=B20)*($G$34:$G$333&lt;&gt;"Concluída")*($G$34:$G$333&lt;&gt;"Cancelada")*($F$34:$F$333&lt;&gt;"")))*99999))&gt;=99999,"—",SUMPRODUCT(MIN((($C$34:$C$333=B20)*($G$34:$G$333&lt;&gt;"Concluída")*($G$34:$G$333&lt;&gt;"Cancelada")*($F$34:$F$333&lt;&gt;""))*$F$34:$F$333+(1-(($C$34:$C$333=B20)*($G$34:$G$333&lt;&gt;"Concluída")*($G$34:$G$333&lt;&gt;"Cancelada")*($F$34:$F$333&lt;&gt;"")))*99999))))</f>
        <v/>
      </c>
      <c r="M20" s="135" t="n"/>
    </row>
    <row r="21">
      <c r="B21" s="129" t="n"/>
      <c r="C21" s="129" t="n"/>
      <c r="D21" s="129" t="n"/>
      <c r="E21" s="130" t="n"/>
      <c r="F21" s="130" t="n"/>
      <c r="G21" s="128" t="str">
        <f>IF(B21="","",COUNTIF($C$34:$C$333,B21))</f>
        <v/>
      </c>
      <c r="H21" s="128" t="str">
        <f>IF(B21="","",COUNTIFS($C$34:$C$333,B21,$G$34:$G$333,"Concluída"))</f>
        <v/>
      </c>
      <c r="I21" s="129" t="n"/>
      <c r="J21" s="133" t="str">
        <f>IF(B21="","",IF(D21="Concluído",1,IF(G21-COUNTIFS($C$34:$C$333,B21,$G$34:$G$333,"Cancelada")&lt;=0,0,H21/(G21-COUNTIFS($C$34:$C$333,B21,$G$34:$G$333,"Cancelada")))))</f>
        <v/>
      </c>
      <c r="K21" s="136" t="str">
        <f>IF(B21="","",COUNTIFS($C$34:$C$333,B21,$K$34:$K$333,"✖*"))</f>
        <v/>
      </c>
      <c r="L21" s="137" t="str">
        <f>IF(B21="","",IF(SUMPRODUCT(MIN((($C$34:$C$333=B21)*($G$34:$G$333&lt;&gt;"Concluída")*($G$34:$G$333&lt;&gt;"Cancelada")*($F$34:$F$333&lt;&gt;""))*$F$34:$F$333+(1-(($C$34:$C$333=B21)*($G$34:$G$333&lt;&gt;"Concluída")*($G$34:$G$333&lt;&gt;"Cancelada")*($F$34:$F$333&lt;&gt;"")))*99999))&gt;=99999,"—",SUMPRODUCT(MIN((($C$34:$C$333=B21)*($G$34:$G$333&lt;&gt;"Concluída")*($G$34:$G$333&lt;&gt;"Cancelada")*($F$34:$F$333&lt;&gt;""))*$F$34:$F$333+(1-(($C$34:$C$333=B21)*($G$34:$G$333&lt;&gt;"Concluída")*($G$34:$G$333&lt;&gt;"Cancelada")*($F$34:$F$333&lt;&gt;"")))*99999))))</f>
        <v/>
      </c>
      <c r="M21" s="135" t="n"/>
    </row>
    <row r="22">
      <c r="B22" s="129" t="n"/>
      <c r="C22" s="129" t="n"/>
      <c r="D22" s="129" t="n"/>
      <c r="E22" s="130" t="n"/>
      <c r="F22" s="130" t="n"/>
      <c r="G22" s="128" t="str">
        <f>IF(B22="","",COUNTIF($C$34:$C$333,B22))</f>
        <v/>
      </c>
      <c r="H22" s="128" t="str">
        <f>IF(B22="","",COUNTIFS($C$34:$C$333,B22,$G$34:$G$333,"Concluída"))</f>
        <v/>
      </c>
      <c r="I22" s="129" t="n"/>
      <c r="J22" s="133" t="str">
        <f>IF(B22="","",IF(D22="Concluído",1,IF(G22-COUNTIFS($C$34:$C$333,B22,$G$34:$G$333,"Cancelada")&lt;=0,0,H22/(G22-COUNTIFS($C$34:$C$333,B22,$G$34:$G$333,"Cancelada")))))</f>
        <v/>
      </c>
      <c r="K22" s="136" t="str">
        <f>IF(B22="","",COUNTIFS($C$34:$C$333,B22,$K$34:$K$333,"✖*"))</f>
        <v/>
      </c>
      <c r="L22" s="137" t="str">
        <f>IF(B22="","",IF(SUMPRODUCT(MIN((($C$34:$C$333=B22)*($G$34:$G$333&lt;&gt;"Concluída")*($G$34:$G$333&lt;&gt;"Cancelada")*($F$34:$F$333&lt;&gt;""))*$F$34:$F$333+(1-(($C$34:$C$333=B22)*($G$34:$G$333&lt;&gt;"Concluída")*($G$34:$G$333&lt;&gt;"Cancelada")*($F$34:$F$333&lt;&gt;"")))*99999))&gt;=99999,"—",SUMPRODUCT(MIN((($C$34:$C$333=B22)*($G$34:$G$333&lt;&gt;"Concluída")*($G$34:$G$333&lt;&gt;"Cancelada")*($F$34:$F$333&lt;&gt;""))*$F$34:$F$333+(1-(($C$34:$C$333=B22)*($G$34:$G$333&lt;&gt;"Concluída")*($G$34:$G$333&lt;&gt;"Cancelada")*($F$34:$F$333&lt;&gt;"")))*99999))))</f>
        <v/>
      </c>
      <c r="M22" s="135" t="n"/>
    </row>
    <row r="23">
      <c r="B23" s="129" t="n"/>
      <c r="C23" s="129" t="n"/>
      <c r="D23" s="129" t="n"/>
      <c r="E23" s="130" t="n"/>
      <c r="F23" s="130" t="n"/>
      <c r="G23" s="128" t="str">
        <f>IF(B23="","",COUNTIF($C$34:$C$333,B23))</f>
        <v/>
      </c>
      <c r="H23" s="128" t="str">
        <f>IF(B23="","",COUNTIFS($C$34:$C$333,B23,$G$34:$G$333,"Concluída"))</f>
        <v/>
      </c>
      <c r="I23" s="129" t="n"/>
      <c r="J23" s="133" t="str">
        <f>IF(B23="","",IF(D23="Concluído",1,IF(G23-COUNTIFS($C$34:$C$333,B23,$G$34:$G$333,"Cancelada")&lt;=0,0,H23/(G23-COUNTIFS($C$34:$C$333,B23,$G$34:$G$333,"Cancelada")))))</f>
        <v/>
      </c>
      <c r="K23" s="136" t="str">
        <f>IF(B23="","",COUNTIFS($C$34:$C$333,B23,$K$34:$K$333,"✖*"))</f>
        <v/>
      </c>
      <c r="L23" s="137" t="str">
        <f>IF(B23="","",IF(SUMPRODUCT(MIN((($C$34:$C$333=B23)*($G$34:$G$333&lt;&gt;"Concluída")*($G$34:$G$333&lt;&gt;"Cancelada")*($F$34:$F$333&lt;&gt;""))*$F$34:$F$333+(1-(($C$34:$C$333=B23)*($G$34:$G$333&lt;&gt;"Concluída")*($G$34:$G$333&lt;&gt;"Cancelada")*($F$34:$F$333&lt;&gt;"")))*99999))&gt;=99999,"—",SUMPRODUCT(MIN((($C$34:$C$333=B23)*($G$34:$G$333&lt;&gt;"Concluída")*($G$34:$G$333&lt;&gt;"Cancelada")*($F$34:$F$333&lt;&gt;""))*$F$34:$F$333+(1-(($C$34:$C$333=B23)*($G$34:$G$333&lt;&gt;"Concluída")*($G$34:$G$333&lt;&gt;"Cancelada")*($F$34:$F$333&lt;&gt;"")))*99999))))</f>
        <v/>
      </c>
      <c r="M23" s="135" t="n"/>
    </row>
    <row r="24">
      <c r="B24" s="129" t="n"/>
      <c r="C24" s="129" t="n"/>
      <c r="D24" s="129" t="n"/>
      <c r="E24" s="130" t="n"/>
      <c r="F24" s="130" t="n"/>
      <c r="G24" s="128" t="str">
        <f>IF(B24="","",COUNTIF($C$34:$C$333,B24))</f>
        <v/>
      </c>
      <c r="H24" s="128" t="str">
        <f>IF(B24="","",COUNTIFS($C$34:$C$333,B24,$G$34:$G$333,"Concluída"))</f>
        <v/>
      </c>
      <c r="I24" s="129" t="n"/>
      <c r="J24" s="133" t="str">
        <f>IF(B24="","",IF(D24="Concluído",1,IF(G24-COUNTIFS($C$34:$C$333,B24,$G$34:$G$333,"Cancelada")&lt;=0,0,H24/(G24-COUNTIFS($C$34:$C$333,B24,$G$34:$G$333,"Cancelada")))))</f>
        <v/>
      </c>
      <c r="K24" s="136" t="str">
        <f>IF(B24="","",COUNTIFS($C$34:$C$333,B24,$K$34:$K$333,"✖*"))</f>
        <v/>
      </c>
      <c r="L24" s="137" t="str">
        <f>IF(B24="","",IF(SUMPRODUCT(MIN((($C$34:$C$333=B24)*($G$34:$G$333&lt;&gt;"Concluída")*($G$34:$G$333&lt;&gt;"Cancelada")*($F$34:$F$333&lt;&gt;""))*$F$34:$F$333+(1-(($C$34:$C$333=B24)*($G$34:$G$333&lt;&gt;"Concluída")*($G$34:$G$333&lt;&gt;"Cancelada")*($F$34:$F$333&lt;&gt;"")))*99999))&gt;=99999,"—",SUMPRODUCT(MIN((($C$34:$C$333=B24)*($G$34:$G$333&lt;&gt;"Concluída")*($G$34:$G$333&lt;&gt;"Cancelada")*($F$34:$F$333&lt;&gt;""))*$F$34:$F$333+(1-(($C$34:$C$333=B24)*($G$34:$G$333&lt;&gt;"Concluída")*($G$34:$G$333&lt;&gt;"Cancelada")*($F$34:$F$333&lt;&gt;"")))*99999))))</f>
        <v/>
      </c>
      <c r="M24" s="135" t="n"/>
    </row>
    <row r="25">
      <c r="B25" s="129" t="n"/>
      <c r="C25" s="129" t="n"/>
      <c r="D25" s="129" t="n"/>
      <c r="E25" s="130" t="n"/>
      <c r="F25" s="130" t="n"/>
      <c r="G25" s="128" t="str">
        <f>IF(B25="","",COUNTIF($C$34:$C$333,B25))</f>
        <v/>
      </c>
      <c r="H25" s="128" t="str">
        <f>IF(B25="","",COUNTIFS($C$34:$C$333,B25,$G$34:$G$333,"Concluída"))</f>
        <v/>
      </c>
      <c r="I25" s="129" t="n"/>
      <c r="J25" s="133" t="str">
        <f>IF(B25="","",IF(D25="Concluído",1,IF(G25-COUNTIFS($C$34:$C$333,B25,$G$34:$G$333,"Cancelada")&lt;=0,0,H25/(G25-COUNTIFS($C$34:$C$333,B25,$G$34:$G$333,"Cancelada")))))</f>
        <v/>
      </c>
      <c r="K25" s="136" t="str">
        <f>IF(B25="","",COUNTIFS($C$34:$C$333,B25,$K$34:$K$333,"✖*"))</f>
        <v/>
      </c>
      <c r="L25" s="137" t="str">
        <f>IF(B25="","",IF(SUMPRODUCT(MIN((($C$34:$C$333=B25)*($G$34:$G$333&lt;&gt;"Concluída")*($G$34:$G$333&lt;&gt;"Cancelada")*($F$34:$F$333&lt;&gt;""))*$F$34:$F$333+(1-(($C$34:$C$333=B25)*($G$34:$G$333&lt;&gt;"Concluída")*($G$34:$G$333&lt;&gt;"Cancelada")*($F$34:$F$333&lt;&gt;"")))*99999))&gt;=99999,"—",SUMPRODUCT(MIN((($C$34:$C$333=B25)*($G$34:$G$333&lt;&gt;"Concluída")*($G$34:$G$333&lt;&gt;"Cancelada")*($F$34:$F$333&lt;&gt;""))*$F$34:$F$333+(1-(($C$34:$C$333=B25)*($G$34:$G$333&lt;&gt;"Concluída")*($G$34:$G$333&lt;&gt;"Cancelada")*($F$34:$F$333&lt;&gt;"")))*99999))))</f>
        <v/>
      </c>
      <c r="M25" s="135" t="n"/>
    </row>
    <row r="26">
      <c r="B26" s="129" t="n"/>
      <c r="C26" s="129" t="n"/>
      <c r="D26" s="129" t="n"/>
      <c r="E26" s="130" t="n"/>
      <c r="F26" s="130" t="n"/>
      <c r="G26" s="128" t="str">
        <f>IF(B26="","",COUNTIF($C$34:$C$333,B26))</f>
        <v/>
      </c>
      <c r="H26" s="128" t="str">
        <f>IF(B26="","",COUNTIFS($C$34:$C$333,B26,$G$34:$G$333,"Concluída"))</f>
        <v/>
      </c>
      <c r="I26" s="129" t="n"/>
      <c r="J26" s="133" t="str">
        <f>IF(B26="","",IF(D26="Concluído",1,IF(G26-COUNTIFS($C$34:$C$333,B26,$G$34:$G$333,"Cancelada")&lt;=0,0,H26/(G26-COUNTIFS($C$34:$C$333,B26,$G$34:$G$333,"Cancelada")))))</f>
        <v/>
      </c>
      <c r="K26" s="136" t="str">
        <f>IF(B26="","",COUNTIFS($C$34:$C$333,B26,$K$34:$K$333,"✖*"))</f>
        <v/>
      </c>
      <c r="L26" s="137" t="str">
        <f>IF(B26="","",IF(SUMPRODUCT(MIN((($C$34:$C$333=B26)*($G$34:$G$333&lt;&gt;"Concluída")*($G$34:$G$333&lt;&gt;"Cancelada")*($F$34:$F$333&lt;&gt;""))*$F$34:$F$333+(1-(($C$34:$C$333=B26)*($G$34:$G$333&lt;&gt;"Concluída")*($G$34:$G$333&lt;&gt;"Cancelada")*($F$34:$F$333&lt;&gt;"")))*99999))&gt;=99999,"—",SUMPRODUCT(MIN((($C$34:$C$333=B26)*($G$34:$G$333&lt;&gt;"Concluída")*($G$34:$G$333&lt;&gt;"Cancelada")*($F$34:$F$333&lt;&gt;""))*$F$34:$F$333+(1-(($C$34:$C$333=B26)*($G$34:$G$333&lt;&gt;"Concluída")*($G$34:$G$333&lt;&gt;"Cancelada")*($F$34:$F$333&lt;&gt;"")))*99999))))</f>
        <v/>
      </c>
      <c r="M26" s="135" t="n"/>
    </row>
    <row r="27">
      <c r="B27" s="129" t="n"/>
      <c r="C27" s="129" t="n"/>
      <c r="D27" s="129" t="n"/>
      <c r="E27" s="130" t="n"/>
      <c r="F27" s="130" t="n"/>
      <c r="G27" s="128" t="str">
        <f>IF(B27="","",COUNTIF($C$34:$C$333,B27))</f>
        <v/>
      </c>
      <c r="H27" s="128" t="str">
        <f>IF(B27="","",COUNTIFS($C$34:$C$333,B27,$G$34:$G$333,"Concluída"))</f>
        <v/>
      </c>
      <c r="I27" s="129" t="n"/>
      <c r="J27" s="133" t="str">
        <f>IF(B27="","",IF(D27="Concluído",1,IF(G27-COUNTIFS($C$34:$C$333,B27,$G$34:$G$333,"Cancelada")&lt;=0,0,H27/(G27-COUNTIFS($C$34:$C$333,B27,$G$34:$G$333,"Cancelada")))))</f>
        <v/>
      </c>
      <c r="K27" s="136" t="str">
        <f>IF(B27="","",COUNTIFS($C$34:$C$333,B27,$K$34:$K$333,"✖*"))</f>
        <v/>
      </c>
      <c r="L27" s="137" t="str">
        <f>IF(B27="","",IF(SUMPRODUCT(MIN((($C$34:$C$333=B27)*($G$34:$G$333&lt;&gt;"Concluída")*($G$34:$G$333&lt;&gt;"Cancelada")*($F$34:$F$333&lt;&gt;""))*$F$34:$F$333+(1-(($C$34:$C$333=B27)*($G$34:$G$333&lt;&gt;"Concluída")*($G$34:$G$333&lt;&gt;"Cancelada")*($F$34:$F$333&lt;&gt;"")))*99999))&gt;=99999,"—",SUMPRODUCT(MIN((($C$34:$C$333=B27)*($G$34:$G$333&lt;&gt;"Concluída")*($G$34:$G$333&lt;&gt;"Cancelada")*($F$34:$F$333&lt;&gt;""))*$F$34:$F$333+(1-(($C$34:$C$333=B27)*($G$34:$G$333&lt;&gt;"Concluída")*($G$34:$G$333&lt;&gt;"Cancelada")*($F$34:$F$333&lt;&gt;"")))*99999))))</f>
        <v/>
      </c>
      <c r="M27" s="135" t="n"/>
    </row>
    <row r="28">
      <c r="B28" s="129" t="n"/>
      <c r="C28" s="129" t="n"/>
      <c r="D28" s="129" t="n"/>
      <c r="E28" s="130" t="n"/>
      <c r="F28" s="130" t="n"/>
      <c r="G28" s="128" t="str">
        <f>IF(B28="","",COUNTIF($C$34:$C$333,B28))</f>
        <v/>
      </c>
      <c r="H28" s="128" t="str">
        <f>IF(B28="","",COUNTIFS($C$34:$C$333,B28,$G$34:$G$333,"Concluída"))</f>
        <v/>
      </c>
      <c r="I28" s="129" t="n"/>
      <c r="J28" s="133" t="str">
        <f>IF(B28="","",IF(D28="Concluído",1,IF(G28-COUNTIFS($C$34:$C$333,B28,$G$34:$G$333,"Cancelada")&lt;=0,0,H28/(G28-COUNTIFS($C$34:$C$333,B28,$G$34:$G$333,"Cancelada")))))</f>
        <v/>
      </c>
      <c r="K28" s="136" t="str">
        <f>IF(B28="","",COUNTIFS($C$34:$C$333,B28,$K$34:$K$333,"✖*"))</f>
        <v/>
      </c>
      <c r="L28" s="137" t="str">
        <f>IF(B28="","",IF(SUMPRODUCT(MIN((($C$34:$C$333=B28)*($G$34:$G$333&lt;&gt;"Concluída")*($G$34:$G$333&lt;&gt;"Cancelada")*($F$34:$F$333&lt;&gt;""))*$F$34:$F$333+(1-(($C$34:$C$333=B28)*($G$34:$G$333&lt;&gt;"Concluída")*($G$34:$G$333&lt;&gt;"Cancelada")*($F$34:$F$333&lt;&gt;"")))*99999))&gt;=99999,"—",SUMPRODUCT(MIN((($C$34:$C$333=B28)*($G$34:$G$333&lt;&gt;"Concluída")*($G$34:$G$333&lt;&gt;"Cancelada")*($F$34:$F$333&lt;&gt;""))*$F$34:$F$333+(1-(($C$34:$C$333=B28)*($G$34:$G$333&lt;&gt;"Concluída")*($G$34:$G$333&lt;&gt;"Cancelada")*($F$34:$F$333&lt;&gt;"")))*99999))))</f>
        <v/>
      </c>
      <c r="M28" s="135" t="n"/>
    </row>
    <row r="29">
      <c r="B29" s="129" t="n"/>
      <c r="C29" s="129" t="n"/>
      <c r="D29" s="129" t="n"/>
      <c r="E29" s="130" t="n"/>
      <c r="F29" s="130" t="n"/>
      <c r="G29" s="128" t="str">
        <f>IF(B29="","",COUNTIF($C$34:$C$333,B29))</f>
        <v/>
      </c>
      <c r="H29" s="128" t="str">
        <f>IF(B29="","",COUNTIFS($C$34:$C$333,B29,$G$34:$G$333,"Concluída"))</f>
        <v/>
      </c>
      <c r="I29" s="129" t="n"/>
      <c r="J29" s="133" t="str">
        <f>IF(B29="","",IF(D29="Concluído",1,IF(G29-COUNTIFS($C$34:$C$333,B29,$G$34:$G$333,"Cancelada")&lt;=0,0,H29/(G29-COUNTIFS($C$34:$C$333,B29,$G$34:$G$333,"Cancelada")))))</f>
        <v/>
      </c>
      <c r="K29" s="136" t="str">
        <f>IF(B29="","",COUNTIFS($C$34:$C$333,B29,$K$34:$K$333,"✖*"))</f>
        <v/>
      </c>
      <c r="L29" s="137" t="str">
        <f>IF(B29="","",IF(SUMPRODUCT(MIN((($C$34:$C$333=B29)*($G$34:$G$333&lt;&gt;"Concluída")*($G$34:$G$333&lt;&gt;"Cancelada")*($F$34:$F$333&lt;&gt;""))*$F$34:$F$333+(1-(($C$34:$C$333=B29)*($G$34:$G$333&lt;&gt;"Concluída")*($G$34:$G$333&lt;&gt;"Cancelada")*($F$34:$F$333&lt;&gt;"")))*99999))&gt;=99999,"—",SUMPRODUCT(MIN((($C$34:$C$333=B29)*($G$34:$G$333&lt;&gt;"Concluída")*($G$34:$G$333&lt;&gt;"Cancelada")*($F$34:$F$333&lt;&gt;""))*$F$34:$F$333+(1-(($C$34:$C$333=B29)*($G$34:$G$333&lt;&gt;"Concluída")*($G$34:$G$333&lt;&gt;"Cancelada")*($F$34:$F$333&lt;&gt;"")))*99999))))</f>
        <v/>
      </c>
      <c r="M29" s="135" t="n"/>
    </row>
    <row r="30">
      <c r="B30" s="129" t="n"/>
      <c r="C30" s="129" t="n"/>
      <c r="D30" s="129" t="n"/>
      <c r="E30" s="130" t="n"/>
      <c r="F30" s="130" t="n"/>
      <c r="G30" s="128" t="str">
        <f>IF(B30="","",COUNTIF($C$34:$C$333,B30))</f>
        <v/>
      </c>
      <c r="H30" s="128" t="str">
        <f>IF(B30="","",COUNTIFS($C$34:$C$333,B30,$G$34:$G$333,"Concluída"))</f>
        <v/>
      </c>
      <c r="I30" s="129" t="n"/>
      <c r="J30" s="133" t="str">
        <f>IF(B30="","",IF(D30="Concluído",1,IF(G30-COUNTIFS($C$34:$C$333,B30,$G$34:$G$333,"Cancelada")&lt;=0,0,H30/(G30-COUNTIFS($C$34:$C$333,B30,$G$34:$G$333,"Cancelada")))))</f>
        <v/>
      </c>
      <c r="K30" s="136" t="str">
        <f>IF(B30="","",COUNTIFS($C$34:$C$333,B30,$K$34:$K$333,"✖*"))</f>
        <v/>
      </c>
      <c r="L30" s="137" t="str">
        <f>IF(B30="","",IF(SUMPRODUCT(MIN((($C$34:$C$333=B30)*($G$34:$G$333&lt;&gt;"Concluída")*($G$34:$G$333&lt;&gt;"Cancelada")*($F$34:$F$333&lt;&gt;""))*$F$34:$F$333+(1-(($C$34:$C$333=B30)*($G$34:$G$333&lt;&gt;"Concluída")*($G$34:$G$333&lt;&gt;"Cancelada")*($F$34:$F$333&lt;&gt;"")))*99999))&gt;=99999,"—",SUMPRODUCT(MIN((($C$34:$C$333=B30)*($G$34:$G$333&lt;&gt;"Concluída")*($G$34:$G$333&lt;&gt;"Cancelada")*($F$34:$F$333&lt;&gt;""))*$F$34:$F$333+(1-(($C$34:$C$333=B30)*($G$34:$G$333&lt;&gt;"Concluída")*($G$34:$G$333&lt;&gt;"Cancelada")*($F$34:$F$333&lt;&gt;"")))*99999))))</f>
        <v/>
      </c>
      <c r="M30" s="135" t="n"/>
    </row>
    <row r="32" ht="22" customHeight="1">
      <c r="B32" s="101" t="inlineStr">
        <is>
          <t>TAREFAS</t>
        </is>
      </c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</row>
    <row r="33" ht="30" customHeight="1">
      <c r="B33" s="103" t="inlineStr">
        <is>
          <t>Tarefa</t>
        </is>
      </c>
      <c r="C33" s="103" t="inlineStr">
        <is>
          <t>Projeto</t>
        </is>
      </c>
      <c r="D33" s="103" t="inlineStr">
        <is>
          <t>Área da vida</t>
        </is>
      </c>
      <c r="E33" s="103" t="inlineStr">
        <is>
          <t>Prioridade</t>
        </is>
      </c>
      <c r="F33" s="103" t="inlineStr">
        <is>
          <t>Prazo</t>
        </is>
      </c>
      <c r="G33" s="103" t="inlineStr">
        <is>
          <t>Status</t>
        </is>
      </c>
      <c r="H33" s="103" t="inlineStr">
        <is>
          <t>Concluída em</t>
        </is>
      </c>
      <c r="I33" s="103" t="inlineStr">
        <is>
          <t>Meta vinculada</t>
        </is>
      </c>
      <c r="J33" s="104" t="inlineStr">
        <is>
          <t>Dias p/ prazo</t>
        </is>
      </c>
      <c r="K33" s="104" t="inlineStr">
        <is>
          <t>Alerta</t>
        </is>
      </c>
      <c r="L33" s="104" t="inlineStr">
        <is>
          <t>Quadrante</t>
        </is>
      </c>
      <c r="M33" s="103" t="inlineStr">
        <is>
          <t>Notas</t>
        </is>
      </c>
    </row>
    <row r="34">
      <c r="B34" s="129" t="n"/>
      <c r="C34" s="129" t="n"/>
      <c r="D34" s="129" t="n"/>
      <c r="E34" s="129" t="n"/>
      <c r="F34" s="130" t="n"/>
      <c r="G34" s="129" t="n"/>
      <c r="H34" s="130" t="n"/>
      <c r="I34" s="129" t="n"/>
      <c r="J34" s="134" t="str">
        <f>IF(OR(B34="",F34="",G34="Concluída",G34="Cancelada"),"",F34-Hoje)</f>
        <v/>
      </c>
      <c r="K34" s="138" t="str">
        <f>IF(B34="","",IF(G34="Concluída","✔ Feita",IF(G34="Cancelada","– Cancelada",IF(F34="","○ Sem prazo",IF(F34&lt;Hoje,"✖ Atrasada",IF(F34=Hoje,"▲ Vence hoje",IF(F34-Hoje&lt;=7,"▲ Próximos 7 dias","○ No prazo")))))))</f>
        <v/>
      </c>
      <c r="L34" s="138" t="str">
        <f>IF(OR(B34="",G34="Concluída",G34="Cancelada"),"",IF(E34="Alta",IF(AND(F34&lt;&gt;"",F34-Hoje&lt;=3),"1 · Fazer já","2 · Agendar"),IF(AND(F34&lt;&gt;"",F34-Hoje&lt;=3),"3 · Resolver rápido","4 · Depois")))</f>
        <v/>
      </c>
      <c r="M34" s="129" t="n"/>
      <c r="N34" t="str">
        <f>IF(AND(B34&lt;&gt;"",G34&lt;&gt;"Concluída",G34&lt;&gt;"Cancelada",F34&lt;&gt;""),F34+ROW()/100000,"")</f>
        <v/>
      </c>
    </row>
    <row r="35">
      <c r="B35" s="129" t="n"/>
      <c r="C35" s="129" t="n"/>
      <c r="D35" s="129" t="n"/>
      <c r="E35" s="129" t="n"/>
      <c r="F35" s="130" t="n"/>
      <c r="G35" s="129" t="n"/>
      <c r="H35" s="130" t="n"/>
      <c r="I35" s="129" t="n"/>
      <c r="J35" s="134" t="str">
        <f>IF(OR(B35="",F35="",G35="Concluída",G35="Cancelada"),"",F35-Hoje)</f>
        <v/>
      </c>
      <c r="K35" s="138" t="str">
        <f>IF(B35="","",IF(G35="Concluída","✔ Feita",IF(G35="Cancelada","– Cancelada",IF(F35="","○ Sem prazo",IF(F35&lt;Hoje,"✖ Atrasada",IF(F35=Hoje,"▲ Vence hoje",IF(F35-Hoje&lt;=7,"▲ Próximos 7 dias","○ No prazo")))))))</f>
        <v/>
      </c>
      <c r="L35" s="138" t="str">
        <f>IF(OR(B35="",G35="Concluída",G35="Cancelada"),"",IF(E35="Alta",IF(AND(F35&lt;&gt;"",F35-Hoje&lt;=3),"1 · Fazer já","2 · Agendar"),IF(AND(F35&lt;&gt;"",F35-Hoje&lt;=3),"3 · Resolver rápido","4 · Depois")))</f>
        <v/>
      </c>
      <c r="M35" s="129" t="n"/>
      <c r="N35" t="str">
        <f>IF(AND(B35&lt;&gt;"",G35&lt;&gt;"Concluída",G35&lt;&gt;"Cancelada",F35&lt;&gt;""),F35+ROW()/100000,"")</f>
        <v/>
      </c>
    </row>
    <row r="36">
      <c r="B36" s="129" t="n"/>
      <c r="C36" s="129" t="n"/>
      <c r="D36" s="129" t="n"/>
      <c r="E36" s="129" t="n"/>
      <c r="F36" s="130" t="n"/>
      <c r="G36" s="129" t="n"/>
      <c r="H36" s="130" t="n"/>
      <c r="I36" s="129" t="n"/>
      <c r="J36" s="134" t="str">
        <f>IF(OR(B36="",F36="",G36="Concluída",G36="Cancelada"),"",F36-Hoje)</f>
        <v/>
      </c>
      <c r="K36" s="138" t="str">
        <f>IF(B36="","",IF(G36="Concluída","✔ Feita",IF(G36="Cancelada","– Cancelada",IF(F36="","○ Sem prazo",IF(F36&lt;Hoje,"✖ Atrasada",IF(F36=Hoje,"▲ Vence hoje",IF(F36-Hoje&lt;=7,"▲ Próximos 7 dias","○ No prazo")))))))</f>
        <v/>
      </c>
      <c r="L36" s="138" t="str">
        <f>IF(OR(B36="",G36="Concluída",G36="Cancelada"),"",IF(E36="Alta",IF(AND(F36&lt;&gt;"",F36-Hoje&lt;=3),"1 · Fazer já","2 · Agendar"),IF(AND(F36&lt;&gt;"",F36-Hoje&lt;=3),"3 · Resolver rápido","4 · Depois")))</f>
        <v/>
      </c>
      <c r="M36" s="129" t="n"/>
      <c r="N36" t="str">
        <f>IF(AND(B36&lt;&gt;"",G36&lt;&gt;"Concluída",G36&lt;&gt;"Cancelada",F36&lt;&gt;""),F36+ROW()/100000,"")</f>
        <v/>
      </c>
    </row>
    <row r="37">
      <c r="B37" s="129" t="n"/>
      <c r="C37" s="129" t="n"/>
      <c r="D37" s="129" t="n"/>
      <c r="E37" s="129" t="n"/>
      <c r="F37" s="130" t="n"/>
      <c r="G37" s="129" t="n"/>
      <c r="H37" s="130" t="n"/>
      <c r="I37" s="129" t="n"/>
      <c r="J37" s="134" t="str">
        <f>IF(OR(B37="",F37="",G37="Concluída",G37="Cancelada"),"",F37-Hoje)</f>
        <v/>
      </c>
      <c r="K37" s="138" t="str">
        <f>IF(B37="","",IF(G37="Concluída","✔ Feita",IF(G37="Cancelada","– Cancelada",IF(F37="","○ Sem prazo",IF(F37&lt;Hoje,"✖ Atrasada",IF(F37=Hoje,"▲ Vence hoje",IF(F37-Hoje&lt;=7,"▲ Próximos 7 dias","○ No prazo")))))))</f>
        <v/>
      </c>
      <c r="L37" s="138" t="str">
        <f>IF(OR(B37="",G37="Concluída",G37="Cancelada"),"",IF(E37="Alta",IF(AND(F37&lt;&gt;"",F37-Hoje&lt;=3),"1 · Fazer já","2 · Agendar"),IF(AND(F37&lt;&gt;"",F37-Hoje&lt;=3),"3 · Resolver rápido","4 · Depois")))</f>
        <v/>
      </c>
      <c r="M37" s="129" t="n"/>
      <c r="N37" t="str">
        <f>IF(AND(B37&lt;&gt;"",G37&lt;&gt;"Concluída",G37&lt;&gt;"Cancelada",F37&lt;&gt;""),F37+ROW()/100000,"")</f>
        <v/>
      </c>
    </row>
    <row r="38">
      <c r="B38" s="129" t="n"/>
      <c r="C38" s="129" t="n"/>
      <c r="D38" s="129" t="n"/>
      <c r="E38" s="129" t="n"/>
      <c r="F38" s="130" t="n"/>
      <c r="G38" s="129" t="n"/>
      <c r="H38" s="130" t="n"/>
      <c r="I38" s="129" t="n"/>
      <c r="J38" s="134" t="str">
        <f>IF(OR(B38="",F38="",G38="Concluída",G38="Cancelada"),"",F38-Hoje)</f>
        <v/>
      </c>
      <c r="K38" s="138" t="str">
        <f>IF(B38="","",IF(G38="Concluída","✔ Feita",IF(G38="Cancelada","– Cancelada",IF(F38="","○ Sem prazo",IF(F38&lt;Hoje,"✖ Atrasada",IF(F38=Hoje,"▲ Vence hoje",IF(F38-Hoje&lt;=7,"▲ Próximos 7 dias","○ No prazo")))))))</f>
        <v/>
      </c>
      <c r="L38" s="138" t="str">
        <f>IF(OR(B38="",G38="Concluída",G38="Cancelada"),"",IF(E38="Alta",IF(AND(F38&lt;&gt;"",F38-Hoje&lt;=3),"1 · Fazer já","2 · Agendar"),IF(AND(F38&lt;&gt;"",F38-Hoje&lt;=3),"3 · Resolver rápido","4 · Depois")))</f>
        <v/>
      </c>
      <c r="M38" s="129" t="n"/>
      <c r="N38" t="str">
        <f>IF(AND(B38&lt;&gt;"",G38&lt;&gt;"Concluída",G38&lt;&gt;"Cancelada",F38&lt;&gt;""),F38+ROW()/100000,"")</f>
        <v/>
      </c>
    </row>
    <row r="39">
      <c r="B39" s="129" t="n"/>
      <c r="C39" s="129" t="n"/>
      <c r="D39" s="129" t="n"/>
      <c r="E39" s="129" t="n"/>
      <c r="F39" s="130" t="n"/>
      <c r="G39" s="129" t="n"/>
      <c r="H39" s="130" t="n"/>
      <c r="I39" s="129" t="n"/>
      <c r="J39" s="134" t="str">
        <f>IF(OR(B39="",F39="",G39="Concluída",G39="Cancelada"),"",F39-Hoje)</f>
        <v/>
      </c>
      <c r="K39" s="138" t="str">
        <f>IF(B39="","",IF(G39="Concluída","✔ Feita",IF(G39="Cancelada","– Cancelada",IF(F39="","○ Sem prazo",IF(F39&lt;Hoje,"✖ Atrasada",IF(F39=Hoje,"▲ Vence hoje",IF(F39-Hoje&lt;=7,"▲ Próximos 7 dias","○ No prazo")))))))</f>
        <v/>
      </c>
      <c r="L39" s="138" t="str">
        <f>IF(OR(B39="",G39="Concluída",G39="Cancelada"),"",IF(E39="Alta",IF(AND(F39&lt;&gt;"",F39-Hoje&lt;=3),"1 · Fazer já","2 · Agendar"),IF(AND(F39&lt;&gt;"",F39-Hoje&lt;=3),"3 · Resolver rápido","4 · Depois")))</f>
        <v/>
      </c>
      <c r="M39" s="129" t="n"/>
      <c r="N39" t="str">
        <f>IF(AND(B39&lt;&gt;"",G39&lt;&gt;"Concluída",G39&lt;&gt;"Cancelada",F39&lt;&gt;""),F39+ROW()/100000,"")</f>
        <v/>
      </c>
    </row>
    <row r="40">
      <c r="B40" s="129" t="n"/>
      <c r="C40" s="129" t="n"/>
      <c r="D40" s="129" t="n"/>
      <c r="E40" s="129" t="n"/>
      <c r="F40" s="130" t="n"/>
      <c r="G40" s="129" t="n"/>
      <c r="H40" s="130" t="n"/>
      <c r="I40" s="129" t="n"/>
      <c r="J40" s="134" t="str">
        <f>IF(OR(B40="",F40="",G40="Concluída",G40="Cancelada"),"",F40-Hoje)</f>
        <v/>
      </c>
      <c r="K40" s="138" t="str">
        <f>IF(B40="","",IF(G40="Concluída","✔ Feita",IF(G40="Cancelada","– Cancelada",IF(F40="","○ Sem prazo",IF(F40&lt;Hoje,"✖ Atrasada",IF(F40=Hoje,"▲ Vence hoje",IF(F40-Hoje&lt;=7,"▲ Próximos 7 dias","○ No prazo")))))))</f>
        <v/>
      </c>
      <c r="L40" s="138" t="str">
        <f>IF(OR(B40="",G40="Concluída",G40="Cancelada"),"",IF(E40="Alta",IF(AND(F40&lt;&gt;"",F40-Hoje&lt;=3),"1 · Fazer já","2 · Agendar"),IF(AND(F40&lt;&gt;"",F40-Hoje&lt;=3),"3 · Resolver rápido","4 · Depois")))</f>
        <v/>
      </c>
      <c r="M40" s="129" t="n"/>
      <c r="N40" t="str">
        <f>IF(AND(B40&lt;&gt;"",G40&lt;&gt;"Concluída",G40&lt;&gt;"Cancelada",F40&lt;&gt;""),F40+ROW()/100000,"")</f>
        <v/>
      </c>
    </row>
    <row r="41">
      <c r="B41" s="129" t="n"/>
      <c r="C41" s="129" t="n"/>
      <c r="D41" s="129" t="n"/>
      <c r="E41" s="129" t="n"/>
      <c r="F41" s="130" t="n"/>
      <c r="G41" s="129" t="n"/>
      <c r="H41" s="130" t="n"/>
      <c r="I41" s="129" t="n"/>
      <c r="J41" s="134" t="str">
        <f>IF(OR(B41="",F41="",G41="Concluída",G41="Cancelada"),"",F41-Hoje)</f>
        <v/>
      </c>
      <c r="K41" s="138" t="str">
        <f>IF(B41="","",IF(G41="Concluída","✔ Feita",IF(G41="Cancelada","– Cancelada",IF(F41="","○ Sem prazo",IF(F41&lt;Hoje,"✖ Atrasada",IF(F41=Hoje,"▲ Vence hoje",IF(F41-Hoje&lt;=7,"▲ Próximos 7 dias","○ No prazo")))))))</f>
        <v/>
      </c>
      <c r="L41" s="138" t="str">
        <f>IF(OR(B41="",G41="Concluída",G41="Cancelada"),"",IF(E41="Alta",IF(AND(F41&lt;&gt;"",F41-Hoje&lt;=3),"1 · Fazer já","2 · Agendar"),IF(AND(F41&lt;&gt;"",F41-Hoje&lt;=3),"3 · Resolver rápido","4 · Depois")))</f>
        <v/>
      </c>
      <c r="M41" s="129" t="n"/>
      <c r="N41" t="str">
        <f>IF(AND(B41&lt;&gt;"",G41&lt;&gt;"Concluída",G41&lt;&gt;"Cancelada",F41&lt;&gt;""),F41+ROW()/100000,"")</f>
        <v/>
      </c>
    </row>
    <row r="42">
      <c r="B42" s="129" t="n"/>
      <c r="C42" s="129" t="n"/>
      <c r="D42" s="129" t="n"/>
      <c r="E42" s="129" t="n"/>
      <c r="F42" s="130" t="n"/>
      <c r="G42" s="129" t="n"/>
      <c r="H42" s="130" t="n"/>
      <c r="I42" s="129" t="n"/>
      <c r="J42" s="134" t="str">
        <f>IF(OR(B42="",F42="",G42="Concluída",G42="Cancelada"),"",F42-Hoje)</f>
        <v/>
      </c>
      <c r="K42" s="138" t="str">
        <f>IF(B42="","",IF(G42="Concluída","✔ Feita",IF(G42="Cancelada","– Cancelada",IF(F42="","○ Sem prazo",IF(F42&lt;Hoje,"✖ Atrasada",IF(F42=Hoje,"▲ Vence hoje",IF(F42-Hoje&lt;=7,"▲ Próximos 7 dias","○ No prazo")))))))</f>
        <v/>
      </c>
      <c r="L42" s="138" t="str">
        <f>IF(OR(B42="",G42="Concluída",G42="Cancelada"),"",IF(E42="Alta",IF(AND(F42&lt;&gt;"",F42-Hoje&lt;=3),"1 · Fazer já","2 · Agendar"),IF(AND(F42&lt;&gt;"",F42-Hoje&lt;=3),"3 · Resolver rápido","4 · Depois")))</f>
        <v/>
      </c>
      <c r="M42" s="129" t="n"/>
      <c r="N42" t="str">
        <f>IF(AND(B42&lt;&gt;"",G42&lt;&gt;"Concluída",G42&lt;&gt;"Cancelada",F42&lt;&gt;""),F42+ROW()/100000,"")</f>
        <v/>
      </c>
    </row>
    <row r="43">
      <c r="B43" s="129" t="n"/>
      <c r="C43" s="129" t="n"/>
      <c r="D43" s="129" t="n"/>
      <c r="E43" s="129" t="n"/>
      <c r="F43" s="130" t="n"/>
      <c r="G43" s="129" t="n"/>
      <c r="H43" s="130" t="n"/>
      <c r="I43" s="129" t="n"/>
      <c r="J43" s="134" t="str">
        <f>IF(OR(B43="",F43="",G43="Concluída",G43="Cancelada"),"",F43-Hoje)</f>
        <v/>
      </c>
      <c r="K43" s="138" t="str">
        <f>IF(B43="","",IF(G43="Concluída","✔ Feita",IF(G43="Cancelada","– Cancelada",IF(F43="","○ Sem prazo",IF(F43&lt;Hoje,"✖ Atrasada",IF(F43=Hoje,"▲ Vence hoje",IF(F43-Hoje&lt;=7,"▲ Próximos 7 dias","○ No prazo")))))))</f>
        <v/>
      </c>
      <c r="L43" s="138" t="str">
        <f>IF(OR(B43="",G43="Concluída",G43="Cancelada"),"",IF(E43="Alta",IF(AND(F43&lt;&gt;"",F43-Hoje&lt;=3),"1 · Fazer já","2 · Agendar"),IF(AND(F43&lt;&gt;"",F43-Hoje&lt;=3),"3 · Resolver rápido","4 · Depois")))</f>
        <v/>
      </c>
      <c r="M43" s="129" t="n"/>
      <c r="N43" t="str">
        <f>IF(AND(B43&lt;&gt;"",G43&lt;&gt;"Concluída",G43&lt;&gt;"Cancelada",F43&lt;&gt;""),F43+ROW()/100000,"")</f>
        <v/>
      </c>
    </row>
    <row r="44">
      <c r="B44" s="129" t="n"/>
      <c r="C44" s="129" t="n"/>
      <c r="D44" s="129" t="n"/>
      <c r="E44" s="129" t="n"/>
      <c r="F44" s="130" t="n"/>
      <c r="G44" s="129" t="n"/>
      <c r="H44" s="130" t="n"/>
      <c r="I44" s="129" t="n"/>
      <c r="J44" s="134" t="str">
        <f>IF(OR(B44="",F44="",G44="Concluída",G44="Cancelada"),"",F44-Hoje)</f>
        <v/>
      </c>
      <c r="K44" s="138" t="str">
        <f>IF(B44="","",IF(G44="Concluída","✔ Feita",IF(G44="Cancelada","– Cancelada",IF(F44="","○ Sem prazo",IF(F44&lt;Hoje,"✖ Atrasada",IF(F44=Hoje,"▲ Vence hoje",IF(F44-Hoje&lt;=7,"▲ Próximos 7 dias","○ No prazo")))))))</f>
        <v/>
      </c>
      <c r="L44" s="138" t="str">
        <f>IF(OR(B44="",G44="Concluída",G44="Cancelada"),"",IF(E44="Alta",IF(AND(F44&lt;&gt;"",F44-Hoje&lt;=3),"1 · Fazer já","2 · Agendar"),IF(AND(F44&lt;&gt;"",F44-Hoje&lt;=3),"3 · Resolver rápido","4 · Depois")))</f>
        <v/>
      </c>
      <c r="M44" s="129" t="n"/>
      <c r="N44" t="str">
        <f>IF(AND(B44&lt;&gt;"",G44&lt;&gt;"Concluída",G44&lt;&gt;"Cancelada",F44&lt;&gt;""),F44+ROW()/100000,"")</f>
        <v/>
      </c>
    </row>
    <row r="45">
      <c r="B45" s="129" t="n"/>
      <c r="C45" s="129" t="n"/>
      <c r="D45" s="129" t="n"/>
      <c r="E45" s="129" t="n"/>
      <c r="F45" s="130" t="n"/>
      <c r="G45" s="129" t="n"/>
      <c r="H45" s="130" t="n"/>
      <c r="I45" s="129" t="n"/>
      <c r="J45" s="134" t="str">
        <f>IF(OR(B45="",F45="",G45="Concluída",G45="Cancelada"),"",F45-Hoje)</f>
        <v/>
      </c>
      <c r="K45" s="138" t="str">
        <f>IF(B45="","",IF(G45="Concluída","✔ Feita",IF(G45="Cancelada","– Cancelada",IF(F45="","○ Sem prazo",IF(F45&lt;Hoje,"✖ Atrasada",IF(F45=Hoje,"▲ Vence hoje",IF(F45-Hoje&lt;=7,"▲ Próximos 7 dias","○ No prazo")))))))</f>
        <v/>
      </c>
      <c r="L45" s="138" t="str">
        <f>IF(OR(B45="",G45="Concluída",G45="Cancelada"),"",IF(E45="Alta",IF(AND(F45&lt;&gt;"",F45-Hoje&lt;=3),"1 · Fazer já","2 · Agendar"),IF(AND(F45&lt;&gt;"",F45-Hoje&lt;=3),"3 · Resolver rápido","4 · Depois")))</f>
        <v/>
      </c>
      <c r="M45" s="129" t="n"/>
      <c r="N45" t="str">
        <f>IF(AND(B45&lt;&gt;"",G45&lt;&gt;"Concluída",G45&lt;&gt;"Cancelada",F45&lt;&gt;""),F45+ROW()/100000,"")</f>
        <v/>
      </c>
    </row>
    <row r="46">
      <c r="B46" s="129" t="n"/>
      <c r="C46" s="129" t="n"/>
      <c r="D46" s="129" t="n"/>
      <c r="E46" s="129" t="n"/>
      <c r="F46" s="130" t="n"/>
      <c r="G46" s="129" t="n"/>
      <c r="H46" s="130" t="n"/>
      <c r="I46" s="129" t="n"/>
      <c r="J46" s="134" t="str">
        <f>IF(OR(B46="",F46="",G46="Concluída",G46="Cancelada"),"",F46-Hoje)</f>
        <v/>
      </c>
      <c r="K46" s="138" t="str">
        <f>IF(B46="","",IF(G46="Concluída","✔ Feita",IF(G46="Cancelada","– Cancelada",IF(F46="","○ Sem prazo",IF(F46&lt;Hoje,"✖ Atrasada",IF(F46=Hoje,"▲ Vence hoje",IF(F46-Hoje&lt;=7,"▲ Próximos 7 dias","○ No prazo")))))))</f>
        <v/>
      </c>
      <c r="L46" s="138" t="str">
        <f>IF(OR(B46="",G46="Concluída",G46="Cancelada"),"",IF(E46="Alta",IF(AND(F46&lt;&gt;"",F46-Hoje&lt;=3),"1 · Fazer já","2 · Agendar"),IF(AND(F46&lt;&gt;"",F46-Hoje&lt;=3),"3 · Resolver rápido","4 · Depois")))</f>
        <v/>
      </c>
      <c r="M46" s="129" t="n"/>
      <c r="N46" t="str">
        <f>IF(AND(B46&lt;&gt;"",G46&lt;&gt;"Concluída",G46&lt;&gt;"Cancelada",F46&lt;&gt;""),F46+ROW()/100000,"")</f>
        <v/>
      </c>
    </row>
    <row r="47">
      <c r="B47" s="129" t="n"/>
      <c r="C47" s="129" t="n"/>
      <c r="D47" s="129" t="n"/>
      <c r="E47" s="129" t="n"/>
      <c r="F47" s="130" t="n"/>
      <c r="G47" s="129" t="n"/>
      <c r="H47" s="130" t="n"/>
      <c r="I47" s="129" t="n"/>
      <c r="J47" s="134" t="str">
        <f>IF(OR(B47="",F47="",G47="Concluída",G47="Cancelada"),"",F47-Hoje)</f>
        <v/>
      </c>
      <c r="K47" s="138" t="str">
        <f>IF(B47="","",IF(G47="Concluída","✔ Feita",IF(G47="Cancelada","– Cancelada",IF(F47="","○ Sem prazo",IF(F47&lt;Hoje,"✖ Atrasada",IF(F47=Hoje,"▲ Vence hoje",IF(F47-Hoje&lt;=7,"▲ Próximos 7 dias","○ No prazo")))))))</f>
        <v/>
      </c>
      <c r="L47" s="138" t="str">
        <f>IF(OR(B47="",G47="Concluída",G47="Cancelada"),"",IF(E47="Alta",IF(AND(F47&lt;&gt;"",F47-Hoje&lt;=3),"1 · Fazer já","2 · Agendar"),IF(AND(F47&lt;&gt;"",F47-Hoje&lt;=3),"3 · Resolver rápido","4 · Depois")))</f>
        <v/>
      </c>
      <c r="M47" s="129" t="n"/>
      <c r="N47" t="str">
        <f>IF(AND(B47&lt;&gt;"",G47&lt;&gt;"Concluída",G47&lt;&gt;"Cancelada",F47&lt;&gt;""),F47+ROW()/100000,"")</f>
        <v/>
      </c>
    </row>
    <row r="48">
      <c r="B48" s="129" t="n"/>
      <c r="C48" s="129" t="n"/>
      <c r="D48" s="129" t="n"/>
      <c r="E48" s="129" t="n"/>
      <c r="F48" s="130" t="n"/>
      <c r="G48" s="129" t="n"/>
      <c r="H48" s="130" t="n"/>
      <c r="I48" s="129" t="n"/>
      <c r="J48" s="134" t="str">
        <f>IF(OR(B48="",F48="",G48="Concluída",G48="Cancelada"),"",F48-Hoje)</f>
        <v/>
      </c>
      <c r="K48" s="138" t="str">
        <f>IF(B48="","",IF(G48="Concluída","✔ Feita",IF(G48="Cancelada","– Cancelada",IF(F48="","○ Sem prazo",IF(F48&lt;Hoje,"✖ Atrasada",IF(F48=Hoje,"▲ Vence hoje",IF(F48-Hoje&lt;=7,"▲ Próximos 7 dias","○ No prazo")))))))</f>
        <v/>
      </c>
      <c r="L48" s="138" t="str">
        <f>IF(OR(B48="",G48="Concluída",G48="Cancelada"),"",IF(E48="Alta",IF(AND(F48&lt;&gt;"",F48-Hoje&lt;=3),"1 · Fazer já","2 · Agendar"),IF(AND(F48&lt;&gt;"",F48-Hoje&lt;=3),"3 · Resolver rápido","4 · Depois")))</f>
        <v/>
      </c>
      <c r="M48" s="129" t="n"/>
      <c r="N48" t="str">
        <f>IF(AND(B48&lt;&gt;"",G48&lt;&gt;"Concluída",G48&lt;&gt;"Cancelada",F48&lt;&gt;""),F48+ROW()/100000,"")</f>
        <v/>
      </c>
    </row>
    <row r="49">
      <c r="B49" s="129" t="n"/>
      <c r="C49" s="129" t="n"/>
      <c r="D49" s="129" t="n"/>
      <c r="E49" s="129" t="n"/>
      <c r="F49" s="130" t="n"/>
      <c r="G49" s="129" t="n"/>
      <c r="H49" s="130" t="n"/>
      <c r="I49" s="129" t="n"/>
      <c r="J49" s="134" t="str">
        <f>IF(OR(B49="",F49="",G49="Concluída",G49="Cancelada"),"",F49-Hoje)</f>
        <v/>
      </c>
      <c r="K49" s="138" t="str">
        <f>IF(B49="","",IF(G49="Concluída","✔ Feita",IF(G49="Cancelada","– Cancelada",IF(F49="","○ Sem prazo",IF(F49&lt;Hoje,"✖ Atrasada",IF(F49=Hoje,"▲ Vence hoje",IF(F49-Hoje&lt;=7,"▲ Próximos 7 dias","○ No prazo")))))))</f>
        <v/>
      </c>
      <c r="L49" s="138" t="str">
        <f>IF(OR(B49="",G49="Concluída",G49="Cancelada"),"",IF(E49="Alta",IF(AND(F49&lt;&gt;"",F49-Hoje&lt;=3),"1 · Fazer já","2 · Agendar"),IF(AND(F49&lt;&gt;"",F49-Hoje&lt;=3),"3 · Resolver rápido","4 · Depois")))</f>
        <v/>
      </c>
      <c r="M49" s="129" t="n"/>
      <c r="N49" t="str">
        <f>IF(AND(B49&lt;&gt;"",G49&lt;&gt;"Concluída",G49&lt;&gt;"Cancelada",F49&lt;&gt;""),F49+ROW()/100000,"")</f>
        <v/>
      </c>
    </row>
    <row r="50">
      <c r="B50" s="129" t="n"/>
      <c r="C50" s="129" t="n"/>
      <c r="D50" s="129" t="n"/>
      <c r="E50" s="129" t="n"/>
      <c r="F50" s="130" t="n"/>
      <c r="G50" s="129" t="n"/>
      <c r="H50" s="130" t="n"/>
      <c r="I50" s="129" t="n"/>
      <c r="J50" s="134" t="str">
        <f>IF(OR(B50="",F50="",G50="Concluída",G50="Cancelada"),"",F50-Hoje)</f>
        <v/>
      </c>
      <c r="K50" s="138" t="str">
        <f>IF(B50="","",IF(G50="Concluída","✔ Feita",IF(G50="Cancelada","– Cancelada",IF(F50="","○ Sem prazo",IF(F50&lt;Hoje,"✖ Atrasada",IF(F50=Hoje,"▲ Vence hoje",IF(F50-Hoje&lt;=7,"▲ Próximos 7 dias","○ No prazo")))))))</f>
        <v/>
      </c>
      <c r="L50" s="138" t="str">
        <f>IF(OR(B50="",G50="Concluída",G50="Cancelada"),"",IF(E50="Alta",IF(AND(F50&lt;&gt;"",F50-Hoje&lt;=3),"1 · Fazer já","2 · Agendar"),IF(AND(F50&lt;&gt;"",F50-Hoje&lt;=3),"3 · Resolver rápido","4 · Depois")))</f>
        <v/>
      </c>
      <c r="M50" s="129" t="n"/>
      <c r="N50" t="str">
        <f>IF(AND(B50&lt;&gt;"",G50&lt;&gt;"Concluída",G50&lt;&gt;"Cancelada",F50&lt;&gt;""),F50+ROW()/100000,"")</f>
        <v/>
      </c>
    </row>
    <row r="51">
      <c r="B51" s="129" t="n"/>
      <c r="C51" s="129" t="n"/>
      <c r="D51" s="129" t="n"/>
      <c r="E51" s="129" t="n"/>
      <c r="F51" s="130" t="n"/>
      <c r="G51" s="129" t="n"/>
      <c r="H51" s="130" t="n"/>
      <c r="I51" s="129" t="n"/>
      <c r="J51" s="134" t="str">
        <f>IF(OR(B51="",F51="",G51="Concluída",G51="Cancelada"),"",F51-Hoje)</f>
        <v/>
      </c>
      <c r="K51" s="138" t="str">
        <f>IF(B51="","",IF(G51="Concluída","✔ Feita",IF(G51="Cancelada","– Cancelada",IF(F51="","○ Sem prazo",IF(F51&lt;Hoje,"✖ Atrasada",IF(F51=Hoje,"▲ Vence hoje",IF(F51-Hoje&lt;=7,"▲ Próximos 7 dias","○ No prazo")))))))</f>
        <v/>
      </c>
      <c r="L51" s="138" t="str">
        <f>IF(OR(B51="",G51="Concluída",G51="Cancelada"),"",IF(E51="Alta",IF(AND(F51&lt;&gt;"",F51-Hoje&lt;=3),"1 · Fazer já","2 · Agendar"),IF(AND(F51&lt;&gt;"",F51-Hoje&lt;=3),"3 · Resolver rápido","4 · Depois")))</f>
        <v/>
      </c>
      <c r="M51" s="129" t="n"/>
      <c r="N51" t="str">
        <f>IF(AND(B51&lt;&gt;"",G51&lt;&gt;"Concluída",G51&lt;&gt;"Cancelada",F51&lt;&gt;""),F51+ROW()/100000,"")</f>
        <v/>
      </c>
    </row>
    <row r="52">
      <c r="B52" s="129" t="n"/>
      <c r="C52" s="129" t="n"/>
      <c r="D52" s="129" t="n"/>
      <c r="E52" s="129" t="n"/>
      <c r="F52" s="130" t="n"/>
      <c r="G52" s="129" t="n"/>
      <c r="H52" s="130" t="n"/>
      <c r="I52" s="129" t="n"/>
      <c r="J52" s="134" t="str">
        <f>IF(OR(B52="",F52="",G52="Concluída",G52="Cancelada"),"",F52-Hoje)</f>
        <v/>
      </c>
      <c r="K52" s="138" t="str">
        <f>IF(B52="","",IF(G52="Concluída","✔ Feita",IF(G52="Cancelada","– Cancelada",IF(F52="","○ Sem prazo",IF(F52&lt;Hoje,"✖ Atrasada",IF(F52=Hoje,"▲ Vence hoje",IF(F52-Hoje&lt;=7,"▲ Próximos 7 dias","○ No prazo")))))))</f>
        <v/>
      </c>
      <c r="L52" s="138" t="str">
        <f>IF(OR(B52="",G52="Concluída",G52="Cancelada"),"",IF(E52="Alta",IF(AND(F52&lt;&gt;"",F52-Hoje&lt;=3),"1 · Fazer já","2 · Agendar"),IF(AND(F52&lt;&gt;"",F52-Hoje&lt;=3),"3 · Resolver rápido","4 · Depois")))</f>
        <v/>
      </c>
      <c r="M52" s="129" t="n"/>
      <c r="N52" t="str">
        <f>IF(AND(B52&lt;&gt;"",G52&lt;&gt;"Concluída",G52&lt;&gt;"Cancelada",F52&lt;&gt;""),F52+ROW()/100000,"")</f>
        <v/>
      </c>
    </row>
    <row r="53">
      <c r="B53" s="129" t="n"/>
      <c r="C53" s="129" t="n"/>
      <c r="D53" s="129" t="n"/>
      <c r="E53" s="129" t="n"/>
      <c r="F53" s="130" t="n"/>
      <c r="G53" s="129" t="n"/>
      <c r="H53" s="130" t="n"/>
      <c r="I53" s="129" t="n"/>
      <c r="J53" s="134" t="str">
        <f>IF(OR(B53="",F53="",G53="Concluída",G53="Cancelada"),"",F53-Hoje)</f>
        <v/>
      </c>
      <c r="K53" s="138" t="str">
        <f>IF(B53="","",IF(G53="Concluída","✔ Feita",IF(G53="Cancelada","– Cancelada",IF(F53="","○ Sem prazo",IF(F53&lt;Hoje,"✖ Atrasada",IF(F53=Hoje,"▲ Vence hoje",IF(F53-Hoje&lt;=7,"▲ Próximos 7 dias","○ No prazo")))))))</f>
        <v/>
      </c>
      <c r="L53" s="138" t="str">
        <f>IF(OR(B53="",G53="Concluída",G53="Cancelada"),"",IF(E53="Alta",IF(AND(F53&lt;&gt;"",F53-Hoje&lt;=3),"1 · Fazer já","2 · Agendar"),IF(AND(F53&lt;&gt;"",F53-Hoje&lt;=3),"3 · Resolver rápido","4 · Depois")))</f>
        <v/>
      </c>
      <c r="M53" s="129" t="n"/>
      <c r="N53" t="str">
        <f>IF(AND(B53&lt;&gt;"",G53&lt;&gt;"Concluída",G53&lt;&gt;"Cancelada",F53&lt;&gt;""),F53+ROW()/100000,"")</f>
        <v/>
      </c>
    </row>
    <row r="54">
      <c r="B54" s="129" t="n"/>
      <c r="C54" s="129" t="n"/>
      <c r="D54" s="129" t="n"/>
      <c r="E54" s="129" t="n"/>
      <c r="F54" s="130" t="n"/>
      <c r="G54" s="129" t="n"/>
      <c r="H54" s="130" t="n"/>
      <c r="I54" s="129" t="n"/>
      <c r="J54" s="134" t="str">
        <f>IF(OR(B54="",F54="",G54="Concluída",G54="Cancelada"),"",F54-Hoje)</f>
        <v/>
      </c>
      <c r="K54" s="138" t="str">
        <f>IF(B54="","",IF(G54="Concluída","✔ Feita",IF(G54="Cancelada","– Cancelada",IF(F54="","○ Sem prazo",IF(F54&lt;Hoje,"✖ Atrasada",IF(F54=Hoje,"▲ Vence hoje",IF(F54-Hoje&lt;=7,"▲ Próximos 7 dias","○ No prazo")))))))</f>
        <v/>
      </c>
      <c r="L54" s="138" t="str">
        <f>IF(OR(B54="",G54="Concluída",G54="Cancelada"),"",IF(E54="Alta",IF(AND(F54&lt;&gt;"",F54-Hoje&lt;=3),"1 · Fazer já","2 · Agendar"),IF(AND(F54&lt;&gt;"",F54-Hoje&lt;=3),"3 · Resolver rápido","4 · Depois")))</f>
        <v/>
      </c>
      <c r="M54" s="129" t="n"/>
      <c r="N54" t="str">
        <f>IF(AND(B54&lt;&gt;"",G54&lt;&gt;"Concluída",G54&lt;&gt;"Cancelada",F54&lt;&gt;""),F54+ROW()/100000,"")</f>
        <v/>
      </c>
    </row>
    <row r="55">
      <c r="B55" s="129" t="n"/>
      <c r="C55" s="129" t="n"/>
      <c r="D55" s="129" t="n"/>
      <c r="E55" s="129" t="n"/>
      <c r="F55" s="130" t="n"/>
      <c r="G55" s="129" t="n"/>
      <c r="H55" s="130" t="n"/>
      <c r="I55" s="129" t="n"/>
      <c r="J55" s="134" t="str">
        <f>IF(OR(B55="",F55="",G55="Concluída",G55="Cancelada"),"",F55-Hoje)</f>
        <v/>
      </c>
      <c r="K55" s="138" t="str">
        <f>IF(B55="","",IF(G55="Concluída","✔ Feita",IF(G55="Cancelada","– Cancelada",IF(F55="","○ Sem prazo",IF(F55&lt;Hoje,"✖ Atrasada",IF(F55=Hoje,"▲ Vence hoje",IF(F55-Hoje&lt;=7,"▲ Próximos 7 dias","○ No prazo")))))))</f>
        <v/>
      </c>
      <c r="L55" s="138" t="str">
        <f>IF(OR(B55="",G55="Concluída",G55="Cancelada"),"",IF(E55="Alta",IF(AND(F55&lt;&gt;"",F55-Hoje&lt;=3),"1 · Fazer já","2 · Agendar"),IF(AND(F55&lt;&gt;"",F55-Hoje&lt;=3),"3 · Resolver rápido","4 · Depois")))</f>
        <v/>
      </c>
      <c r="M55" s="129" t="n"/>
      <c r="N55" t="str">
        <f>IF(AND(B55&lt;&gt;"",G55&lt;&gt;"Concluída",G55&lt;&gt;"Cancelada",F55&lt;&gt;""),F55+ROW()/100000,"")</f>
        <v/>
      </c>
    </row>
    <row r="56">
      <c r="B56" s="129" t="n"/>
      <c r="C56" s="129" t="n"/>
      <c r="D56" s="129" t="n"/>
      <c r="E56" s="129" t="n"/>
      <c r="F56" s="130" t="n"/>
      <c r="G56" s="129" t="n"/>
      <c r="H56" s="130" t="n"/>
      <c r="I56" s="129" t="n"/>
      <c r="J56" s="134" t="str">
        <f>IF(OR(B56="",F56="",G56="Concluída",G56="Cancelada"),"",F56-Hoje)</f>
        <v/>
      </c>
      <c r="K56" s="138" t="str">
        <f>IF(B56="","",IF(G56="Concluída","✔ Feita",IF(G56="Cancelada","– Cancelada",IF(F56="","○ Sem prazo",IF(F56&lt;Hoje,"✖ Atrasada",IF(F56=Hoje,"▲ Vence hoje",IF(F56-Hoje&lt;=7,"▲ Próximos 7 dias","○ No prazo")))))))</f>
        <v/>
      </c>
      <c r="L56" s="138" t="str">
        <f>IF(OR(B56="",G56="Concluída",G56="Cancelada"),"",IF(E56="Alta",IF(AND(F56&lt;&gt;"",F56-Hoje&lt;=3),"1 · Fazer já","2 · Agendar"),IF(AND(F56&lt;&gt;"",F56-Hoje&lt;=3),"3 · Resolver rápido","4 · Depois")))</f>
        <v/>
      </c>
      <c r="M56" s="129" t="n"/>
      <c r="N56" t="str">
        <f>IF(AND(B56&lt;&gt;"",G56&lt;&gt;"Concluída",G56&lt;&gt;"Cancelada",F56&lt;&gt;""),F56+ROW()/100000,"")</f>
        <v/>
      </c>
    </row>
    <row r="57">
      <c r="B57" s="129" t="n"/>
      <c r="C57" s="129" t="n"/>
      <c r="D57" s="129" t="n"/>
      <c r="E57" s="129" t="n"/>
      <c r="F57" s="130" t="n"/>
      <c r="G57" s="129" t="n"/>
      <c r="H57" s="130" t="n"/>
      <c r="I57" s="129" t="n"/>
      <c r="J57" s="134" t="str">
        <f>IF(OR(B57="",F57="",G57="Concluída",G57="Cancelada"),"",F57-Hoje)</f>
        <v/>
      </c>
      <c r="K57" s="138" t="str">
        <f>IF(B57="","",IF(G57="Concluída","✔ Feita",IF(G57="Cancelada","– Cancelada",IF(F57="","○ Sem prazo",IF(F57&lt;Hoje,"✖ Atrasada",IF(F57=Hoje,"▲ Vence hoje",IF(F57-Hoje&lt;=7,"▲ Próximos 7 dias","○ No prazo")))))))</f>
        <v/>
      </c>
      <c r="L57" s="138" t="str">
        <f>IF(OR(B57="",G57="Concluída",G57="Cancelada"),"",IF(E57="Alta",IF(AND(F57&lt;&gt;"",F57-Hoje&lt;=3),"1 · Fazer já","2 · Agendar"),IF(AND(F57&lt;&gt;"",F57-Hoje&lt;=3),"3 · Resolver rápido","4 · Depois")))</f>
        <v/>
      </c>
      <c r="M57" s="129" t="n"/>
      <c r="N57" t="str">
        <f>IF(AND(B57&lt;&gt;"",G57&lt;&gt;"Concluída",G57&lt;&gt;"Cancelada",F57&lt;&gt;""),F57+ROW()/100000,"")</f>
        <v/>
      </c>
    </row>
    <row r="58">
      <c r="B58" s="129" t="n"/>
      <c r="C58" s="129" t="n"/>
      <c r="D58" s="129" t="n"/>
      <c r="E58" s="129" t="n"/>
      <c r="F58" s="130" t="n"/>
      <c r="G58" s="129" t="n"/>
      <c r="H58" s="130" t="n"/>
      <c r="I58" s="129" t="n"/>
      <c r="J58" s="134" t="str">
        <f>IF(OR(B58="",F58="",G58="Concluída",G58="Cancelada"),"",F58-Hoje)</f>
        <v/>
      </c>
      <c r="K58" s="138" t="str">
        <f>IF(B58="","",IF(G58="Concluída","✔ Feita",IF(G58="Cancelada","– Cancelada",IF(F58="","○ Sem prazo",IF(F58&lt;Hoje,"✖ Atrasada",IF(F58=Hoje,"▲ Vence hoje",IF(F58-Hoje&lt;=7,"▲ Próximos 7 dias","○ No prazo")))))))</f>
        <v/>
      </c>
      <c r="L58" s="138" t="str">
        <f>IF(OR(B58="",G58="Concluída",G58="Cancelada"),"",IF(E58="Alta",IF(AND(F58&lt;&gt;"",F58-Hoje&lt;=3),"1 · Fazer já","2 · Agendar"),IF(AND(F58&lt;&gt;"",F58-Hoje&lt;=3),"3 · Resolver rápido","4 · Depois")))</f>
        <v/>
      </c>
      <c r="M58" s="129" t="n"/>
      <c r="N58" t="str">
        <f>IF(AND(B58&lt;&gt;"",G58&lt;&gt;"Concluída",G58&lt;&gt;"Cancelada",F58&lt;&gt;""),F58+ROW()/100000,"")</f>
        <v/>
      </c>
    </row>
    <row r="59">
      <c r="B59" s="129" t="n"/>
      <c r="C59" s="129" t="n"/>
      <c r="D59" s="129" t="n"/>
      <c r="E59" s="129" t="n"/>
      <c r="F59" s="130" t="n"/>
      <c r="G59" s="129" t="n"/>
      <c r="H59" s="130" t="n"/>
      <c r="I59" s="129" t="n"/>
      <c r="J59" s="134" t="str">
        <f>IF(OR(B59="",F59="",G59="Concluída",G59="Cancelada"),"",F59-Hoje)</f>
        <v/>
      </c>
      <c r="K59" s="138" t="str">
        <f>IF(B59="","",IF(G59="Concluída","✔ Feita",IF(G59="Cancelada","– Cancelada",IF(F59="","○ Sem prazo",IF(F59&lt;Hoje,"✖ Atrasada",IF(F59=Hoje,"▲ Vence hoje",IF(F59-Hoje&lt;=7,"▲ Próximos 7 dias","○ No prazo")))))))</f>
        <v/>
      </c>
      <c r="L59" s="138" t="str">
        <f>IF(OR(B59="",G59="Concluída",G59="Cancelada"),"",IF(E59="Alta",IF(AND(F59&lt;&gt;"",F59-Hoje&lt;=3),"1 · Fazer já","2 · Agendar"),IF(AND(F59&lt;&gt;"",F59-Hoje&lt;=3),"3 · Resolver rápido","4 · Depois")))</f>
        <v/>
      </c>
      <c r="M59" s="129" t="n"/>
      <c r="N59" t="str">
        <f>IF(AND(B59&lt;&gt;"",G59&lt;&gt;"Concluída",G59&lt;&gt;"Cancelada",F59&lt;&gt;""),F59+ROW()/100000,"")</f>
        <v/>
      </c>
    </row>
    <row r="60">
      <c r="B60" s="129" t="n"/>
      <c r="C60" s="129" t="n"/>
      <c r="D60" s="129" t="n"/>
      <c r="E60" s="129" t="n"/>
      <c r="F60" s="130" t="n"/>
      <c r="G60" s="129" t="n"/>
      <c r="H60" s="130" t="n"/>
      <c r="I60" s="129" t="n"/>
      <c r="J60" s="134" t="str">
        <f>IF(OR(B60="",F60="",G60="Concluída",G60="Cancelada"),"",F60-Hoje)</f>
        <v/>
      </c>
      <c r="K60" s="138" t="str">
        <f>IF(B60="","",IF(G60="Concluída","✔ Feita",IF(G60="Cancelada","– Cancelada",IF(F60="","○ Sem prazo",IF(F60&lt;Hoje,"✖ Atrasada",IF(F60=Hoje,"▲ Vence hoje",IF(F60-Hoje&lt;=7,"▲ Próximos 7 dias","○ No prazo")))))))</f>
        <v/>
      </c>
      <c r="L60" s="138" t="str">
        <f>IF(OR(B60="",G60="Concluída",G60="Cancelada"),"",IF(E60="Alta",IF(AND(F60&lt;&gt;"",F60-Hoje&lt;=3),"1 · Fazer já","2 · Agendar"),IF(AND(F60&lt;&gt;"",F60-Hoje&lt;=3),"3 · Resolver rápido","4 · Depois")))</f>
        <v/>
      </c>
      <c r="M60" s="129" t="n"/>
      <c r="N60" t="str">
        <f>IF(AND(B60&lt;&gt;"",G60&lt;&gt;"Concluída",G60&lt;&gt;"Cancelada",F60&lt;&gt;""),F60+ROW()/100000,"")</f>
        <v/>
      </c>
    </row>
    <row r="61">
      <c r="B61" s="129" t="n"/>
      <c r="C61" s="129" t="n"/>
      <c r="D61" s="129" t="n"/>
      <c r="E61" s="129" t="n"/>
      <c r="F61" s="130" t="n"/>
      <c r="G61" s="129" t="n"/>
      <c r="H61" s="130" t="n"/>
      <c r="I61" s="129" t="n"/>
      <c r="J61" s="134" t="str">
        <f>IF(OR(B61="",F61="",G61="Concluída",G61="Cancelada"),"",F61-Hoje)</f>
        <v/>
      </c>
      <c r="K61" s="138" t="str">
        <f>IF(B61="","",IF(G61="Concluída","✔ Feita",IF(G61="Cancelada","– Cancelada",IF(F61="","○ Sem prazo",IF(F61&lt;Hoje,"✖ Atrasada",IF(F61=Hoje,"▲ Vence hoje",IF(F61-Hoje&lt;=7,"▲ Próximos 7 dias","○ No prazo")))))))</f>
        <v/>
      </c>
      <c r="L61" s="138" t="str">
        <f>IF(OR(B61="",G61="Concluída",G61="Cancelada"),"",IF(E61="Alta",IF(AND(F61&lt;&gt;"",F61-Hoje&lt;=3),"1 · Fazer já","2 · Agendar"),IF(AND(F61&lt;&gt;"",F61-Hoje&lt;=3),"3 · Resolver rápido","4 · Depois")))</f>
        <v/>
      </c>
      <c r="M61" s="129" t="n"/>
      <c r="N61" t="str">
        <f>IF(AND(B61&lt;&gt;"",G61&lt;&gt;"Concluída",G61&lt;&gt;"Cancelada",F61&lt;&gt;""),F61+ROW()/100000,"")</f>
        <v/>
      </c>
    </row>
    <row r="62">
      <c r="B62" s="129" t="n"/>
      <c r="C62" s="129" t="n"/>
      <c r="D62" s="129" t="n"/>
      <c r="E62" s="129" t="n"/>
      <c r="F62" s="130" t="n"/>
      <c r="G62" s="129" t="n"/>
      <c r="H62" s="130" t="n"/>
      <c r="I62" s="129" t="n"/>
      <c r="J62" s="134" t="str">
        <f>IF(OR(B62="",F62="",G62="Concluída",G62="Cancelada"),"",F62-Hoje)</f>
        <v/>
      </c>
      <c r="K62" s="138" t="str">
        <f>IF(B62="","",IF(G62="Concluída","✔ Feita",IF(G62="Cancelada","– Cancelada",IF(F62="","○ Sem prazo",IF(F62&lt;Hoje,"✖ Atrasada",IF(F62=Hoje,"▲ Vence hoje",IF(F62-Hoje&lt;=7,"▲ Próximos 7 dias","○ No prazo")))))))</f>
        <v/>
      </c>
      <c r="L62" s="138" t="str">
        <f>IF(OR(B62="",G62="Concluída",G62="Cancelada"),"",IF(E62="Alta",IF(AND(F62&lt;&gt;"",F62-Hoje&lt;=3),"1 · Fazer já","2 · Agendar"),IF(AND(F62&lt;&gt;"",F62-Hoje&lt;=3),"3 · Resolver rápido","4 · Depois")))</f>
        <v/>
      </c>
      <c r="M62" s="129" t="n"/>
      <c r="N62" t="str">
        <f>IF(AND(B62&lt;&gt;"",G62&lt;&gt;"Concluída",G62&lt;&gt;"Cancelada",F62&lt;&gt;""),F62+ROW()/100000,"")</f>
        <v/>
      </c>
    </row>
    <row r="63">
      <c r="B63" s="129" t="n"/>
      <c r="C63" s="129" t="n"/>
      <c r="D63" s="129" t="n"/>
      <c r="E63" s="129" t="n"/>
      <c r="F63" s="130" t="n"/>
      <c r="G63" s="129" t="n"/>
      <c r="H63" s="130" t="n"/>
      <c r="I63" s="129" t="n"/>
      <c r="J63" s="134" t="str">
        <f>IF(OR(B63="",F63="",G63="Concluída",G63="Cancelada"),"",F63-Hoje)</f>
        <v/>
      </c>
      <c r="K63" s="138" t="str">
        <f>IF(B63="","",IF(G63="Concluída","✔ Feita",IF(G63="Cancelada","– Cancelada",IF(F63="","○ Sem prazo",IF(F63&lt;Hoje,"✖ Atrasada",IF(F63=Hoje,"▲ Vence hoje",IF(F63-Hoje&lt;=7,"▲ Próximos 7 dias","○ No prazo")))))))</f>
        <v/>
      </c>
      <c r="L63" s="138" t="str">
        <f>IF(OR(B63="",G63="Concluída",G63="Cancelada"),"",IF(E63="Alta",IF(AND(F63&lt;&gt;"",F63-Hoje&lt;=3),"1 · Fazer já","2 · Agendar"),IF(AND(F63&lt;&gt;"",F63-Hoje&lt;=3),"3 · Resolver rápido","4 · Depois")))</f>
        <v/>
      </c>
      <c r="M63" s="129" t="n"/>
      <c r="N63" t="str">
        <f>IF(AND(B63&lt;&gt;"",G63&lt;&gt;"Concluída",G63&lt;&gt;"Cancelada",F63&lt;&gt;""),F63+ROW()/100000,"")</f>
        <v/>
      </c>
    </row>
    <row r="64">
      <c r="B64" s="129" t="n"/>
      <c r="C64" s="129" t="n"/>
      <c r="D64" s="129" t="n"/>
      <c r="E64" s="129" t="n"/>
      <c r="F64" s="130" t="n"/>
      <c r="G64" s="129" t="n"/>
      <c r="H64" s="130" t="n"/>
      <c r="I64" s="129" t="n"/>
      <c r="J64" s="134" t="str">
        <f>IF(OR(B64="",F64="",G64="Concluída",G64="Cancelada"),"",F64-Hoje)</f>
        <v/>
      </c>
      <c r="K64" s="138" t="str">
        <f>IF(B64="","",IF(G64="Concluída","✔ Feita",IF(G64="Cancelada","– Cancelada",IF(F64="","○ Sem prazo",IF(F64&lt;Hoje,"✖ Atrasada",IF(F64=Hoje,"▲ Vence hoje",IF(F64-Hoje&lt;=7,"▲ Próximos 7 dias","○ No prazo")))))))</f>
        <v/>
      </c>
      <c r="L64" s="138" t="str">
        <f>IF(OR(B64="",G64="Concluída",G64="Cancelada"),"",IF(E64="Alta",IF(AND(F64&lt;&gt;"",F64-Hoje&lt;=3),"1 · Fazer já","2 · Agendar"),IF(AND(F64&lt;&gt;"",F64-Hoje&lt;=3),"3 · Resolver rápido","4 · Depois")))</f>
        <v/>
      </c>
      <c r="M64" s="129" t="n"/>
      <c r="N64" t="str">
        <f>IF(AND(B64&lt;&gt;"",G64&lt;&gt;"Concluída",G64&lt;&gt;"Cancelada",F64&lt;&gt;""),F64+ROW()/100000,"")</f>
        <v/>
      </c>
    </row>
    <row r="65">
      <c r="B65" s="129" t="n"/>
      <c r="C65" s="129" t="n"/>
      <c r="D65" s="129" t="n"/>
      <c r="E65" s="129" t="n"/>
      <c r="F65" s="130" t="n"/>
      <c r="G65" s="129" t="n"/>
      <c r="H65" s="130" t="n"/>
      <c r="I65" s="129" t="n"/>
      <c r="J65" s="134" t="str">
        <f>IF(OR(B65="",F65="",G65="Concluída",G65="Cancelada"),"",F65-Hoje)</f>
        <v/>
      </c>
      <c r="K65" s="138" t="str">
        <f>IF(B65="","",IF(G65="Concluída","✔ Feita",IF(G65="Cancelada","– Cancelada",IF(F65="","○ Sem prazo",IF(F65&lt;Hoje,"✖ Atrasada",IF(F65=Hoje,"▲ Vence hoje",IF(F65-Hoje&lt;=7,"▲ Próximos 7 dias","○ No prazo")))))))</f>
        <v/>
      </c>
      <c r="L65" s="138" t="str">
        <f>IF(OR(B65="",G65="Concluída",G65="Cancelada"),"",IF(E65="Alta",IF(AND(F65&lt;&gt;"",F65-Hoje&lt;=3),"1 · Fazer já","2 · Agendar"),IF(AND(F65&lt;&gt;"",F65-Hoje&lt;=3),"3 · Resolver rápido","4 · Depois")))</f>
        <v/>
      </c>
      <c r="M65" s="129" t="n"/>
      <c r="N65" t="str">
        <f>IF(AND(B65&lt;&gt;"",G65&lt;&gt;"Concluída",G65&lt;&gt;"Cancelada",F65&lt;&gt;""),F65+ROW()/100000,"")</f>
        <v/>
      </c>
    </row>
    <row r="66">
      <c r="B66" s="129" t="n"/>
      <c r="C66" s="129" t="n"/>
      <c r="D66" s="129" t="n"/>
      <c r="E66" s="129" t="n"/>
      <c r="F66" s="130" t="n"/>
      <c r="G66" s="129" t="n"/>
      <c r="H66" s="130" t="n"/>
      <c r="I66" s="129" t="n"/>
      <c r="J66" s="134" t="str">
        <f>IF(OR(B66="",F66="",G66="Concluída",G66="Cancelada"),"",F66-Hoje)</f>
        <v/>
      </c>
      <c r="K66" s="138" t="str">
        <f>IF(B66="","",IF(G66="Concluída","✔ Feita",IF(G66="Cancelada","– Cancelada",IF(F66="","○ Sem prazo",IF(F66&lt;Hoje,"✖ Atrasada",IF(F66=Hoje,"▲ Vence hoje",IF(F66-Hoje&lt;=7,"▲ Próximos 7 dias","○ No prazo")))))))</f>
        <v/>
      </c>
      <c r="L66" s="138" t="str">
        <f>IF(OR(B66="",G66="Concluída",G66="Cancelada"),"",IF(E66="Alta",IF(AND(F66&lt;&gt;"",F66-Hoje&lt;=3),"1 · Fazer já","2 · Agendar"),IF(AND(F66&lt;&gt;"",F66-Hoje&lt;=3),"3 · Resolver rápido","4 · Depois")))</f>
        <v/>
      </c>
      <c r="M66" s="129" t="n"/>
      <c r="N66" t="str">
        <f>IF(AND(B66&lt;&gt;"",G66&lt;&gt;"Concluída",G66&lt;&gt;"Cancelada",F66&lt;&gt;""),F66+ROW()/100000,"")</f>
        <v/>
      </c>
    </row>
    <row r="67">
      <c r="B67" s="129" t="n"/>
      <c r="C67" s="129" t="n"/>
      <c r="D67" s="129" t="n"/>
      <c r="E67" s="129" t="n"/>
      <c r="F67" s="130" t="n"/>
      <c r="G67" s="129" t="n"/>
      <c r="H67" s="130" t="n"/>
      <c r="I67" s="129" t="n"/>
      <c r="J67" s="134" t="str">
        <f>IF(OR(B67="",F67="",G67="Concluída",G67="Cancelada"),"",F67-Hoje)</f>
        <v/>
      </c>
      <c r="K67" s="138" t="str">
        <f>IF(B67="","",IF(G67="Concluída","✔ Feita",IF(G67="Cancelada","– Cancelada",IF(F67="","○ Sem prazo",IF(F67&lt;Hoje,"✖ Atrasada",IF(F67=Hoje,"▲ Vence hoje",IF(F67-Hoje&lt;=7,"▲ Próximos 7 dias","○ No prazo")))))))</f>
        <v/>
      </c>
      <c r="L67" s="138" t="str">
        <f>IF(OR(B67="",G67="Concluída",G67="Cancelada"),"",IF(E67="Alta",IF(AND(F67&lt;&gt;"",F67-Hoje&lt;=3),"1 · Fazer já","2 · Agendar"),IF(AND(F67&lt;&gt;"",F67-Hoje&lt;=3),"3 · Resolver rápido","4 · Depois")))</f>
        <v/>
      </c>
      <c r="M67" s="129" t="n"/>
      <c r="N67" t="str">
        <f>IF(AND(B67&lt;&gt;"",G67&lt;&gt;"Concluída",G67&lt;&gt;"Cancelada",F67&lt;&gt;""),F67+ROW()/100000,"")</f>
        <v/>
      </c>
    </row>
    <row r="68">
      <c r="B68" s="129" t="n"/>
      <c r="C68" s="129" t="n"/>
      <c r="D68" s="129" t="n"/>
      <c r="E68" s="129" t="n"/>
      <c r="F68" s="130" t="n"/>
      <c r="G68" s="129" t="n"/>
      <c r="H68" s="130" t="n"/>
      <c r="I68" s="129" t="n"/>
      <c r="J68" s="134" t="str">
        <f>IF(OR(B68="",F68="",G68="Concluída",G68="Cancelada"),"",F68-Hoje)</f>
        <v/>
      </c>
      <c r="K68" s="138" t="str">
        <f>IF(B68="","",IF(G68="Concluída","✔ Feita",IF(G68="Cancelada","– Cancelada",IF(F68="","○ Sem prazo",IF(F68&lt;Hoje,"✖ Atrasada",IF(F68=Hoje,"▲ Vence hoje",IF(F68-Hoje&lt;=7,"▲ Próximos 7 dias","○ No prazo")))))))</f>
        <v/>
      </c>
      <c r="L68" s="138" t="str">
        <f>IF(OR(B68="",G68="Concluída",G68="Cancelada"),"",IF(E68="Alta",IF(AND(F68&lt;&gt;"",F68-Hoje&lt;=3),"1 · Fazer já","2 · Agendar"),IF(AND(F68&lt;&gt;"",F68-Hoje&lt;=3),"3 · Resolver rápido","4 · Depois")))</f>
        <v/>
      </c>
      <c r="M68" s="129" t="n"/>
      <c r="N68" t="str">
        <f>IF(AND(B68&lt;&gt;"",G68&lt;&gt;"Concluída",G68&lt;&gt;"Cancelada",F68&lt;&gt;""),F68+ROW()/100000,"")</f>
        <v/>
      </c>
    </row>
    <row r="69">
      <c r="B69" s="129" t="n"/>
      <c r="C69" s="129" t="n"/>
      <c r="D69" s="129" t="n"/>
      <c r="E69" s="129" t="n"/>
      <c r="F69" s="130" t="n"/>
      <c r="G69" s="129" t="n"/>
      <c r="H69" s="130" t="n"/>
      <c r="I69" s="129" t="n"/>
      <c r="J69" s="134" t="str">
        <f>IF(OR(B69="",F69="",G69="Concluída",G69="Cancelada"),"",F69-Hoje)</f>
        <v/>
      </c>
      <c r="K69" s="138" t="str">
        <f>IF(B69="","",IF(G69="Concluída","✔ Feita",IF(G69="Cancelada","– Cancelada",IF(F69="","○ Sem prazo",IF(F69&lt;Hoje,"✖ Atrasada",IF(F69=Hoje,"▲ Vence hoje",IF(F69-Hoje&lt;=7,"▲ Próximos 7 dias","○ No prazo")))))))</f>
        <v/>
      </c>
      <c r="L69" s="138" t="str">
        <f>IF(OR(B69="",G69="Concluída",G69="Cancelada"),"",IF(E69="Alta",IF(AND(F69&lt;&gt;"",F69-Hoje&lt;=3),"1 · Fazer já","2 · Agendar"),IF(AND(F69&lt;&gt;"",F69-Hoje&lt;=3),"3 · Resolver rápido","4 · Depois")))</f>
        <v/>
      </c>
      <c r="M69" s="129" t="n"/>
      <c r="N69" t="str">
        <f>IF(AND(B69&lt;&gt;"",G69&lt;&gt;"Concluída",G69&lt;&gt;"Cancelada",F69&lt;&gt;""),F69+ROW()/100000,"")</f>
        <v/>
      </c>
    </row>
    <row r="70">
      <c r="B70" s="129" t="n"/>
      <c r="C70" s="129" t="n"/>
      <c r="D70" s="129" t="n"/>
      <c r="E70" s="129" t="n"/>
      <c r="F70" s="130" t="n"/>
      <c r="G70" s="129" t="n"/>
      <c r="H70" s="130" t="n"/>
      <c r="I70" s="129" t="n"/>
      <c r="J70" s="134" t="str">
        <f>IF(OR(B70="",F70="",G70="Concluída",G70="Cancelada"),"",F70-Hoje)</f>
        <v/>
      </c>
      <c r="K70" s="138" t="str">
        <f>IF(B70="","",IF(G70="Concluída","✔ Feita",IF(G70="Cancelada","– Cancelada",IF(F70="","○ Sem prazo",IF(F70&lt;Hoje,"✖ Atrasada",IF(F70=Hoje,"▲ Vence hoje",IF(F70-Hoje&lt;=7,"▲ Próximos 7 dias","○ No prazo")))))))</f>
        <v/>
      </c>
      <c r="L70" s="138" t="str">
        <f>IF(OR(B70="",G70="Concluída",G70="Cancelada"),"",IF(E70="Alta",IF(AND(F70&lt;&gt;"",F70-Hoje&lt;=3),"1 · Fazer já","2 · Agendar"),IF(AND(F70&lt;&gt;"",F70-Hoje&lt;=3),"3 · Resolver rápido","4 · Depois")))</f>
        <v/>
      </c>
      <c r="M70" s="129" t="n"/>
      <c r="N70" t="str">
        <f>IF(AND(B70&lt;&gt;"",G70&lt;&gt;"Concluída",G70&lt;&gt;"Cancelada",F70&lt;&gt;""),F70+ROW()/100000,"")</f>
        <v/>
      </c>
    </row>
    <row r="71">
      <c r="B71" s="129" t="n"/>
      <c r="C71" s="129" t="n"/>
      <c r="D71" s="129" t="n"/>
      <c r="E71" s="129" t="n"/>
      <c r="F71" s="130" t="n"/>
      <c r="G71" s="129" t="n"/>
      <c r="H71" s="130" t="n"/>
      <c r="I71" s="129" t="n"/>
      <c r="J71" s="134" t="str">
        <f>IF(OR(B71="",F71="",G71="Concluída",G71="Cancelada"),"",F71-Hoje)</f>
        <v/>
      </c>
      <c r="K71" s="138" t="str">
        <f>IF(B71="","",IF(G71="Concluída","✔ Feita",IF(G71="Cancelada","– Cancelada",IF(F71="","○ Sem prazo",IF(F71&lt;Hoje,"✖ Atrasada",IF(F71=Hoje,"▲ Vence hoje",IF(F71-Hoje&lt;=7,"▲ Próximos 7 dias","○ No prazo")))))))</f>
        <v/>
      </c>
      <c r="L71" s="138" t="str">
        <f>IF(OR(B71="",G71="Concluída",G71="Cancelada"),"",IF(E71="Alta",IF(AND(F71&lt;&gt;"",F71-Hoje&lt;=3),"1 · Fazer já","2 · Agendar"),IF(AND(F71&lt;&gt;"",F71-Hoje&lt;=3),"3 · Resolver rápido","4 · Depois")))</f>
        <v/>
      </c>
      <c r="M71" s="129" t="n"/>
      <c r="N71" t="str">
        <f>IF(AND(B71&lt;&gt;"",G71&lt;&gt;"Concluída",G71&lt;&gt;"Cancelada",F71&lt;&gt;""),F71+ROW()/100000,"")</f>
        <v/>
      </c>
    </row>
    <row r="72">
      <c r="B72" s="129" t="n"/>
      <c r="C72" s="129" t="n"/>
      <c r="D72" s="129" t="n"/>
      <c r="E72" s="129" t="n"/>
      <c r="F72" s="130" t="n"/>
      <c r="G72" s="129" t="n"/>
      <c r="H72" s="130" t="n"/>
      <c r="I72" s="129" t="n"/>
      <c r="J72" s="134" t="str">
        <f>IF(OR(B72="",F72="",G72="Concluída",G72="Cancelada"),"",F72-Hoje)</f>
        <v/>
      </c>
      <c r="K72" s="138" t="str">
        <f>IF(B72="","",IF(G72="Concluída","✔ Feita",IF(G72="Cancelada","– Cancelada",IF(F72="","○ Sem prazo",IF(F72&lt;Hoje,"✖ Atrasada",IF(F72=Hoje,"▲ Vence hoje",IF(F72-Hoje&lt;=7,"▲ Próximos 7 dias","○ No prazo")))))))</f>
        <v/>
      </c>
      <c r="L72" s="138" t="str">
        <f>IF(OR(B72="",G72="Concluída",G72="Cancelada"),"",IF(E72="Alta",IF(AND(F72&lt;&gt;"",F72-Hoje&lt;=3),"1 · Fazer já","2 · Agendar"),IF(AND(F72&lt;&gt;"",F72-Hoje&lt;=3),"3 · Resolver rápido","4 · Depois")))</f>
        <v/>
      </c>
      <c r="M72" s="129" t="n"/>
      <c r="N72" t="str">
        <f>IF(AND(B72&lt;&gt;"",G72&lt;&gt;"Concluída",G72&lt;&gt;"Cancelada",F72&lt;&gt;""),F72+ROW()/100000,"")</f>
        <v/>
      </c>
    </row>
    <row r="73">
      <c r="B73" s="129" t="n"/>
      <c r="C73" s="129" t="n"/>
      <c r="D73" s="129" t="n"/>
      <c r="E73" s="129" t="n"/>
      <c r="F73" s="130" t="n"/>
      <c r="G73" s="129" t="n"/>
      <c r="H73" s="130" t="n"/>
      <c r="I73" s="129" t="n"/>
      <c r="J73" s="134" t="str">
        <f>IF(OR(B73="",F73="",G73="Concluída",G73="Cancelada"),"",F73-Hoje)</f>
        <v/>
      </c>
      <c r="K73" s="138" t="str">
        <f>IF(B73="","",IF(G73="Concluída","✔ Feita",IF(G73="Cancelada","– Cancelada",IF(F73="","○ Sem prazo",IF(F73&lt;Hoje,"✖ Atrasada",IF(F73=Hoje,"▲ Vence hoje",IF(F73-Hoje&lt;=7,"▲ Próximos 7 dias","○ No prazo")))))))</f>
        <v/>
      </c>
      <c r="L73" s="138" t="str">
        <f>IF(OR(B73="",G73="Concluída",G73="Cancelada"),"",IF(E73="Alta",IF(AND(F73&lt;&gt;"",F73-Hoje&lt;=3),"1 · Fazer já","2 · Agendar"),IF(AND(F73&lt;&gt;"",F73-Hoje&lt;=3),"3 · Resolver rápido","4 · Depois")))</f>
        <v/>
      </c>
      <c r="M73" s="129" t="n"/>
      <c r="N73" t="str">
        <f>IF(AND(B73&lt;&gt;"",G73&lt;&gt;"Concluída",G73&lt;&gt;"Cancelada",F73&lt;&gt;""),F73+ROW()/100000,"")</f>
        <v/>
      </c>
    </row>
    <row r="74">
      <c r="B74" s="129" t="n"/>
      <c r="C74" s="129" t="n"/>
      <c r="D74" s="129" t="n"/>
      <c r="E74" s="129" t="n"/>
      <c r="F74" s="130" t="n"/>
      <c r="G74" s="129" t="n"/>
      <c r="H74" s="130" t="n"/>
      <c r="I74" s="129" t="n"/>
      <c r="J74" s="134" t="str">
        <f>IF(OR(B74="",F74="",G74="Concluída",G74="Cancelada"),"",F74-Hoje)</f>
        <v/>
      </c>
      <c r="K74" s="138" t="str">
        <f>IF(B74="","",IF(G74="Concluída","✔ Feita",IF(G74="Cancelada","– Cancelada",IF(F74="","○ Sem prazo",IF(F74&lt;Hoje,"✖ Atrasada",IF(F74=Hoje,"▲ Vence hoje",IF(F74-Hoje&lt;=7,"▲ Próximos 7 dias","○ No prazo")))))))</f>
        <v/>
      </c>
      <c r="L74" s="138" t="str">
        <f>IF(OR(B74="",G74="Concluída",G74="Cancelada"),"",IF(E74="Alta",IF(AND(F74&lt;&gt;"",F74-Hoje&lt;=3),"1 · Fazer já","2 · Agendar"),IF(AND(F74&lt;&gt;"",F74-Hoje&lt;=3),"3 · Resolver rápido","4 · Depois")))</f>
        <v/>
      </c>
      <c r="M74" s="129" t="n"/>
      <c r="N74" t="str">
        <f>IF(AND(B74&lt;&gt;"",G74&lt;&gt;"Concluída",G74&lt;&gt;"Cancelada",F74&lt;&gt;""),F74+ROW()/100000,"")</f>
        <v/>
      </c>
    </row>
    <row r="75">
      <c r="B75" s="129" t="n"/>
      <c r="C75" s="129" t="n"/>
      <c r="D75" s="129" t="n"/>
      <c r="E75" s="129" t="n"/>
      <c r="F75" s="130" t="n"/>
      <c r="G75" s="129" t="n"/>
      <c r="H75" s="130" t="n"/>
      <c r="I75" s="129" t="n"/>
      <c r="J75" s="134" t="str">
        <f>IF(OR(B75="",F75="",G75="Concluída",G75="Cancelada"),"",F75-Hoje)</f>
        <v/>
      </c>
      <c r="K75" s="138" t="str">
        <f>IF(B75="","",IF(G75="Concluída","✔ Feita",IF(G75="Cancelada","– Cancelada",IF(F75="","○ Sem prazo",IF(F75&lt;Hoje,"✖ Atrasada",IF(F75=Hoje,"▲ Vence hoje",IF(F75-Hoje&lt;=7,"▲ Próximos 7 dias","○ No prazo")))))))</f>
        <v/>
      </c>
      <c r="L75" s="138" t="str">
        <f>IF(OR(B75="",G75="Concluída",G75="Cancelada"),"",IF(E75="Alta",IF(AND(F75&lt;&gt;"",F75-Hoje&lt;=3),"1 · Fazer já","2 · Agendar"),IF(AND(F75&lt;&gt;"",F75-Hoje&lt;=3),"3 · Resolver rápido","4 · Depois")))</f>
        <v/>
      </c>
      <c r="M75" s="129" t="n"/>
      <c r="N75" t="str">
        <f>IF(AND(B75&lt;&gt;"",G75&lt;&gt;"Concluída",G75&lt;&gt;"Cancelada",F75&lt;&gt;""),F75+ROW()/100000,"")</f>
        <v/>
      </c>
    </row>
    <row r="76">
      <c r="B76" s="129" t="n"/>
      <c r="C76" s="129" t="n"/>
      <c r="D76" s="129" t="n"/>
      <c r="E76" s="129" t="n"/>
      <c r="F76" s="130" t="n"/>
      <c r="G76" s="129" t="n"/>
      <c r="H76" s="130" t="n"/>
      <c r="I76" s="129" t="n"/>
      <c r="J76" s="134" t="str">
        <f>IF(OR(B76="",F76="",G76="Concluída",G76="Cancelada"),"",F76-Hoje)</f>
        <v/>
      </c>
      <c r="K76" s="138" t="str">
        <f>IF(B76="","",IF(G76="Concluída","✔ Feita",IF(G76="Cancelada","– Cancelada",IF(F76="","○ Sem prazo",IF(F76&lt;Hoje,"✖ Atrasada",IF(F76=Hoje,"▲ Vence hoje",IF(F76-Hoje&lt;=7,"▲ Próximos 7 dias","○ No prazo")))))))</f>
        <v/>
      </c>
      <c r="L76" s="138" t="str">
        <f>IF(OR(B76="",G76="Concluída",G76="Cancelada"),"",IF(E76="Alta",IF(AND(F76&lt;&gt;"",F76-Hoje&lt;=3),"1 · Fazer já","2 · Agendar"),IF(AND(F76&lt;&gt;"",F76-Hoje&lt;=3),"3 · Resolver rápido","4 · Depois")))</f>
        <v/>
      </c>
      <c r="M76" s="129" t="n"/>
      <c r="N76" t="str">
        <f>IF(AND(B76&lt;&gt;"",G76&lt;&gt;"Concluída",G76&lt;&gt;"Cancelada",F76&lt;&gt;""),F76+ROW()/100000,"")</f>
        <v/>
      </c>
    </row>
    <row r="77">
      <c r="B77" s="129" t="n"/>
      <c r="C77" s="129" t="n"/>
      <c r="D77" s="129" t="n"/>
      <c r="E77" s="129" t="n"/>
      <c r="F77" s="130" t="n"/>
      <c r="G77" s="129" t="n"/>
      <c r="H77" s="130" t="n"/>
      <c r="I77" s="129" t="n"/>
      <c r="J77" s="134" t="str">
        <f>IF(OR(B77="",F77="",G77="Concluída",G77="Cancelada"),"",F77-Hoje)</f>
        <v/>
      </c>
      <c r="K77" s="138" t="str">
        <f>IF(B77="","",IF(G77="Concluída","✔ Feita",IF(G77="Cancelada","– Cancelada",IF(F77="","○ Sem prazo",IF(F77&lt;Hoje,"✖ Atrasada",IF(F77=Hoje,"▲ Vence hoje",IF(F77-Hoje&lt;=7,"▲ Próximos 7 dias","○ No prazo")))))))</f>
        <v/>
      </c>
      <c r="L77" s="138" t="str">
        <f>IF(OR(B77="",G77="Concluída",G77="Cancelada"),"",IF(E77="Alta",IF(AND(F77&lt;&gt;"",F77-Hoje&lt;=3),"1 · Fazer já","2 · Agendar"),IF(AND(F77&lt;&gt;"",F77-Hoje&lt;=3),"3 · Resolver rápido","4 · Depois")))</f>
        <v/>
      </c>
      <c r="M77" s="129" t="n"/>
      <c r="N77" t="str">
        <f>IF(AND(B77&lt;&gt;"",G77&lt;&gt;"Concluída",G77&lt;&gt;"Cancelada",F77&lt;&gt;""),F77+ROW()/100000,"")</f>
        <v/>
      </c>
    </row>
    <row r="78">
      <c r="B78" s="129" t="n"/>
      <c r="C78" s="129" t="n"/>
      <c r="D78" s="129" t="n"/>
      <c r="E78" s="129" t="n"/>
      <c r="F78" s="130" t="n"/>
      <c r="G78" s="129" t="n"/>
      <c r="H78" s="130" t="n"/>
      <c r="I78" s="129" t="n"/>
      <c r="J78" s="134" t="str">
        <f>IF(OR(B78="",F78="",G78="Concluída",G78="Cancelada"),"",F78-Hoje)</f>
        <v/>
      </c>
      <c r="K78" s="138" t="str">
        <f>IF(B78="","",IF(G78="Concluída","✔ Feita",IF(G78="Cancelada","– Cancelada",IF(F78="","○ Sem prazo",IF(F78&lt;Hoje,"✖ Atrasada",IF(F78=Hoje,"▲ Vence hoje",IF(F78-Hoje&lt;=7,"▲ Próximos 7 dias","○ No prazo")))))))</f>
        <v/>
      </c>
      <c r="L78" s="138" t="str">
        <f>IF(OR(B78="",G78="Concluída",G78="Cancelada"),"",IF(E78="Alta",IF(AND(F78&lt;&gt;"",F78-Hoje&lt;=3),"1 · Fazer já","2 · Agendar"),IF(AND(F78&lt;&gt;"",F78-Hoje&lt;=3),"3 · Resolver rápido","4 · Depois")))</f>
        <v/>
      </c>
      <c r="M78" s="129" t="n"/>
      <c r="N78" t="str">
        <f>IF(AND(B78&lt;&gt;"",G78&lt;&gt;"Concluída",G78&lt;&gt;"Cancelada",F78&lt;&gt;""),F78+ROW()/100000,"")</f>
        <v/>
      </c>
    </row>
    <row r="79">
      <c r="B79" s="129" t="n"/>
      <c r="C79" s="129" t="n"/>
      <c r="D79" s="129" t="n"/>
      <c r="E79" s="129" t="n"/>
      <c r="F79" s="130" t="n"/>
      <c r="G79" s="129" t="n"/>
      <c r="H79" s="130" t="n"/>
      <c r="I79" s="129" t="n"/>
      <c r="J79" s="134" t="str">
        <f>IF(OR(B79="",F79="",G79="Concluída",G79="Cancelada"),"",F79-Hoje)</f>
        <v/>
      </c>
      <c r="K79" s="138" t="str">
        <f>IF(B79="","",IF(G79="Concluída","✔ Feita",IF(G79="Cancelada","– Cancelada",IF(F79="","○ Sem prazo",IF(F79&lt;Hoje,"✖ Atrasada",IF(F79=Hoje,"▲ Vence hoje",IF(F79-Hoje&lt;=7,"▲ Próximos 7 dias","○ No prazo")))))))</f>
        <v/>
      </c>
      <c r="L79" s="138" t="str">
        <f>IF(OR(B79="",G79="Concluída",G79="Cancelada"),"",IF(E79="Alta",IF(AND(F79&lt;&gt;"",F79-Hoje&lt;=3),"1 · Fazer já","2 · Agendar"),IF(AND(F79&lt;&gt;"",F79-Hoje&lt;=3),"3 · Resolver rápido","4 · Depois")))</f>
        <v/>
      </c>
      <c r="M79" s="129" t="n"/>
      <c r="N79" t="str">
        <f>IF(AND(B79&lt;&gt;"",G79&lt;&gt;"Concluída",G79&lt;&gt;"Cancelada",F79&lt;&gt;""),F79+ROW()/100000,"")</f>
        <v/>
      </c>
    </row>
    <row r="80">
      <c r="B80" s="129" t="n"/>
      <c r="C80" s="129" t="n"/>
      <c r="D80" s="129" t="n"/>
      <c r="E80" s="129" t="n"/>
      <c r="F80" s="130" t="n"/>
      <c r="G80" s="129" t="n"/>
      <c r="H80" s="130" t="n"/>
      <c r="I80" s="129" t="n"/>
      <c r="J80" s="134" t="str">
        <f>IF(OR(B80="",F80="",G80="Concluída",G80="Cancelada"),"",F80-Hoje)</f>
        <v/>
      </c>
      <c r="K80" s="138" t="str">
        <f>IF(B80="","",IF(G80="Concluída","✔ Feita",IF(G80="Cancelada","– Cancelada",IF(F80="","○ Sem prazo",IF(F80&lt;Hoje,"✖ Atrasada",IF(F80=Hoje,"▲ Vence hoje",IF(F80-Hoje&lt;=7,"▲ Próximos 7 dias","○ No prazo")))))))</f>
        <v/>
      </c>
      <c r="L80" s="138" t="str">
        <f>IF(OR(B80="",G80="Concluída",G80="Cancelada"),"",IF(E80="Alta",IF(AND(F80&lt;&gt;"",F80-Hoje&lt;=3),"1 · Fazer já","2 · Agendar"),IF(AND(F80&lt;&gt;"",F80-Hoje&lt;=3),"3 · Resolver rápido","4 · Depois")))</f>
        <v/>
      </c>
      <c r="M80" s="129" t="n"/>
      <c r="N80" t="str">
        <f>IF(AND(B80&lt;&gt;"",G80&lt;&gt;"Concluída",G80&lt;&gt;"Cancelada",F80&lt;&gt;""),F80+ROW()/100000,"")</f>
        <v/>
      </c>
    </row>
    <row r="81">
      <c r="B81" s="129" t="n"/>
      <c r="C81" s="129" t="n"/>
      <c r="D81" s="129" t="n"/>
      <c r="E81" s="129" t="n"/>
      <c r="F81" s="130" t="n"/>
      <c r="G81" s="129" t="n"/>
      <c r="H81" s="130" t="n"/>
      <c r="I81" s="129" t="n"/>
      <c r="J81" s="134" t="str">
        <f>IF(OR(B81="",F81="",G81="Concluída",G81="Cancelada"),"",F81-Hoje)</f>
        <v/>
      </c>
      <c r="K81" s="138" t="str">
        <f>IF(B81="","",IF(G81="Concluída","✔ Feita",IF(G81="Cancelada","– Cancelada",IF(F81="","○ Sem prazo",IF(F81&lt;Hoje,"✖ Atrasada",IF(F81=Hoje,"▲ Vence hoje",IF(F81-Hoje&lt;=7,"▲ Próximos 7 dias","○ No prazo")))))))</f>
        <v/>
      </c>
      <c r="L81" s="138" t="str">
        <f>IF(OR(B81="",G81="Concluída",G81="Cancelada"),"",IF(E81="Alta",IF(AND(F81&lt;&gt;"",F81-Hoje&lt;=3),"1 · Fazer já","2 · Agendar"),IF(AND(F81&lt;&gt;"",F81-Hoje&lt;=3),"3 · Resolver rápido","4 · Depois")))</f>
        <v/>
      </c>
      <c r="M81" s="129" t="n"/>
      <c r="N81" t="str">
        <f>IF(AND(B81&lt;&gt;"",G81&lt;&gt;"Concluída",G81&lt;&gt;"Cancelada",F81&lt;&gt;""),F81+ROW()/100000,"")</f>
        <v/>
      </c>
    </row>
    <row r="82">
      <c r="B82" s="129" t="n"/>
      <c r="C82" s="129" t="n"/>
      <c r="D82" s="129" t="n"/>
      <c r="E82" s="129" t="n"/>
      <c r="F82" s="130" t="n"/>
      <c r="G82" s="129" t="n"/>
      <c r="H82" s="130" t="n"/>
      <c r="I82" s="129" t="n"/>
      <c r="J82" s="134" t="str">
        <f>IF(OR(B82="",F82="",G82="Concluída",G82="Cancelada"),"",F82-Hoje)</f>
        <v/>
      </c>
      <c r="K82" s="138" t="str">
        <f>IF(B82="","",IF(G82="Concluída","✔ Feita",IF(G82="Cancelada","– Cancelada",IF(F82="","○ Sem prazo",IF(F82&lt;Hoje,"✖ Atrasada",IF(F82=Hoje,"▲ Vence hoje",IF(F82-Hoje&lt;=7,"▲ Próximos 7 dias","○ No prazo")))))))</f>
        <v/>
      </c>
      <c r="L82" s="138" t="str">
        <f>IF(OR(B82="",G82="Concluída",G82="Cancelada"),"",IF(E82="Alta",IF(AND(F82&lt;&gt;"",F82-Hoje&lt;=3),"1 · Fazer já","2 · Agendar"),IF(AND(F82&lt;&gt;"",F82-Hoje&lt;=3),"3 · Resolver rápido","4 · Depois")))</f>
        <v/>
      </c>
      <c r="M82" s="129" t="n"/>
      <c r="N82" t="str">
        <f>IF(AND(B82&lt;&gt;"",G82&lt;&gt;"Concluída",G82&lt;&gt;"Cancelada",F82&lt;&gt;""),F82+ROW()/100000,"")</f>
        <v/>
      </c>
    </row>
    <row r="83">
      <c r="B83" s="129" t="n"/>
      <c r="C83" s="129" t="n"/>
      <c r="D83" s="129" t="n"/>
      <c r="E83" s="129" t="n"/>
      <c r="F83" s="130" t="n"/>
      <c r="G83" s="129" t="n"/>
      <c r="H83" s="130" t="n"/>
      <c r="I83" s="129" t="n"/>
      <c r="J83" s="134" t="str">
        <f>IF(OR(B83="",F83="",G83="Concluída",G83="Cancelada"),"",F83-Hoje)</f>
        <v/>
      </c>
      <c r="K83" s="138" t="str">
        <f>IF(B83="","",IF(G83="Concluída","✔ Feita",IF(G83="Cancelada","– Cancelada",IF(F83="","○ Sem prazo",IF(F83&lt;Hoje,"✖ Atrasada",IF(F83=Hoje,"▲ Vence hoje",IF(F83-Hoje&lt;=7,"▲ Próximos 7 dias","○ No prazo")))))))</f>
        <v/>
      </c>
      <c r="L83" s="138" t="str">
        <f>IF(OR(B83="",G83="Concluída",G83="Cancelada"),"",IF(E83="Alta",IF(AND(F83&lt;&gt;"",F83-Hoje&lt;=3),"1 · Fazer já","2 · Agendar"),IF(AND(F83&lt;&gt;"",F83-Hoje&lt;=3),"3 · Resolver rápido","4 · Depois")))</f>
        <v/>
      </c>
      <c r="M83" s="129" t="n"/>
      <c r="N83" t="str">
        <f>IF(AND(B83&lt;&gt;"",G83&lt;&gt;"Concluída",G83&lt;&gt;"Cancelada",F83&lt;&gt;""),F83+ROW()/100000,"")</f>
        <v/>
      </c>
    </row>
    <row r="84">
      <c r="B84" s="129" t="n"/>
      <c r="C84" s="129" t="n"/>
      <c r="D84" s="129" t="n"/>
      <c r="E84" s="129" t="n"/>
      <c r="F84" s="130" t="n"/>
      <c r="G84" s="129" t="n"/>
      <c r="H84" s="130" t="n"/>
      <c r="I84" s="129" t="n"/>
      <c r="J84" s="134" t="str">
        <f>IF(OR(B84="",F84="",G84="Concluída",G84="Cancelada"),"",F84-Hoje)</f>
        <v/>
      </c>
      <c r="K84" s="138" t="str">
        <f>IF(B84="","",IF(G84="Concluída","✔ Feita",IF(G84="Cancelada","– Cancelada",IF(F84="","○ Sem prazo",IF(F84&lt;Hoje,"✖ Atrasada",IF(F84=Hoje,"▲ Vence hoje",IF(F84-Hoje&lt;=7,"▲ Próximos 7 dias","○ No prazo")))))))</f>
        <v/>
      </c>
      <c r="L84" s="138" t="str">
        <f>IF(OR(B84="",G84="Concluída",G84="Cancelada"),"",IF(E84="Alta",IF(AND(F84&lt;&gt;"",F84-Hoje&lt;=3),"1 · Fazer já","2 · Agendar"),IF(AND(F84&lt;&gt;"",F84-Hoje&lt;=3),"3 · Resolver rápido","4 · Depois")))</f>
        <v/>
      </c>
      <c r="M84" s="129" t="n"/>
      <c r="N84" t="str">
        <f>IF(AND(B84&lt;&gt;"",G84&lt;&gt;"Concluída",G84&lt;&gt;"Cancelada",F84&lt;&gt;""),F84+ROW()/100000,"")</f>
        <v/>
      </c>
    </row>
    <row r="85">
      <c r="B85" s="129" t="n"/>
      <c r="C85" s="129" t="n"/>
      <c r="D85" s="129" t="n"/>
      <c r="E85" s="129" t="n"/>
      <c r="F85" s="130" t="n"/>
      <c r="G85" s="129" t="n"/>
      <c r="H85" s="130" t="n"/>
      <c r="I85" s="129" t="n"/>
      <c r="J85" s="134" t="str">
        <f>IF(OR(B85="",F85="",G85="Concluída",G85="Cancelada"),"",F85-Hoje)</f>
        <v/>
      </c>
      <c r="K85" s="138" t="str">
        <f>IF(B85="","",IF(G85="Concluída","✔ Feita",IF(G85="Cancelada","– Cancelada",IF(F85="","○ Sem prazo",IF(F85&lt;Hoje,"✖ Atrasada",IF(F85=Hoje,"▲ Vence hoje",IF(F85-Hoje&lt;=7,"▲ Próximos 7 dias","○ No prazo")))))))</f>
        <v/>
      </c>
      <c r="L85" s="138" t="str">
        <f>IF(OR(B85="",G85="Concluída",G85="Cancelada"),"",IF(E85="Alta",IF(AND(F85&lt;&gt;"",F85-Hoje&lt;=3),"1 · Fazer já","2 · Agendar"),IF(AND(F85&lt;&gt;"",F85-Hoje&lt;=3),"3 · Resolver rápido","4 · Depois")))</f>
        <v/>
      </c>
      <c r="M85" s="129" t="n"/>
      <c r="N85" t="str">
        <f>IF(AND(B85&lt;&gt;"",G85&lt;&gt;"Concluída",G85&lt;&gt;"Cancelada",F85&lt;&gt;""),F85+ROW()/100000,"")</f>
        <v/>
      </c>
    </row>
    <row r="86">
      <c r="B86" s="129" t="n"/>
      <c r="C86" s="129" t="n"/>
      <c r="D86" s="129" t="n"/>
      <c r="E86" s="129" t="n"/>
      <c r="F86" s="130" t="n"/>
      <c r="G86" s="129" t="n"/>
      <c r="H86" s="130" t="n"/>
      <c r="I86" s="129" t="n"/>
      <c r="J86" s="134" t="str">
        <f>IF(OR(B86="",F86="",G86="Concluída",G86="Cancelada"),"",F86-Hoje)</f>
        <v/>
      </c>
      <c r="K86" s="138" t="str">
        <f>IF(B86="","",IF(G86="Concluída","✔ Feita",IF(G86="Cancelada","– Cancelada",IF(F86="","○ Sem prazo",IF(F86&lt;Hoje,"✖ Atrasada",IF(F86=Hoje,"▲ Vence hoje",IF(F86-Hoje&lt;=7,"▲ Próximos 7 dias","○ No prazo")))))))</f>
        <v/>
      </c>
      <c r="L86" s="138" t="str">
        <f>IF(OR(B86="",G86="Concluída",G86="Cancelada"),"",IF(E86="Alta",IF(AND(F86&lt;&gt;"",F86-Hoje&lt;=3),"1 · Fazer já","2 · Agendar"),IF(AND(F86&lt;&gt;"",F86-Hoje&lt;=3),"3 · Resolver rápido","4 · Depois")))</f>
        <v/>
      </c>
      <c r="M86" s="129" t="n"/>
      <c r="N86" t="str">
        <f>IF(AND(B86&lt;&gt;"",G86&lt;&gt;"Concluída",G86&lt;&gt;"Cancelada",F86&lt;&gt;""),F86+ROW()/100000,"")</f>
        <v/>
      </c>
    </row>
    <row r="87">
      <c r="B87" s="129" t="n"/>
      <c r="C87" s="129" t="n"/>
      <c r="D87" s="129" t="n"/>
      <c r="E87" s="129" t="n"/>
      <c r="F87" s="130" t="n"/>
      <c r="G87" s="129" t="n"/>
      <c r="H87" s="130" t="n"/>
      <c r="I87" s="129" t="n"/>
      <c r="J87" s="134" t="str">
        <f>IF(OR(B87="",F87="",G87="Concluída",G87="Cancelada"),"",F87-Hoje)</f>
        <v/>
      </c>
      <c r="K87" s="138" t="str">
        <f>IF(B87="","",IF(G87="Concluída","✔ Feita",IF(G87="Cancelada","– Cancelada",IF(F87="","○ Sem prazo",IF(F87&lt;Hoje,"✖ Atrasada",IF(F87=Hoje,"▲ Vence hoje",IF(F87-Hoje&lt;=7,"▲ Próximos 7 dias","○ No prazo")))))))</f>
        <v/>
      </c>
      <c r="L87" s="138" t="str">
        <f>IF(OR(B87="",G87="Concluída",G87="Cancelada"),"",IF(E87="Alta",IF(AND(F87&lt;&gt;"",F87-Hoje&lt;=3),"1 · Fazer já","2 · Agendar"),IF(AND(F87&lt;&gt;"",F87-Hoje&lt;=3),"3 · Resolver rápido","4 · Depois")))</f>
        <v/>
      </c>
      <c r="M87" s="129" t="n"/>
      <c r="N87" t="str">
        <f>IF(AND(B87&lt;&gt;"",G87&lt;&gt;"Concluída",G87&lt;&gt;"Cancelada",F87&lt;&gt;""),F87+ROW()/100000,"")</f>
        <v/>
      </c>
    </row>
    <row r="88">
      <c r="B88" s="129" t="n"/>
      <c r="C88" s="129" t="n"/>
      <c r="D88" s="129" t="n"/>
      <c r="E88" s="129" t="n"/>
      <c r="F88" s="130" t="n"/>
      <c r="G88" s="129" t="n"/>
      <c r="H88" s="130" t="n"/>
      <c r="I88" s="129" t="n"/>
      <c r="J88" s="134" t="str">
        <f>IF(OR(B88="",F88="",G88="Concluída",G88="Cancelada"),"",F88-Hoje)</f>
        <v/>
      </c>
      <c r="K88" s="138" t="str">
        <f>IF(B88="","",IF(G88="Concluída","✔ Feita",IF(G88="Cancelada","– Cancelada",IF(F88="","○ Sem prazo",IF(F88&lt;Hoje,"✖ Atrasada",IF(F88=Hoje,"▲ Vence hoje",IF(F88-Hoje&lt;=7,"▲ Próximos 7 dias","○ No prazo")))))))</f>
        <v/>
      </c>
      <c r="L88" s="138" t="str">
        <f>IF(OR(B88="",G88="Concluída",G88="Cancelada"),"",IF(E88="Alta",IF(AND(F88&lt;&gt;"",F88-Hoje&lt;=3),"1 · Fazer já","2 · Agendar"),IF(AND(F88&lt;&gt;"",F88-Hoje&lt;=3),"3 · Resolver rápido","4 · Depois")))</f>
        <v/>
      </c>
      <c r="M88" s="129" t="n"/>
      <c r="N88" t="str">
        <f>IF(AND(B88&lt;&gt;"",G88&lt;&gt;"Concluída",G88&lt;&gt;"Cancelada",F88&lt;&gt;""),F88+ROW()/100000,"")</f>
        <v/>
      </c>
    </row>
    <row r="89">
      <c r="B89" s="129" t="n"/>
      <c r="C89" s="129" t="n"/>
      <c r="D89" s="129" t="n"/>
      <c r="E89" s="129" t="n"/>
      <c r="F89" s="130" t="n"/>
      <c r="G89" s="129" t="n"/>
      <c r="H89" s="130" t="n"/>
      <c r="I89" s="129" t="n"/>
      <c r="J89" s="134" t="str">
        <f>IF(OR(B89="",F89="",G89="Concluída",G89="Cancelada"),"",F89-Hoje)</f>
        <v/>
      </c>
      <c r="K89" s="138" t="str">
        <f>IF(B89="","",IF(G89="Concluída","✔ Feita",IF(G89="Cancelada","– Cancelada",IF(F89="","○ Sem prazo",IF(F89&lt;Hoje,"✖ Atrasada",IF(F89=Hoje,"▲ Vence hoje",IF(F89-Hoje&lt;=7,"▲ Próximos 7 dias","○ No prazo")))))))</f>
        <v/>
      </c>
      <c r="L89" s="138" t="str">
        <f>IF(OR(B89="",G89="Concluída",G89="Cancelada"),"",IF(E89="Alta",IF(AND(F89&lt;&gt;"",F89-Hoje&lt;=3),"1 · Fazer já","2 · Agendar"),IF(AND(F89&lt;&gt;"",F89-Hoje&lt;=3),"3 · Resolver rápido","4 · Depois")))</f>
        <v/>
      </c>
      <c r="M89" s="129" t="n"/>
      <c r="N89" t="str">
        <f>IF(AND(B89&lt;&gt;"",G89&lt;&gt;"Concluída",G89&lt;&gt;"Cancelada",F89&lt;&gt;""),F89+ROW()/100000,"")</f>
        <v/>
      </c>
    </row>
    <row r="90">
      <c r="B90" s="129" t="n"/>
      <c r="C90" s="129" t="n"/>
      <c r="D90" s="129" t="n"/>
      <c r="E90" s="129" t="n"/>
      <c r="F90" s="130" t="n"/>
      <c r="G90" s="129" t="n"/>
      <c r="H90" s="130" t="n"/>
      <c r="I90" s="129" t="n"/>
      <c r="J90" s="134" t="str">
        <f>IF(OR(B90="",F90="",G90="Concluída",G90="Cancelada"),"",F90-Hoje)</f>
        <v/>
      </c>
      <c r="K90" s="138" t="str">
        <f>IF(B90="","",IF(G90="Concluída","✔ Feita",IF(G90="Cancelada","– Cancelada",IF(F90="","○ Sem prazo",IF(F90&lt;Hoje,"✖ Atrasada",IF(F90=Hoje,"▲ Vence hoje",IF(F90-Hoje&lt;=7,"▲ Próximos 7 dias","○ No prazo")))))))</f>
        <v/>
      </c>
      <c r="L90" s="138" t="str">
        <f>IF(OR(B90="",G90="Concluída",G90="Cancelada"),"",IF(E90="Alta",IF(AND(F90&lt;&gt;"",F90-Hoje&lt;=3),"1 · Fazer já","2 · Agendar"),IF(AND(F90&lt;&gt;"",F90-Hoje&lt;=3),"3 · Resolver rápido","4 · Depois")))</f>
        <v/>
      </c>
      <c r="M90" s="129" t="n"/>
      <c r="N90" t="str">
        <f>IF(AND(B90&lt;&gt;"",G90&lt;&gt;"Concluída",G90&lt;&gt;"Cancelada",F90&lt;&gt;""),F90+ROW()/100000,"")</f>
        <v/>
      </c>
    </row>
    <row r="91">
      <c r="B91" s="129" t="n"/>
      <c r="C91" s="129" t="n"/>
      <c r="D91" s="129" t="n"/>
      <c r="E91" s="129" t="n"/>
      <c r="F91" s="130" t="n"/>
      <c r="G91" s="129" t="n"/>
      <c r="H91" s="130" t="n"/>
      <c r="I91" s="129" t="n"/>
      <c r="J91" s="134" t="str">
        <f>IF(OR(B91="",F91="",G91="Concluída",G91="Cancelada"),"",F91-Hoje)</f>
        <v/>
      </c>
      <c r="K91" s="138" t="str">
        <f>IF(B91="","",IF(G91="Concluída","✔ Feita",IF(G91="Cancelada","– Cancelada",IF(F91="","○ Sem prazo",IF(F91&lt;Hoje,"✖ Atrasada",IF(F91=Hoje,"▲ Vence hoje",IF(F91-Hoje&lt;=7,"▲ Próximos 7 dias","○ No prazo")))))))</f>
        <v/>
      </c>
      <c r="L91" s="138" t="str">
        <f>IF(OR(B91="",G91="Concluída",G91="Cancelada"),"",IF(E91="Alta",IF(AND(F91&lt;&gt;"",F91-Hoje&lt;=3),"1 · Fazer já","2 · Agendar"),IF(AND(F91&lt;&gt;"",F91-Hoje&lt;=3),"3 · Resolver rápido","4 · Depois")))</f>
        <v/>
      </c>
      <c r="M91" s="129" t="n"/>
      <c r="N91" t="str">
        <f>IF(AND(B91&lt;&gt;"",G91&lt;&gt;"Concluída",G91&lt;&gt;"Cancelada",F91&lt;&gt;""),F91+ROW()/100000,"")</f>
        <v/>
      </c>
    </row>
    <row r="92">
      <c r="B92" s="129" t="n"/>
      <c r="C92" s="129" t="n"/>
      <c r="D92" s="129" t="n"/>
      <c r="E92" s="129" t="n"/>
      <c r="F92" s="130" t="n"/>
      <c r="G92" s="129" t="n"/>
      <c r="H92" s="130" t="n"/>
      <c r="I92" s="129" t="n"/>
      <c r="J92" s="134" t="str">
        <f>IF(OR(B92="",F92="",G92="Concluída",G92="Cancelada"),"",F92-Hoje)</f>
        <v/>
      </c>
      <c r="K92" s="138" t="str">
        <f>IF(B92="","",IF(G92="Concluída","✔ Feita",IF(G92="Cancelada","– Cancelada",IF(F92="","○ Sem prazo",IF(F92&lt;Hoje,"✖ Atrasada",IF(F92=Hoje,"▲ Vence hoje",IF(F92-Hoje&lt;=7,"▲ Próximos 7 dias","○ No prazo")))))))</f>
        <v/>
      </c>
      <c r="L92" s="138" t="str">
        <f>IF(OR(B92="",G92="Concluída",G92="Cancelada"),"",IF(E92="Alta",IF(AND(F92&lt;&gt;"",F92-Hoje&lt;=3),"1 · Fazer já","2 · Agendar"),IF(AND(F92&lt;&gt;"",F92-Hoje&lt;=3),"3 · Resolver rápido","4 · Depois")))</f>
        <v/>
      </c>
      <c r="M92" s="129" t="n"/>
      <c r="N92" t="str">
        <f>IF(AND(B92&lt;&gt;"",G92&lt;&gt;"Concluída",G92&lt;&gt;"Cancelada",F92&lt;&gt;""),F92+ROW()/100000,"")</f>
        <v/>
      </c>
    </row>
    <row r="93">
      <c r="B93" s="129" t="n"/>
      <c r="C93" s="129" t="n"/>
      <c r="D93" s="129" t="n"/>
      <c r="E93" s="129" t="n"/>
      <c r="F93" s="130" t="n"/>
      <c r="G93" s="129" t="n"/>
      <c r="H93" s="130" t="n"/>
      <c r="I93" s="129" t="n"/>
      <c r="J93" s="134" t="str">
        <f>IF(OR(B93="",F93="",G93="Concluída",G93="Cancelada"),"",F93-Hoje)</f>
        <v/>
      </c>
      <c r="K93" s="138" t="str">
        <f>IF(B93="","",IF(G93="Concluída","✔ Feita",IF(G93="Cancelada","– Cancelada",IF(F93="","○ Sem prazo",IF(F93&lt;Hoje,"✖ Atrasada",IF(F93=Hoje,"▲ Vence hoje",IF(F93-Hoje&lt;=7,"▲ Próximos 7 dias","○ No prazo")))))))</f>
        <v/>
      </c>
      <c r="L93" s="138" t="str">
        <f>IF(OR(B93="",G93="Concluída",G93="Cancelada"),"",IF(E93="Alta",IF(AND(F93&lt;&gt;"",F93-Hoje&lt;=3),"1 · Fazer já","2 · Agendar"),IF(AND(F93&lt;&gt;"",F93-Hoje&lt;=3),"3 · Resolver rápido","4 · Depois")))</f>
        <v/>
      </c>
      <c r="M93" s="129" t="n"/>
      <c r="N93" t="str">
        <f>IF(AND(B93&lt;&gt;"",G93&lt;&gt;"Concluída",G93&lt;&gt;"Cancelada",F93&lt;&gt;""),F93+ROW()/100000,"")</f>
        <v/>
      </c>
    </row>
    <row r="94">
      <c r="B94" s="129" t="n"/>
      <c r="C94" s="129" t="n"/>
      <c r="D94" s="129" t="n"/>
      <c r="E94" s="129" t="n"/>
      <c r="F94" s="130" t="n"/>
      <c r="G94" s="129" t="n"/>
      <c r="H94" s="130" t="n"/>
      <c r="I94" s="129" t="n"/>
      <c r="J94" s="134" t="str">
        <f>IF(OR(B94="",F94="",G94="Concluída",G94="Cancelada"),"",F94-Hoje)</f>
        <v/>
      </c>
      <c r="K94" s="138" t="str">
        <f>IF(B94="","",IF(G94="Concluída","✔ Feita",IF(G94="Cancelada","– Cancelada",IF(F94="","○ Sem prazo",IF(F94&lt;Hoje,"✖ Atrasada",IF(F94=Hoje,"▲ Vence hoje",IF(F94-Hoje&lt;=7,"▲ Próximos 7 dias","○ No prazo")))))))</f>
        <v/>
      </c>
      <c r="L94" s="138" t="str">
        <f>IF(OR(B94="",G94="Concluída",G94="Cancelada"),"",IF(E94="Alta",IF(AND(F94&lt;&gt;"",F94-Hoje&lt;=3),"1 · Fazer já","2 · Agendar"),IF(AND(F94&lt;&gt;"",F94-Hoje&lt;=3),"3 · Resolver rápido","4 · Depois")))</f>
        <v/>
      </c>
      <c r="M94" s="129" t="n"/>
      <c r="N94" t="str">
        <f>IF(AND(B94&lt;&gt;"",G94&lt;&gt;"Concluída",G94&lt;&gt;"Cancelada",F94&lt;&gt;""),F94+ROW()/100000,"")</f>
        <v/>
      </c>
    </row>
    <row r="95">
      <c r="B95" s="129" t="n"/>
      <c r="C95" s="129" t="n"/>
      <c r="D95" s="129" t="n"/>
      <c r="E95" s="129" t="n"/>
      <c r="F95" s="130" t="n"/>
      <c r="G95" s="129" t="n"/>
      <c r="H95" s="130" t="n"/>
      <c r="I95" s="129" t="n"/>
      <c r="J95" s="134" t="str">
        <f>IF(OR(B95="",F95="",G95="Concluída",G95="Cancelada"),"",F95-Hoje)</f>
        <v/>
      </c>
      <c r="K95" s="138" t="str">
        <f>IF(B95="","",IF(G95="Concluída","✔ Feita",IF(G95="Cancelada","– Cancelada",IF(F95="","○ Sem prazo",IF(F95&lt;Hoje,"✖ Atrasada",IF(F95=Hoje,"▲ Vence hoje",IF(F95-Hoje&lt;=7,"▲ Próximos 7 dias","○ No prazo")))))))</f>
        <v/>
      </c>
      <c r="L95" s="138" t="str">
        <f>IF(OR(B95="",G95="Concluída",G95="Cancelada"),"",IF(E95="Alta",IF(AND(F95&lt;&gt;"",F95-Hoje&lt;=3),"1 · Fazer já","2 · Agendar"),IF(AND(F95&lt;&gt;"",F95-Hoje&lt;=3),"3 · Resolver rápido","4 · Depois")))</f>
        <v/>
      </c>
      <c r="M95" s="129" t="n"/>
      <c r="N95" t="str">
        <f>IF(AND(B95&lt;&gt;"",G95&lt;&gt;"Concluída",G95&lt;&gt;"Cancelada",F95&lt;&gt;""),F95+ROW()/100000,"")</f>
        <v/>
      </c>
    </row>
    <row r="96">
      <c r="B96" s="129" t="n"/>
      <c r="C96" s="129" t="n"/>
      <c r="D96" s="129" t="n"/>
      <c r="E96" s="129" t="n"/>
      <c r="F96" s="130" t="n"/>
      <c r="G96" s="129" t="n"/>
      <c r="H96" s="130" t="n"/>
      <c r="I96" s="129" t="n"/>
      <c r="J96" s="134" t="str">
        <f>IF(OR(B96="",F96="",G96="Concluída",G96="Cancelada"),"",F96-Hoje)</f>
        <v/>
      </c>
      <c r="K96" s="138" t="str">
        <f>IF(B96="","",IF(G96="Concluída","✔ Feita",IF(G96="Cancelada","– Cancelada",IF(F96="","○ Sem prazo",IF(F96&lt;Hoje,"✖ Atrasada",IF(F96=Hoje,"▲ Vence hoje",IF(F96-Hoje&lt;=7,"▲ Próximos 7 dias","○ No prazo")))))))</f>
        <v/>
      </c>
      <c r="L96" s="138" t="str">
        <f>IF(OR(B96="",G96="Concluída",G96="Cancelada"),"",IF(E96="Alta",IF(AND(F96&lt;&gt;"",F96-Hoje&lt;=3),"1 · Fazer já","2 · Agendar"),IF(AND(F96&lt;&gt;"",F96-Hoje&lt;=3),"3 · Resolver rápido","4 · Depois")))</f>
        <v/>
      </c>
      <c r="M96" s="129" t="n"/>
      <c r="N96" t="str">
        <f>IF(AND(B96&lt;&gt;"",G96&lt;&gt;"Concluída",G96&lt;&gt;"Cancelada",F96&lt;&gt;""),F96+ROW()/100000,"")</f>
        <v/>
      </c>
    </row>
    <row r="97">
      <c r="B97" s="129" t="n"/>
      <c r="C97" s="129" t="n"/>
      <c r="D97" s="129" t="n"/>
      <c r="E97" s="129" t="n"/>
      <c r="F97" s="130" t="n"/>
      <c r="G97" s="129" t="n"/>
      <c r="H97" s="130" t="n"/>
      <c r="I97" s="129" t="n"/>
      <c r="J97" s="134" t="str">
        <f>IF(OR(B97="",F97="",G97="Concluída",G97="Cancelada"),"",F97-Hoje)</f>
        <v/>
      </c>
      <c r="K97" s="138" t="str">
        <f>IF(B97="","",IF(G97="Concluída","✔ Feita",IF(G97="Cancelada","– Cancelada",IF(F97="","○ Sem prazo",IF(F97&lt;Hoje,"✖ Atrasada",IF(F97=Hoje,"▲ Vence hoje",IF(F97-Hoje&lt;=7,"▲ Próximos 7 dias","○ No prazo")))))))</f>
        <v/>
      </c>
      <c r="L97" s="138" t="str">
        <f>IF(OR(B97="",G97="Concluída",G97="Cancelada"),"",IF(E97="Alta",IF(AND(F97&lt;&gt;"",F97-Hoje&lt;=3),"1 · Fazer já","2 · Agendar"),IF(AND(F97&lt;&gt;"",F97-Hoje&lt;=3),"3 · Resolver rápido","4 · Depois")))</f>
        <v/>
      </c>
      <c r="M97" s="129" t="n"/>
      <c r="N97" t="str">
        <f>IF(AND(B97&lt;&gt;"",G97&lt;&gt;"Concluída",G97&lt;&gt;"Cancelada",F97&lt;&gt;""),F97+ROW()/100000,"")</f>
        <v/>
      </c>
    </row>
    <row r="98">
      <c r="B98" s="129" t="n"/>
      <c r="C98" s="129" t="n"/>
      <c r="D98" s="129" t="n"/>
      <c r="E98" s="129" t="n"/>
      <c r="F98" s="130" t="n"/>
      <c r="G98" s="129" t="n"/>
      <c r="H98" s="130" t="n"/>
      <c r="I98" s="129" t="n"/>
      <c r="J98" s="134" t="str">
        <f>IF(OR(B98="",F98="",G98="Concluída",G98="Cancelada"),"",F98-Hoje)</f>
        <v/>
      </c>
      <c r="K98" s="138" t="str">
        <f>IF(B98="","",IF(G98="Concluída","✔ Feita",IF(G98="Cancelada","– Cancelada",IF(F98="","○ Sem prazo",IF(F98&lt;Hoje,"✖ Atrasada",IF(F98=Hoje,"▲ Vence hoje",IF(F98-Hoje&lt;=7,"▲ Próximos 7 dias","○ No prazo")))))))</f>
        <v/>
      </c>
      <c r="L98" s="138" t="str">
        <f>IF(OR(B98="",G98="Concluída",G98="Cancelada"),"",IF(E98="Alta",IF(AND(F98&lt;&gt;"",F98-Hoje&lt;=3),"1 · Fazer já","2 · Agendar"),IF(AND(F98&lt;&gt;"",F98-Hoje&lt;=3),"3 · Resolver rápido","4 · Depois")))</f>
        <v/>
      </c>
      <c r="M98" s="129" t="n"/>
      <c r="N98" t="str">
        <f>IF(AND(B98&lt;&gt;"",G98&lt;&gt;"Concluída",G98&lt;&gt;"Cancelada",F98&lt;&gt;""),F98+ROW()/100000,"")</f>
        <v/>
      </c>
    </row>
    <row r="99">
      <c r="B99" s="129" t="n"/>
      <c r="C99" s="129" t="n"/>
      <c r="D99" s="129" t="n"/>
      <c r="E99" s="129" t="n"/>
      <c r="F99" s="130" t="n"/>
      <c r="G99" s="129" t="n"/>
      <c r="H99" s="130" t="n"/>
      <c r="I99" s="129" t="n"/>
      <c r="J99" s="134" t="str">
        <f>IF(OR(B99="",F99="",G99="Concluída",G99="Cancelada"),"",F99-Hoje)</f>
        <v/>
      </c>
      <c r="K99" s="138" t="str">
        <f>IF(B99="","",IF(G99="Concluída","✔ Feita",IF(G99="Cancelada","– Cancelada",IF(F99="","○ Sem prazo",IF(F99&lt;Hoje,"✖ Atrasada",IF(F99=Hoje,"▲ Vence hoje",IF(F99-Hoje&lt;=7,"▲ Próximos 7 dias","○ No prazo")))))))</f>
        <v/>
      </c>
      <c r="L99" s="138" t="str">
        <f>IF(OR(B99="",G99="Concluída",G99="Cancelada"),"",IF(E99="Alta",IF(AND(F99&lt;&gt;"",F99-Hoje&lt;=3),"1 · Fazer já","2 · Agendar"),IF(AND(F99&lt;&gt;"",F99-Hoje&lt;=3),"3 · Resolver rápido","4 · Depois")))</f>
        <v/>
      </c>
      <c r="M99" s="129" t="n"/>
      <c r="N99" t="str">
        <f>IF(AND(B99&lt;&gt;"",G99&lt;&gt;"Concluída",G99&lt;&gt;"Cancelada",F99&lt;&gt;""),F99+ROW()/100000,"")</f>
        <v/>
      </c>
    </row>
    <row r="100">
      <c r="B100" s="129" t="n"/>
      <c r="C100" s="129" t="n"/>
      <c r="D100" s="129" t="n"/>
      <c r="E100" s="129" t="n"/>
      <c r="F100" s="130" t="n"/>
      <c r="G100" s="129" t="n"/>
      <c r="H100" s="130" t="n"/>
      <c r="I100" s="129" t="n"/>
      <c r="J100" s="134" t="str">
        <f>IF(OR(B100="",F100="",G100="Concluída",G100="Cancelada"),"",F100-Hoje)</f>
        <v/>
      </c>
      <c r="K100" s="138" t="str">
        <f>IF(B100="","",IF(G100="Concluída","✔ Feita",IF(G100="Cancelada","– Cancelada",IF(F100="","○ Sem prazo",IF(F100&lt;Hoje,"✖ Atrasada",IF(F100=Hoje,"▲ Vence hoje",IF(F100-Hoje&lt;=7,"▲ Próximos 7 dias","○ No prazo")))))))</f>
        <v/>
      </c>
      <c r="L100" s="138" t="str">
        <f>IF(OR(B100="",G100="Concluída",G100="Cancelada"),"",IF(E100="Alta",IF(AND(F100&lt;&gt;"",F100-Hoje&lt;=3),"1 · Fazer já","2 · Agendar"),IF(AND(F100&lt;&gt;"",F100-Hoje&lt;=3),"3 · Resolver rápido","4 · Depois")))</f>
        <v/>
      </c>
      <c r="M100" s="129" t="n"/>
      <c r="N100" t="str">
        <f>IF(AND(B100&lt;&gt;"",G100&lt;&gt;"Concluída",G100&lt;&gt;"Cancelada",F100&lt;&gt;""),F100+ROW()/100000,"")</f>
        <v/>
      </c>
    </row>
    <row r="101">
      <c r="B101" s="129" t="n"/>
      <c r="C101" s="129" t="n"/>
      <c r="D101" s="129" t="n"/>
      <c r="E101" s="129" t="n"/>
      <c r="F101" s="130" t="n"/>
      <c r="G101" s="129" t="n"/>
      <c r="H101" s="130" t="n"/>
      <c r="I101" s="129" t="n"/>
      <c r="J101" s="134" t="str">
        <f>IF(OR(B101="",F101="",G101="Concluída",G101="Cancelada"),"",F101-Hoje)</f>
        <v/>
      </c>
      <c r="K101" s="138" t="str">
        <f>IF(B101="","",IF(G101="Concluída","✔ Feita",IF(G101="Cancelada","– Cancelada",IF(F101="","○ Sem prazo",IF(F101&lt;Hoje,"✖ Atrasada",IF(F101=Hoje,"▲ Vence hoje",IF(F101-Hoje&lt;=7,"▲ Próximos 7 dias","○ No prazo")))))))</f>
        <v/>
      </c>
      <c r="L101" s="138" t="str">
        <f>IF(OR(B101="",G101="Concluída",G101="Cancelada"),"",IF(E101="Alta",IF(AND(F101&lt;&gt;"",F101-Hoje&lt;=3),"1 · Fazer já","2 · Agendar"),IF(AND(F101&lt;&gt;"",F101-Hoje&lt;=3),"3 · Resolver rápido","4 · Depois")))</f>
        <v/>
      </c>
      <c r="M101" s="129" t="n"/>
      <c r="N101" t="str">
        <f>IF(AND(B101&lt;&gt;"",G101&lt;&gt;"Concluída",G101&lt;&gt;"Cancelada",F101&lt;&gt;""),F101+ROW()/100000,"")</f>
        <v/>
      </c>
    </row>
    <row r="102">
      <c r="B102" s="129" t="n"/>
      <c r="C102" s="129" t="n"/>
      <c r="D102" s="129" t="n"/>
      <c r="E102" s="129" t="n"/>
      <c r="F102" s="130" t="n"/>
      <c r="G102" s="129" t="n"/>
      <c r="H102" s="130" t="n"/>
      <c r="I102" s="129" t="n"/>
      <c r="J102" s="134" t="str">
        <f>IF(OR(B102="",F102="",G102="Concluída",G102="Cancelada"),"",F102-Hoje)</f>
        <v/>
      </c>
      <c r="K102" s="138" t="str">
        <f>IF(B102="","",IF(G102="Concluída","✔ Feita",IF(G102="Cancelada","– Cancelada",IF(F102="","○ Sem prazo",IF(F102&lt;Hoje,"✖ Atrasada",IF(F102=Hoje,"▲ Vence hoje",IF(F102-Hoje&lt;=7,"▲ Próximos 7 dias","○ No prazo")))))))</f>
        <v/>
      </c>
      <c r="L102" s="138" t="str">
        <f>IF(OR(B102="",G102="Concluída",G102="Cancelada"),"",IF(E102="Alta",IF(AND(F102&lt;&gt;"",F102-Hoje&lt;=3),"1 · Fazer já","2 · Agendar"),IF(AND(F102&lt;&gt;"",F102-Hoje&lt;=3),"3 · Resolver rápido","4 · Depois")))</f>
        <v/>
      </c>
      <c r="M102" s="129" t="n"/>
      <c r="N102" t="str">
        <f>IF(AND(B102&lt;&gt;"",G102&lt;&gt;"Concluída",G102&lt;&gt;"Cancelada",F102&lt;&gt;""),F102+ROW()/100000,"")</f>
        <v/>
      </c>
    </row>
    <row r="103">
      <c r="B103" s="129" t="n"/>
      <c r="C103" s="129" t="n"/>
      <c r="D103" s="129" t="n"/>
      <c r="E103" s="129" t="n"/>
      <c r="F103" s="130" t="n"/>
      <c r="G103" s="129" t="n"/>
      <c r="H103" s="130" t="n"/>
      <c r="I103" s="129" t="n"/>
      <c r="J103" s="134" t="str">
        <f>IF(OR(B103="",F103="",G103="Concluída",G103="Cancelada"),"",F103-Hoje)</f>
        <v/>
      </c>
      <c r="K103" s="138" t="str">
        <f>IF(B103="","",IF(G103="Concluída","✔ Feita",IF(G103="Cancelada","– Cancelada",IF(F103="","○ Sem prazo",IF(F103&lt;Hoje,"✖ Atrasada",IF(F103=Hoje,"▲ Vence hoje",IF(F103-Hoje&lt;=7,"▲ Próximos 7 dias","○ No prazo")))))))</f>
        <v/>
      </c>
      <c r="L103" s="138" t="str">
        <f>IF(OR(B103="",G103="Concluída",G103="Cancelada"),"",IF(E103="Alta",IF(AND(F103&lt;&gt;"",F103-Hoje&lt;=3),"1 · Fazer já","2 · Agendar"),IF(AND(F103&lt;&gt;"",F103-Hoje&lt;=3),"3 · Resolver rápido","4 · Depois")))</f>
        <v/>
      </c>
      <c r="M103" s="129" t="n"/>
      <c r="N103" t="str">
        <f>IF(AND(B103&lt;&gt;"",G103&lt;&gt;"Concluída",G103&lt;&gt;"Cancelada",F103&lt;&gt;""),F103+ROW()/100000,"")</f>
        <v/>
      </c>
    </row>
    <row r="104">
      <c r="B104" s="129" t="n"/>
      <c r="C104" s="129" t="n"/>
      <c r="D104" s="129" t="n"/>
      <c r="E104" s="129" t="n"/>
      <c r="F104" s="130" t="n"/>
      <c r="G104" s="129" t="n"/>
      <c r="H104" s="130" t="n"/>
      <c r="I104" s="129" t="n"/>
      <c r="J104" s="134" t="str">
        <f>IF(OR(B104="",F104="",G104="Concluída",G104="Cancelada"),"",F104-Hoje)</f>
        <v/>
      </c>
      <c r="K104" s="138" t="str">
        <f>IF(B104="","",IF(G104="Concluída","✔ Feita",IF(G104="Cancelada","– Cancelada",IF(F104="","○ Sem prazo",IF(F104&lt;Hoje,"✖ Atrasada",IF(F104=Hoje,"▲ Vence hoje",IF(F104-Hoje&lt;=7,"▲ Próximos 7 dias","○ No prazo")))))))</f>
        <v/>
      </c>
      <c r="L104" s="138" t="str">
        <f>IF(OR(B104="",G104="Concluída",G104="Cancelada"),"",IF(E104="Alta",IF(AND(F104&lt;&gt;"",F104-Hoje&lt;=3),"1 · Fazer já","2 · Agendar"),IF(AND(F104&lt;&gt;"",F104-Hoje&lt;=3),"3 · Resolver rápido","4 · Depois")))</f>
        <v/>
      </c>
      <c r="M104" s="129" t="n"/>
      <c r="N104" t="str">
        <f>IF(AND(B104&lt;&gt;"",G104&lt;&gt;"Concluída",G104&lt;&gt;"Cancelada",F104&lt;&gt;""),F104+ROW()/100000,"")</f>
        <v/>
      </c>
    </row>
    <row r="105">
      <c r="B105" s="129" t="n"/>
      <c r="C105" s="129" t="n"/>
      <c r="D105" s="129" t="n"/>
      <c r="E105" s="129" t="n"/>
      <c r="F105" s="130" t="n"/>
      <c r="G105" s="129" t="n"/>
      <c r="H105" s="130" t="n"/>
      <c r="I105" s="129" t="n"/>
      <c r="J105" s="134" t="str">
        <f>IF(OR(B105="",F105="",G105="Concluída",G105="Cancelada"),"",F105-Hoje)</f>
        <v/>
      </c>
      <c r="K105" s="138" t="str">
        <f>IF(B105="","",IF(G105="Concluída","✔ Feita",IF(G105="Cancelada","– Cancelada",IF(F105="","○ Sem prazo",IF(F105&lt;Hoje,"✖ Atrasada",IF(F105=Hoje,"▲ Vence hoje",IF(F105-Hoje&lt;=7,"▲ Próximos 7 dias","○ No prazo")))))))</f>
        <v/>
      </c>
      <c r="L105" s="138" t="str">
        <f>IF(OR(B105="",G105="Concluída",G105="Cancelada"),"",IF(E105="Alta",IF(AND(F105&lt;&gt;"",F105-Hoje&lt;=3),"1 · Fazer já","2 · Agendar"),IF(AND(F105&lt;&gt;"",F105-Hoje&lt;=3),"3 · Resolver rápido","4 · Depois")))</f>
        <v/>
      </c>
      <c r="M105" s="129" t="n"/>
      <c r="N105" t="str">
        <f>IF(AND(B105&lt;&gt;"",G105&lt;&gt;"Concluída",G105&lt;&gt;"Cancelada",F105&lt;&gt;""),F105+ROW()/100000,"")</f>
        <v/>
      </c>
    </row>
    <row r="106">
      <c r="B106" s="129" t="n"/>
      <c r="C106" s="129" t="n"/>
      <c r="D106" s="129" t="n"/>
      <c r="E106" s="129" t="n"/>
      <c r="F106" s="130" t="n"/>
      <c r="G106" s="129" t="n"/>
      <c r="H106" s="130" t="n"/>
      <c r="I106" s="129" t="n"/>
      <c r="J106" s="134" t="str">
        <f>IF(OR(B106="",F106="",G106="Concluída",G106="Cancelada"),"",F106-Hoje)</f>
        <v/>
      </c>
      <c r="K106" s="138" t="str">
        <f>IF(B106="","",IF(G106="Concluída","✔ Feita",IF(G106="Cancelada","– Cancelada",IF(F106="","○ Sem prazo",IF(F106&lt;Hoje,"✖ Atrasada",IF(F106=Hoje,"▲ Vence hoje",IF(F106-Hoje&lt;=7,"▲ Próximos 7 dias","○ No prazo")))))))</f>
        <v/>
      </c>
      <c r="L106" s="138" t="str">
        <f>IF(OR(B106="",G106="Concluída",G106="Cancelada"),"",IF(E106="Alta",IF(AND(F106&lt;&gt;"",F106-Hoje&lt;=3),"1 · Fazer já","2 · Agendar"),IF(AND(F106&lt;&gt;"",F106-Hoje&lt;=3),"3 · Resolver rápido","4 · Depois")))</f>
        <v/>
      </c>
      <c r="M106" s="129" t="n"/>
      <c r="N106" t="str">
        <f>IF(AND(B106&lt;&gt;"",G106&lt;&gt;"Concluída",G106&lt;&gt;"Cancelada",F106&lt;&gt;""),F106+ROW()/100000,"")</f>
        <v/>
      </c>
    </row>
    <row r="107">
      <c r="B107" s="129" t="n"/>
      <c r="C107" s="129" t="n"/>
      <c r="D107" s="129" t="n"/>
      <c r="E107" s="129" t="n"/>
      <c r="F107" s="130" t="n"/>
      <c r="G107" s="129" t="n"/>
      <c r="H107" s="130" t="n"/>
      <c r="I107" s="129" t="n"/>
      <c r="J107" s="134" t="str">
        <f>IF(OR(B107="",F107="",G107="Concluída",G107="Cancelada"),"",F107-Hoje)</f>
        <v/>
      </c>
      <c r="K107" s="138" t="str">
        <f>IF(B107="","",IF(G107="Concluída","✔ Feita",IF(G107="Cancelada","– Cancelada",IF(F107="","○ Sem prazo",IF(F107&lt;Hoje,"✖ Atrasada",IF(F107=Hoje,"▲ Vence hoje",IF(F107-Hoje&lt;=7,"▲ Próximos 7 dias","○ No prazo")))))))</f>
        <v/>
      </c>
      <c r="L107" s="138" t="str">
        <f>IF(OR(B107="",G107="Concluída",G107="Cancelada"),"",IF(E107="Alta",IF(AND(F107&lt;&gt;"",F107-Hoje&lt;=3),"1 · Fazer já","2 · Agendar"),IF(AND(F107&lt;&gt;"",F107-Hoje&lt;=3),"3 · Resolver rápido","4 · Depois")))</f>
        <v/>
      </c>
      <c r="M107" s="129" t="n"/>
      <c r="N107" t="str">
        <f>IF(AND(B107&lt;&gt;"",G107&lt;&gt;"Concluída",G107&lt;&gt;"Cancelada",F107&lt;&gt;""),F107+ROW()/100000,"")</f>
        <v/>
      </c>
    </row>
    <row r="108">
      <c r="B108" s="129" t="n"/>
      <c r="C108" s="129" t="n"/>
      <c r="D108" s="129" t="n"/>
      <c r="E108" s="129" t="n"/>
      <c r="F108" s="130" t="n"/>
      <c r="G108" s="129" t="n"/>
      <c r="H108" s="130" t="n"/>
      <c r="I108" s="129" t="n"/>
      <c r="J108" s="134" t="str">
        <f>IF(OR(B108="",F108="",G108="Concluída",G108="Cancelada"),"",F108-Hoje)</f>
        <v/>
      </c>
      <c r="K108" s="138" t="str">
        <f>IF(B108="","",IF(G108="Concluída","✔ Feita",IF(G108="Cancelada","– Cancelada",IF(F108="","○ Sem prazo",IF(F108&lt;Hoje,"✖ Atrasada",IF(F108=Hoje,"▲ Vence hoje",IF(F108-Hoje&lt;=7,"▲ Próximos 7 dias","○ No prazo")))))))</f>
        <v/>
      </c>
      <c r="L108" s="138" t="str">
        <f>IF(OR(B108="",G108="Concluída",G108="Cancelada"),"",IF(E108="Alta",IF(AND(F108&lt;&gt;"",F108-Hoje&lt;=3),"1 · Fazer já","2 · Agendar"),IF(AND(F108&lt;&gt;"",F108-Hoje&lt;=3),"3 · Resolver rápido","4 · Depois")))</f>
        <v/>
      </c>
      <c r="M108" s="129" t="n"/>
      <c r="N108" t="str">
        <f>IF(AND(B108&lt;&gt;"",G108&lt;&gt;"Concluída",G108&lt;&gt;"Cancelada",F108&lt;&gt;""),F108+ROW()/100000,"")</f>
        <v/>
      </c>
    </row>
    <row r="109">
      <c r="B109" s="129" t="n"/>
      <c r="C109" s="129" t="n"/>
      <c r="D109" s="129" t="n"/>
      <c r="E109" s="129" t="n"/>
      <c r="F109" s="130" t="n"/>
      <c r="G109" s="129" t="n"/>
      <c r="H109" s="130" t="n"/>
      <c r="I109" s="129" t="n"/>
      <c r="J109" s="134" t="str">
        <f>IF(OR(B109="",F109="",G109="Concluída",G109="Cancelada"),"",F109-Hoje)</f>
        <v/>
      </c>
      <c r="K109" s="138" t="str">
        <f>IF(B109="","",IF(G109="Concluída","✔ Feita",IF(G109="Cancelada","– Cancelada",IF(F109="","○ Sem prazo",IF(F109&lt;Hoje,"✖ Atrasada",IF(F109=Hoje,"▲ Vence hoje",IF(F109-Hoje&lt;=7,"▲ Próximos 7 dias","○ No prazo")))))))</f>
        <v/>
      </c>
      <c r="L109" s="138" t="str">
        <f>IF(OR(B109="",G109="Concluída",G109="Cancelada"),"",IF(E109="Alta",IF(AND(F109&lt;&gt;"",F109-Hoje&lt;=3),"1 · Fazer já","2 · Agendar"),IF(AND(F109&lt;&gt;"",F109-Hoje&lt;=3),"3 · Resolver rápido","4 · Depois")))</f>
        <v/>
      </c>
      <c r="M109" s="129" t="n"/>
      <c r="N109" t="str">
        <f>IF(AND(B109&lt;&gt;"",G109&lt;&gt;"Concluída",G109&lt;&gt;"Cancelada",F109&lt;&gt;""),F109+ROW()/100000,"")</f>
        <v/>
      </c>
    </row>
    <row r="110">
      <c r="B110" s="129" t="n"/>
      <c r="C110" s="129" t="n"/>
      <c r="D110" s="129" t="n"/>
      <c r="E110" s="129" t="n"/>
      <c r="F110" s="130" t="n"/>
      <c r="G110" s="129" t="n"/>
      <c r="H110" s="130" t="n"/>
      <c r="I110" s="129" t="n"/>
      <c r="J110" s="134" t="str">
        <f>IF(OR(B110="",F110="",G110="Concluída",G110="Cancelada"),"",F110-Hoje)</f>
        <v/>
      </c>
      <c r="K110" s="138" t="str">
        <f>IF(B110="","",IF(G110="Concluída","✔ Feita",IF(G110="Cancelada","– Cancelada",IF(F110="","○ Sem prazo",IF(F110&lt;Hoje,"✖ Atrasada",IF(F110=Hoje,"▲ Vence hoje",IF(F110-Hoje&lt;=7,"▲ Próximos 7 dias","○ No prazo")))))))</f>
        <v/>
      </c>
      <c r="L110" s="138" t="str">
        <f>IF(OR(B110="",G110="Concluída",G110="Cancelada"),"",IF(E110="Alta",IF(AND(F110&lt;&gt;"",F110-Hoje&lt;=3),"1 · Fazer já","2 · Agendar"),IF(AND(F110&lt;&gt;"",F110-Hoje&lt;=3),"3 · Resolver rápido","4 · Depois")))</f>
        <v/>
      </c>
      <c r="M110" s="129" t="n"/>
      <c r="N110" t="str">
        <f>IF(AND(B110&lt;&gt;"",G110&lt;&gt;"Concluída",G110&lt;&gt;"Cancelada",F110&lt;&gt;""),F110+ROW()/100000,"")</f>
        <v/>
      </c>
    </row>
    <row r="111">
      <c r="B111" s="129" t="n"/>
      <c r="C111" s="129" t="n"/>
      <c r="D111" s="129" t="n"/>
      <c r="E111" s="129" t="n"/>
      <c r="F111" s="130" t="n"/>
      <c r="G111" s="129" t="n"/>
      <c r="H111" s="130" t="n"/>
      <c r="I111" s="129" t="n"/>
      <c r="J111" s="134" t="str">
        <f>IF(OR(B111="",F111="",G111="Concluída",G111="Cancelada"),"",F111-Hoje)</f>
        <v/>
      </c>
      <c r="K111" s="138" t="str">
        <f>IF(B111="","",IF(G111="Concluída","✔ Feita",IF(G111="Cancelada","– Cancelada",IF(F111="","○ Sem prazo",IF(F111&lt;Hoje,"✖ Atrasada",IF(F111=Hoje,"▲ Vence hoje",IF(F111-Hoje&lt;=7,"▲ Próximos 7 dias","○ No prazo")))))))</f>
        <v/>
      </c>
      <c r="L111" s="138" t="str">
        <f>IF(OR(B111="",G111="Concluída",G111="Cancelada"),"",IF(E111="Alta",IF(AND(F111&lt;&gt;"",F111-Hoje&lt;=3),"1 · Fazer já","2 · Agendar"),IF(AND(F111&lt;&gt;"",F111-Hoje&lt;=3),"3 · Resolver rápido","4 · Depois")))</f>
        <v/>
      </c>
      <c r="M111" s="129" t="n"/>
      <c r="N111" t="str">
        <f>IF(AND(B111&lt;&gt;"",G111&lt;&gt;"Concluída",G111&lt;&gt;"Cancelada",F111&lt;&gt;""),F111+ROW()/100000,"")</f>
        <v/>
      </c>
    </row>
    <row r="112">
      <c r="B112" s="129" t="n"/>
      <c r="C112" s="129" t="n"/>
      <c r="D112" s="129" t="n"/>
      <c r="E112" s="129" t="n"/>
      <c r="F112" s="130" t="n"/>
      <c r="G112" s="129" t="n"/>
      <c r="H112" s="130" t="n"/>
      <c r="I112" s="129" t="n"/>
      <c r="J112" s="134" t="str">
        <f>IF(OR(B112="",F112="",G112="Concluída",G112="Cancelada"),"",F112-Hoje)</f>
        <v/>
      </c>
      <c r="K112" s="138" t="str">
        <f>IF(B112="","",IF(G112="Concluída","✔ Feita",IF(G112="Cancelada","– Cancelada",IF(F112="","○ Sem prazo",IF(F112&lt;Hoje,"✖ Atrasada",IF(F112=Hoje,"▲ Vence hoje",IF(F112-Hoje&lt;=7,"▲ Próximos 7 dias","○ No prazo")))))))</f>
        <v/>
      </c>
      <c r="L112" s="138" t="str">
        <f>IF(OR(B112="",G112="Concluída",G112="Cancelada"),"",IF(E112="Alta",IF(AND(F112&lt;&gt;"",F112-Hoje&lt;=3),"1 · Fazer já","2 · Agendar"),IF(AND(F112&lt;&gt;"",F112-Hoje&lt;=3),"3 · Resolver rápido","4 · Depois")))</f>
        <v/>
      </c>
      <c r="M112" s="129" t="n"/>
      <c r="N112" t="str">
        <f>IF(AND(B112&lt;&gt;"",G112&lt;&gt;"Concluída",G112&lt;&gt;"Cancelada",F112&lt;&gt;""),F112+ROW()/100000,"")</f>
        <v/>
      </c>
    </row>
    <row r="113">
      <c r="B113" s="129" t="n"/>
      <c r="C113" s="129" t="n"/>
      <c r="D113" s="129" t="n"/>
      <c r="E113" s="129" t="n"/>
      <c r="F113" s="130" t="n"/>
      <c r="G113" s="129" t="n"/>
      <c r="H113" s="130" t="n"/>
      <c r="I113" s="129" t="n"/>
      <c r="J113" s="134" t="str">
        <f>IF(OR(B113="",F113="",G113="Concluída",G113="Cancelada"),"",F113-Hoje)</f>
        <v/>
      </c>
      <c r="K113" s="138" t="str">
        <f>IF(B113="","",IF(G113="Concluída","✔ Feita",IF(G113="Cancelada","– Cancelada",IF(F113="","○ Sem prazo",IF(F113&lt;Hoje,"✖ Atrasada",IF(F113=Hoje,"▲ Vence hoje",IF(F113-Hoje&lt;=7,"▲ Próximos 7 dias","○ No prazo")))))))</f>
        <v/>
      </c>
      <c r="L113" s="138" t="str">
        <f>IF(OR(B113="",G113="Concluída",G113="Cancelada"),"",IF(E113="Alta",IF(AND(F113&lt;&gt;"",F113-Hoje&lt;=3),"1 · Fazer já","2 · Agendar"),IF(AND(F113&lt;&gt;"",F113-Hoje&lt;=3),"3 · Resolver rápido","4 · Depois")))</f>
        <v/>
      </c>
      <c r="M113" s="129" t="n"/>
      <c r="N113" t="str">
        <f>IF(AND(B113&lt;&gt;"",G113&lt;&gt;"Concluída",G113&lt;&gt;"Cancelada",F113&lt;&gt;""),F113+ROW()/100000,"")</f>
        <v/>
      </c>
    </row>
    <row r="114">
      <c r="B114" s="129" t="n"/>
      <c r="C114" s="129" t="n"/>
      <c r="D114" s="129" t="n"/>
      <c r="E114" s="129" t="n"/>
      <c r="F114" s="130" t="n"/>
      <c r="G114" s="129" t="n"/>
      <c r="H114" s="130" t="n"/>
      <c r="I114" s="129" t="n"/>
      <c r="J114" s="134" t="str">
        <f>IF(OR(B114="",F114="",G114="Concluída",G114="Cancelada"),"",F114-Hoje)</f>
        <v/>
      </c>
      <c r="K114" s="138" t="str">
        <f>IF(B114="","",IF(G114="Concluída","✔ Feita",IF(G114="Cancelada","– Cancelada",IF(F114="","○ Sem prazo",IF(F114&lt;Hoje,"✖ Atrasada",IF(F114=Hoje,"▲ Vence hoje",IF(F114-Hoje&lt;=7,"▲ Próximos 7 dias","○ No prazo")))))))</f>
        <v/>
      </c>
      <c r="L114" s="138" t="str">
        <f>IF(OR(B114="",G114="Concluída",G114="Cancelada"),"",IF(E114="Alta",IF(AND(F114&lt;&gt;"",F114-Hoje&lt;=3),"1 · Fazer já","2 · Agendar"),IF(AND(F114&lt;&gt;"",F114-Hoje&lt;=3),"3 · Resolver rápido","4 · Depois")))</f>
        <v/>
      </c>
      <c r="M114" s="129" t="n"/>
      <c r="N114" t="str">
        <f>IF(AND(B114&lt;&gt;"",G114&lt;&gt;"Concluída",G114&lt;&gt;"Cancelada",F114&lt;&gt;""),F114+ROW()/100000,"")</f>
        <v/>
      </c>
    </row>
    <row r="115">
      <c r="B115" s="129" t="n"/>
      <c r="C115" s="129" t="n"/>
      <c r="D115" s="129" t="n"/>
      <c r="E115" s="129" t="n"/>
      <c r="F115" s="130" t="n"/>
      <c r="G115" s="129" t="n"/>
      <c r="H115" s="130" t="n"/>
      <c r="I115" s="129" t="n"/>
      <c r="J115" s="134" t="str">
        <f>IF(OR(B115="",F115="",G115="Concluída",G115="Cancelada"),"",F115-Hoje)</f>
        <v/>
      </c>
      <c r="K115" s="138" t="str">
        <f>IF(B115="","",IF(G115="Concluída","✔ Feita",IF(G115="Cancelada","– Cancelada",IF(F115="","○ Sem prazo",IF(F115&lt;Hoje,"✖ Atrasada",IF(F115=Hoje,"▲ Vence hoje",IF(F115-Hoje&lt;=7,"▲ Próximos 7 dias","○ No prazo")))))))</f>
        <v/>
      </c>
      <c r="L115" s="138" t="str">
        <f>IF(OR(B115="",G115="Concluída",G115="Cancelada"),"",IF(E115="Alta",IF(AND(F115&lt;&gt;"",F115-Hoje&lt;=3),"1 · Fazer já","2 · Agendar"),IF(AND(F115&lt;&gt;"",F115-Hoje&lt;=3),"3 · Resolver rápido","4 · Depois")))</f>
        <v/>
      </c>
      <c r="M115" s="129" t="n"/>
      <c r="N115" t="str">
        <f>IF(AND(B115&lt;&gt;"",G115&lt;&gt;"Concluída",G115&lt;&gt;"Cancelada",F115&lt;&gt;""),F115+ROW()/100000,"")</f>
        <v/>
      </c>
    </row>
    <row r="116">
      <c r="B116" s="129" t="n"/>
      <c r="C116" s="129" t="n"/>
      <c r="D116" s="129" t="n"/>
      <c r="E116" s="129" t="n"/>
      <c r="F116" s="130" t="n"/>
      <c r="G116" s="129" t="n"/>
      <c r="H116" s="130" t="n"/>
      <c r="I116" s="129" t="n"/>
      <c r="J116" s="134" t="str">
        <f>IF(OR(B116="",F116="",G116="Concluída",G116="Cancelada"),"",F116-Hoje)</f>
        <v/>
      </c>
      <c r="K116" s="138" t="str">
        <f>IF(B116="","",IF(G116="Concluída","✔ Feita",IF(G116="Cancelada","– Cancelada",IF(F116="","○ Sem prazo",IF(F116&lt;Hoje,"✖ Atrasada",IF(F116=Hoje,"▲ Vence hoje",IF(F116-Hoje&lt;=7,"▲ Próximos 7 dias","○ No prazo")))))))</f>
        <v/>
      </c>
      <c r="L116" s="138" t="str">
        <f>IF(OR(B116="",G116="Concluída",G116="Cancelada"),"",IF(E116="Alta",IF(AND(F116&lt;&gt;"",F116-Hoje&lt;=3),"1 · Fazer já","2 · Agendar"),IF(AND(F116&lt;&gt;"",F116-Hoje&lt;=3),"3 · Resolver rápido","4 · Depois")))</f>
        <v/>
      </c>
      <c r="M116" s="129" t="n"/>
      <c r="N116" t="str">
        <f>IF(AND(B116&lt;&gt;"",G116&lt;&gt;"Concluída",G116&lt;&gt;"Cancelada",F116&lt;&gt;""),F116+ROW()/100000,"")</f>
        <v/>
      </c>
    </row>
    <row r="117">
      <c r="B117" s="129" t="n"/>
      <c r="C117" s="129" t="n"/>
      <c r="D117" s="129" t="n"/>
      <c r="E117" s="129" t="n"/>
      <c r="F117" s="130" t="n"/>
      <c r="G117" s="129" t="n"/>
      <c r="H117" s="130" t="n"/>
      <c r="I117" s="129" t="n"/>
      <c r="J117" s="134" t="str">
        <f>IF(OR(B117="",F117="",G117="Concluída",G117="Cancelada"),"",F117-Hoje)</f>
        <v/>
      </c>
      <c r="K117" s="138" t="str">
        <f>IF(B117="","",IF(G117="Concluída","✔ Feita",IF(G117="Cancelada","– Cancelada",IF(F117="","○ Sem prazo",IF(F117&lt;Hoje,"✖ Atrasada",IF(F117=Hoje,"▲ Vence hoje",IF(F117-Hoje&lt;=7,"▲ Próximos 7 dias","○ No prazo")))))))</f>
        <v/>
      </c>
      <c r="L117" s="138" t="str">
        <f>IF(OR(B117="",G117="Concluída",G117="Cancelada"),"",IF(E117="Alta",IF(AND(F117&lt;&gt;"",F117-Hoje&lt;=3),"1 · Fazer já","2 · Agendar"),IF(AND(F117&lt;&gt;"",F117-Hoje&lt;=3),"3 · Resolver rápido","4 · Depois")))</f>
        <v/>
      </c>
      <c r="M117" s="129" t="n"/>
      <c r="N117" t="str">
        <f>IF(AND(B117&lt;&gt;"",G117&lt;&gt;"Concluída",G117&lt;&gt;"Cancelada",F117&lt;&gt;""),F117+ROW()/100000,"")</f>
        <v/>
      </c>
    </row>
    <row r="118">
      <c r="B118" s="129" t="n"/>
      <c r="C118" s="129" t="n"/>
      <c r="D118" s="129" t="n"/>
      <c r="E118" s="129" t="n"/>
      <c r="F118" s="130" t="n"/>
      <c r="G118" s="129" t="n"/>
      <c r="H118" s="130" t="n"/>
      <c r="I118" s="129" t="n"/>
      <c r="J118" s="134" t="str">
        <f>IF(OR(B118="",F118="",G118="Concluída",G118="Cancelada"),"",F118-Hoje)</f>
        <v/>
      </c>
      <c r="K118" s="138" t="str">
        <f>IF(B118="","",IF(G118="Concluída","✔ Feita",IF(G118="Cancelada","– Cancelada",IF(F118="","○ Sem prazo",IF(F118&lt;Hoje,"✖ Atrasada",IF(F118=Hoje,"▲ Vence hoje",IF(F118-Hoje&lt;=7,"▲ Próximos 7 dias","○ No prazo")))))))</f>
        <v/>
      </c>
      <c r="L118" s="138" t="str">
        <f>IF(OR(B118="",G118="Concluída",G118="Cancelada"),"",IF(E118="Alta",IF(AND(F118&lt;&gt;"",F118-Hoje&lt;=3),"1 · Fazer já","2 · Agendar"),IF(AND(F118&lt;&gt;"",F118-Hoje&lt;=3),"3 · Resolver rápido","4 · Depois")))</f>
        <v/>
      </c>
      <c r="M118" s="129" t="n"/>
      <c r="N118" t="str">
        <f>IF(AND(B118&lt;&gt;"",G118&lt;&gt;"Concluída",G118&lt;&gt;"Cancelada",F118&lt;&gt;""),F118+ROW()/100000,"")</f>
        <v/>
      </c>
    </row>
    <row r="119">
      <c r="B119" s="129" t="n"/>
      <c r="C119" s="129" t="n"/>
      <c r="D119" s="129" t="n"/>
      <c r="E119" s="129" t="n"/>
      <c r="F119" s="130" t="n"/>
      <c r="G119" s="129" t="n"/>
      <c r="H119" s="130" t="n"/>
      <c r="I119" s="129" t="n"/>
      <c r="J119" s="134" t="str">
        <f>IF(OR(B119="",F119="",G119="Concluída",G119="Cancelada"),"",F119-Hoje)</f>
        <v/>
      </c>
      <c r="K119" s="138" t="str">
        <f>IF(B119="","",IF(G119="Concluída","✔ Feita",IF(G119="Cancelada","– Cancelada",IF(F119="","○ Sem prazo",IF(F119&lt;Hoje,"✖ Atrasada",IF(F119=Hoje,"▲ Vence hoje",IF(F119-Hoje&lt;=7,"▲ Próximos 7 dias","○ No prazo")))))))</f>
        <v/>
      </c>
      <c r="L119" s="138" t="str">
        <f>IF(OR(B119="",G119="Concluída",G119="Cancelada"),"",IF(E119="Alta",IF(AND(F119&lt;&gt;"",F119-Hoje&lt;=3),"1 · Fazer já","2 · Agendar"),IF(AND(F119&lt;&gt;"",F119-Hoje&lt;=3),"3 · Resolver rápido","4 · Depois")))</f>
        <v/>
      </c>
      <c r="M119" s="129" t="n"/>
      <c r="N119" t="str">
        <f>IF(AND(B119&lt;&gt;"",G119&lt;&gt;"Concluída",G119&lt;&gt;"Cancelada",F119&lt;&gt;""),F119+ROW()/100000,"")</f>
        <v/>
      </c>
    </row>
    <row r="120">
      <c r="B120" s="129" t="n"/>
      <c r="C120" s="129" t="n"/>
      <c r="D120" s="129" t="n"/>
      <c r="E120" s="129" t="n"/>
      <c r="F120" s="130" t="n"/>
      <c r="G120" s="129" t="n"/>
      <c r="H120" s="130" t="n"/>
      <c r="I120" s="129" t="n"/>
      <c r="J120" s="134" t="str">
        <f>IF(OR(B120="",F120="",G120="Concluída",G120="Cancelada"),"",F120-Hoje)</f>
        <v/>
      </c>
      <c r="K120" s="138" t="str">
        <f>IF(B120="","",IF(G120="Concluída","✔ Feita",IF(G120="Cancelada","– Cancelada",IF(F120="","○ Sem prazo",IF(F120&lt;Hoje,"✖ Atrasada",IF(F120=Hoje,"▲ Vence hoje",IF(F120-Hoje&lt;=7,"▲ Próximos 7 dias","○ No prazo")))))))</f>
        <v/>
      </c>
      <c r="L120" s="138" t="str">
        <f>IF(OR(B120="",G120="Concluída",G120="Cancelada"),"",IF(E120="Alta",IF(AND(F120&lt;&gt;"",F120-Hoje&lt;=3),"1 · Fazer já","2 · Agendar"),IF(AND(F120&lt;&gt;"",F120-Hoje&lt;=3),"3 · Resolver rápido","4 · Depois")))</f>
        <v/>
      </c>
      <c r="M120" s="129" t="n"/>
      <c r="N120" t="str">
        <f>IF(AND(B120&lt;&gt;"",G120&lt;&gt;"Concluída",G120&lt;&gt;"Cancelada",F120&lt;&gt;""),F120+ROW()/100000,"")</f>
        <v/>
      </c>
    </row>
    <row r="121">
      <c r="B121" s="129" t="n"/>
      <c r="C121" s="129" t="n"/>
      <c r="D121" s="129" t="n"/>
      <c r="E121" s="129" t="n"/>
      <c r="F121" s="130" t="n"/>
      <c r="G121" s="129" t="n"/>
      <c r="H121" s="130" t="n"/>
      <c r="I121" s="129" t="n"/>
      <c r="J121" s="134" t="str">
        <f>IF(OR(B121="",F121="",G121="Concluída",G121="Cancelada"),"",F121-Hoje)</f>
        <v/>
      </c>
      <c r="K121" s="138" t="str">
        <f>IF(B121="","",IF(G121="Concluída","✔ Feita",IF(G121="Cancelada","– Cancelada",IF(F121="","○ Sem prazo",IF(F121&lt;Hoje,"✖ Atrasada",IF(F121=Hoje,"▲ Vence hoje",IF(F121-Hoje&lt;=7,"▲ Próximos 7 dias","○ No prazo")))))))</f>
        <v/>
      </c>
      <c r="L121" s="138" t="str">
        <f>IF(OR(B121="",G121="Concluída",G121="Cancelada"),"",IF(E121="Alta",IF(AND(F121&lt;&gt;"",F121-Hoje&lt;=3),"1 · Fazer já","2 · Agendar"),IF(AND(F121&lt;&gt;"",F121-Hoje&lt;=3),"3 · Resolver rápido","4 · Depois")))</f>
        <v/>
      </c>
      <c r="M121" s="129" t="n"/>
      <c r="N121" t="str">
        <f>IF(AND(B121&lt;&gt;"",G121&lt;&gt;"Concluída",G121&lt;&gt;"Cancelada",F121&lt;&gt;""),F121+ROW()/100000,"")</f>
        <v/>
      </c>
    </row>
    <row r="122">
      <c r="B122" s="129" t="n"/>
      <c r="C122" s="129" t="n"/>
      <c r="D122" s="129" t="n"/>
      <c r="E122" s="129" t="n"/>
      <c r="F122" s="130" t="n"/>
      <c r="G122" s="129" t="n"/>
      <c r="H122" s="130" t="n"/>
      <c r="I122" s="129" t="n"/>
      <c r="J122" s="134" t="str">
        <f>IF(OR(B122="",F122="",G122="Concluída",G122="Cancelada"),"",F122-Hoje)</f>
        <v/>
      </c>
      <c r="K122" s="138" t="str">
        <f>IF(B122="","",IF(G122="Concluída","✔ Feita",IF(G122="Cancelada","– Cancelada",IF(F122="","○ Sem prazo",IF(F122&lt;Hoje,"✖ Atrasada",IF(F122=Hoje,"▲ Vence hoje",IF(F122-Hoje&lt;=7,"▲ Próximos 7 dias","○ No prazo")))))))</f>
        <v/>
      </c>
      <c r="L122" s="138" t="str">
        <f>IF(OR(B122="",G122="Concluída",G122="Cancelada"),"",IF(E122="Alta",IF(AND(F122&lt;&gt;"",F122-Hoje&lt;=3),"1 · Fazer já","2 · Agendar"),IF(AND(F122&lt;&gt;"",F122-Hoje&lt;=3),"3 · Resolver rápido","4 · Depois")))</f>
        <v/>
      </c>
      <c r="M122" s="129" t="n"/>
      <c r="N122" t="str">
        <f>IF(AND(B122&lt;&gt;"",G122&lt;&gt;"Concluída",G122&lt;&gt;"Cancelada",F122&lt;&gt;""),F122+ROW()/100000,"")</f>
        <v/>
      </c>
    </row>
    <row r="123">
      <c r="B123" s="129" t="n"/>
      <c r="C123" s="129" t="n"/>
      <c r="D123" s="129" t="n"/>
      <c r="E123" s="129" t="n"/>
      <c r="F123" s="130" t="n"/>
      <c r="G123" s="129" t="n"/>
      <c r="H123" s="130" t="n"/>
      <c r="I123" s="129" t="n"/>
      <c r="J123" s="134" t="str">
        <f>IF(OR(B123="",F123="",G123="Concluída",G123="Cancelada"),"",F123-Hoje)</f>
        <v/>
      </c>
      <c r="K123" s="138" t="str">
        <f>IF(B123="","",IF(G123="Concluída","✔ Feita",IF(G123="Cancelada","– Cancelada",IF(F123="","○ Sem prazo",IF(F123&lt;Hoje,"✖ Atrasada",IF(F123=Hoje,"▲ Vence hoje",IF(F123-Hoje&lt;=7,"▲ Próximos 7 dias","○ No prazo")))))))</f>
        <v/>
      </c>
      <c r="L123" s="138" t="str">
        <f>IF(OR(B123="",G123="Concluída",G123="Cancelada"),"",IF(E123="Alta",IF(AND(F123&lt;&gt;"",F123-Hoje&lt;=3),"1 · Fazer já","2 · Agendar"),IF(AND(F123&lt;&gt;"",F123-Hoje&lt;=3),"3 · Resolver rápido","4 · Depois")))</f>
        <v/>
      </c>
      <c r="M123" s="129" t="n"/>
      <c r="N123" t="str">
        <f>IF(AND(B123&lt;&gt;"",G123&lt;&gt;"Concluída",G123&lt;&gt;"Cancelada",F123&lt;&gt;""),F123+ROW()/100000,"")</f>
        <v/>
      </c>
    </row>
    <row r="124">
      <c r="B124" s="129" t="n"/>
      <c r="C124" s="129" t="n"/>
      <c r="D124" s="129" t="n"/>
      <c r="E124" s="129" t="n"/>
      <c r="F124" s="130" t="n"/>
      <c r="G124" s="129" t="n"/>
      <c r="H124" s="130" t="n"/>
      <c r="I124" s="129" t="n"/>
      <c r="J124" s="134" t="str">
        <f>IF(OR(B124="",F124="",G124="Concluída",G124="Cancelada"),"",F124-Hoje)</f>
        <v/>
      </c>
      <c r="K124" s="138" t="str">
        <f>IF(B124="","",IF(G124="Concluída","✔ Feita",IF(G124="Cancelada","– Cancelada",IF(F124="","○ Sem prazo",IF(F124&lt;Hoje,"✖ Atrasada",IF(F124=Hoje,"▲ Vence hoje",IF(F124-Hoje&lt;=7,"▲ Próximos 7 dias","○ No prazo")))))))</f>
        <v/>
      </c>
      <c r="L124" s="138" t="str">
        <f>IF(OR(B124="",G124="Concluída",G124="Cancelada"),"",IF(E124="Alta",IF(AND(F124&lt;&gt;"",F124-Hoje&lt;=3),"1 · Fazer já","2 · Agendar"),IF(AND(F124&lt;&gt;"",F124-Hoje&lt;=3),"3 · Resolver rápido","4 · Depois")))</f>
        <v/>
      </c>
      <c r="M124" s="129" t="n"/>
      <c r="N124" t="str">
        <f>IF(AND(B124&lt;&gt;"",G124&lt;&gt;"Concluída",G124&lt;&gt;"Cancelada",F124&lt;&gt;""),F124+ROW()/100000,"")</f>
        <v/>
      </c>
    </row>
    <row r="125">
      <c r="B125" s="129" t="n"/>
      <c r="C125" s="129" t="n"/>
      <c r="D125" s="129" t="n"/>
      <c r="E125" s="129" t="n"/>
      <c r="F125" s="130" t="n"/>
      <c r="G125" s="129" t="n"/>
      <c r="H125" s="130" t="n"/>
      <c r="I125" s="129" t="n"/>
      <c r="J125" s="134" t="str">
        <f>IF(OR(B125="",F125="",G125="Concluída",G125="Cancelada"),"",F125-Hoje)</f>
        <v/>
      </c>
      <c r="K125" s="138" t="str">
        <f>IF(B125="","",IF(G125="Concluída","✔ Feita",IF(G125="Cancelada","– Cancelada",IF(F125="","○ Sem prazo",IF(F125&lt;Hoje,"✖ Atrasada",IF(F125=Hoje,"▲ Vence hoje",IF(F125-Hoje&lt;=7,"▲ Próximos 7 dias","○ No prazo")))))))</f>
        <v/>
      </c>
      <c r="L125" s="138" t="str">
        <f>IF(OR(B125="",G125="Concluída",G125="Cancelada"),"",IF(E125="Alta",IF(AND(F125&lt;&gt;"",F125-Hoje&lt;=3),"1 · Fazer já","2 · Agendar"),IF(AND(F125&lt;&gt;"",F125-Hoje&lt;=3),"3 · Resolver rápido","4 · Depois")))</f>
        <v/>
      </c>
      <c r="M125" s="129" t="n"/>
      <c r="N125" t="str">
        <f>IF(AND(B125&lt;&gt;"",G125&lt;&gt;"Concluída",G125&lt;&gt;"Cancelada",F125&lt;&gt;""),F125+ROW()/100000,"")</f>
        <v/>
      </c>
    </row>
    <row r="126">
      <c r="B126" s="129" t="n"/>
      <c r="C126" s="129" t="n"/>
      <c r="D126" s="129" t="n"/>
      <c r="E126" s="129" t="n"/>
      <c r="F126" s="130" t="n"/>
      <c r="G126" s="129" t="n"/>
      <c r="H126" s="130" t="n"/>
      <c r="I126" s="129" t="n"/>
      <c r="J126" s="134" t="str">
        <f>IF(OR(B126="",F126="",G126="Concluída",G126="Cancelada"),"",F126-Hoje)</f>
        <v/>
      </c>
      <c r="K126" s="138" t="str">
        <f>IF(B126="","",IF(G126="Concluída","✔ Feita",IF(G126="Cancelada","– Cancelada",IF(F126="","○ Sem prazo",IF(F126&lt;Hoje,"✖ Atrasada",IF(F126=Hoje,"▲ Vence hoje",IF(F126-Hoje&lt;=7,"▲ Próximos 7 dias","○ No prazo")))))))</f>
        <v/>
      </c>
      <c r="L126" s="138" t="str">
        <f>IF(OR(B126="",G126="Concluída",G126="Cancelada"),"",IF(E126="Alta",IF(AND(F126&lt;&gt;"",F126-Hoje&lt;=3),"1 · Fazer já","2 · Agendar"),IF(AND(F126&lt;&gt;"",F126-Hoje&lt;=3),"3 · Resolver rápido","4 · Depois")))</f>
        <v/>
      </c>
      <c r="M126" s="129" t="n"/>
      <c r="N126" t="str">
        <f>IF(AND(B126&lt;&gt;"",G126&lt;&gt;"Concluída",G126&lt;&gt;"Cancelada",F126&lt;&gt;""),F126+ROW()/100000,"")</f>
        <v/>
      </c>
    </row>
    <row r="127">
      <c r="B127" s="129" t="n"/>
      <c r="C127" s="129" t="n"/>
      <c r="D127" s="129" t="n"/>
      <c r="E127" s="129" t="n"/>
      <c r="F127" s="130" t="n"/>
      <c r="G127" s="129" t="n"/>
      <c r="H127" s="130" t="n"/>
      <c r="I127" s="129" t="n"/>
      <c r="J127" s="134" t="str">
        <f>IF(OR(B127="",F127="",G127="Concluída",G127="Cancelada"),"",F127-Hoje)</f>
        <v/>
      </c>
      <c r="K127" s="138" t="str">
        <f>IF(B127="","",IF(G127="Concluída","✔ Feita",IF(G127="Cancelada","– Cancelada",IF(F127="","○ Sem prazo",IF(F127&lt;Hoje,"✖ Atrasada",IF(F127=Hoje,"▲ Vence hoje",IF(F127-Hoje&lt;=7,"▲ Próximos 7 dias","○ No prazo")))))))</f>
        <v/>
      </c>
      <c r="L127" s="138" t="str">
        <f>IF(OR(B127="",G127="Concluída",G127="Cancelada"),"",IF(E127="Alta",IF(AND(F127&lt;&gt;"",F127-Hoje&lt;=3),"1 · Fazer já","2 · Agendar"),IF(AND(F127&lt;&gt;"",F127-Hoje&lt;=3),"3 · Resolver rápido","4 · Depois")))</f>
        <v/>
      </c>
      <c r="M127" s="129" t="n"/>
      <c r="N127" t="str">
        <f>IF(AND(B127&lt;&gt;"",G127&lt;&gt;"Concluída",G127&lt;&gt;"Cancelada",F127&lt;&gt;""),F127+ROW()/100000,"")</f>
        <v/>
      </c>
    </row>
    <row r="128">
      <c r="B128" s="129" t="n"/>
      <c r="C128" s="129" t="n"/>
      <c r="D128" s="129" t="n"/>
      <c r="E128" s="129" t="n"/>
      <c r="F128" s="130" t="n"/>
      <c r="G128" s="129" t="n"/>
      <c r="H128" s="130" t="n"/>
      <c r="I128" s="129" t="n"/>
      <c r="J128" s="134" t="str">
        <f>IF(OR(B128="",F128="",G128="Concluída",G128="Cancelada"),"",F128-Hoje)</f>
        <v/>
      </c>
      <c r="K128" s="138" t="str">
        <f>IF(B128="","",IF(G128="Concluída","✔ Feita",IF(G128="Cancelada","– Cancelada",IF(F128="","○ Sem prazo",IF(F128&lt;Hoje,"✖ Atrasada",IF(F128=Hoje,"▲ Vence hoje",IF(F128-Hoje&lt;=7,"▲ Próximos 7 dias","○ No prazo")))))))</f>
        <v/>
      </c>
      <c r="L128" s="138" t="str">
        <f>IF(OR(B128="",G128="Concluída",G128="Cancelada"),"",IF(E128="Alta",IF(AND(F128&lt;&gt;"",F128-Hoje&lt;=3),"1 · Fazer já","2 · Agendar"),IF(AND(F128&lt;&gt;"",F128-Hoje&lt;=3),"3 · Resolver rápido","4 · Depois")))</f>
        <v/>
      </c>
      <c r="M128" s="129" t="n"/>
      <c r="N128" t="str">
        <f>IF(AND(B128&lt;&gt;"",G128&lt;&gt;"Concluída",G128&lt;&gt;"Cancelada",F128&lt;&gt;""),F128+ROW()/100000,"")</f>
        <v/>
      </c>
    </row>
    <row r="129">
      <c r="B129" s="129" t="n"/>
      <c r="C129" s="129" t="n"/>
      <c r="D129" s="129" t="n"/>
      <c r="E129" s="129" t="n"/>
      <c r="F129" s="130" t="n"/>
      <c r="G129" s="129" t="n"/>
      <c r="H129" s="130" t="n"/>
      <c r="I129" s="129" t="n"/>
      <c r="J129" s="134" t="str">
        <f>IF(OR(B129="",F129="",G129="Concluída",G129="Cancelada"),"",F129-Hoje)</f>
        <v/>
      </c>
      <c r="K129" s="138" t="str">
        <f>IF(B129="","",IF(G129="Concluída","✔ Feita",IF(G129="Cancelada","– Cancelada",IF(F129="","○ Sem prazo",IF(F129&lt;Hoje,"✖ Atrasada",IF(F129=Hoje,"▲ Vence hoje",IF(F129-Hoje&lt;=7,"▲ Próximos 7 dias","○ No prazo")))))))</f>
        <v/>
      </c>
      <c r="L129" s="138" t="str">
        <f>IF(OR(B129="",G129="Concluída",G129="Cancelada"),"",IF(E129="Alta",IF(AND(F129&lt;&gt;"",F129-Hoje&lt;=3),"1 · Fazer já","2 · Agendar"),IF(AND(F129&lt;&gt;"",F129-Hoje&lt;=3),"3 · Resolver rápido","4 · Depois")))</f>
        <v/>
      </c>
      <c r="M129" s="129" t="n"/>
      <c r="N129" t="str">
        <f>IF(AND(B129&lt;&gt;"",G129&lt;&gt;"Concluída",G129&lt;&gt;"Cancelada",F129&lt;&gt;""),F129+ROW()/100000,"")</f>
        <v/>
      </c>
    </row>
    <row r="130">
      <c r="B130" s="129" t="n"/>
      <c r="C130" s="129" t="n"/>
      <c r="D130" s="129" t="n"/>
      <c r="E130" s="129" t="n"/>
      <c r="F130" s="130" t="n"/>
      <c r="G130" s="129" t="n"/>
      <c r="H130" s="130" t="n"/>
      <c r="I130" s="129" t="n"/>
      <c r="J130" s="134" t="str">
        <f>IF(OR(B130="",F130="",G130="Concluída",G130="Cancelada"),"",F130-Hoje)</f>
        <v/>
      </c>
      <c r="K130" s="138" t="str">
        <f>IF(B130="","",IF(G130="Concluída","✔ Feita",IF(G130="Cancelada","– Cancelada",IF(F130="","○ Sem prazo",IF(F130&lt;Hoje,"✖ Atrasada",IF(F130=Hoje,"▲ Vence hoje",IF(F130-Hoje&lt;=7,"▲ Próximos 7 dias","○ No prazo")))))))</f>
        <v/>
      </c>
      <c r="L130" s="138" t="str">
        <f>IF(OR(B130="",G130="Concluída",G130="Cancelada"),"",IF(E130="Alta",IF(AND(F130&lt;&gt;"",F130-Hoje&lt;=3),"1 · Fazer já","2 · Agendar"),IF(AND(F130&lt;&gt;"",F130-Hoje&lt;=3),"3 · Resolver rápido","4 · Depois")))</f>
        <v/>
      </c>
      <c r="M130" s="129" t="n"/>
      <c r="N130" t="str">
        <f>IF(AND(B130&lt;&gt;"",G130&lt;&gt;"Concluída",G130&lt;&gt;"Cancelada",F130&lt;&gt;""),F130+ROW()/100000,"")</f>
        <v/>
      </c>
    </row>
    <row r="131">
      <c r="B131" s="129" t="n"/>
      <c r="C131" s="129" t="n"/>
      <c r="D131" s="129" t="n"/>
      <c r="E131" s="129" t="n"/>
      <c r="F131" s="130" t="n"/>
      <c r="G131" s="129" t="n"/>
      <c r="H131" s="130" t="n"/>
      <c r="I131" s="129" t="n"/>
      <c r="J131" s="134" t="str">
        <f>IF(OR(B131="",F131="",G131="Concluída",G131="Cancelada"),"",F131-Hoje)</f>
        <v/>
      </c>
      <c r="K131" s="138" t="str">
        <f>IF(B131="","",IF(G131="Concluída","✔ Feita",IF(G131="Cancelada","– Cancelada",IF(F131="","○ Sem prazo",IF(F131&lt;Hoje,"✖ Atrasada",IF(F131=Hoje,"▲ Vence hoje",IF(F131-Hoje&lt;=7,"▲ Próximos 7 dias","○ No prazo")))))))</f>
        <v/>
      </c>
      <c r="L131" s="138" t="str">
        <f>IF(OR(B131="",G131="Concluída",G131="Cancelada"),"",IF(E131="Alta",IF(AND(F131&lt;&gt;"",F131-Hoje&lt;=3),"1 · Fazer já","2 · Agendar"),IF(AND(F131&lt;&gt;"",F131-Hoje&lt;=3),"3 · Resolver rápido","4 · Depois")))</f>
        <v/>
      </c>
      <c r="M131" s="129" t="n"/>
      <c r="N131" t="str">
        <f>IF(AND(B131&lt;&gt;"",G131&lt;&gt;"Concluída",G131&lt;&gt;"Cancelada",F131&lt;&gt;""),F131+ROW()/100000,"")</f>
        <v/>
      </c>
    </row>
    <row r="132">
      <c r="B132" s="129" t="n"/>
      <c r="C132" s="129" t="n"/>
      <c r="D132" s="129" t="n"/>
      <c r="E132" s="129" t="n"/>
      <c r="F132" s="130" t="n"/>
      <c r="G132" s="129" t="n"/>
      <c r="H132" s="130" t="n"/>
      <c r="I132" s="129" t="n"/>
      <c r="J132" s="134" t="str">
        <f>IF(OR(B132="",F132="",G132="Concluída",G132="Cancelada"),"",F132-Hoje)</f>
        <v/>
      </c>
      <c r="K132" s="138" t="str">
        <f>IF(B132="","",IF(G132="Concluída","✔ Feita",IF(G132="Cancelada","– Cancelada",IF(F132="","○ Sem prazo",IF(F132&lt;Hoje,"✖ Atrasada",IF(F132=Hoje,"▲ Vence hoje",IF(F132-Hoje&lt;=7,"▲ Próximos 7 dias","○ No prazo")))))))</f>
        <v/>
      </c>
      <c r="L132" s="138" t="str">
        <f>IF(OR(B132="",G132="Concluída",G132="Cancelada"),"",IF(E132="Alta",IF(AND(F132&lt;&gt;"",F132-Hoje&lt;=3),"1 · Fazer já","2 · Agendar"),IF(AND(F132&lt;&gt;"",F132-Hoje&lt;=3),"3 · Resolver rápido","4 · Depois")))</f>
        <v/>
      </c>
      <c r="M132" s="129" t="n"/>
      <c r="N132" t="str">
        <f>IF(AND(B132&lt;&gt;"",G132&lt;&gt;"Concluída",G132&lt;&gt;"Cancelada",F132&lt;&gt;""),F132+ROW()/100000,"")</f>
        <v/>
      </c>
    </row>
    <row r="133">
      <c r="B133" s="129" t="n"/>
      <c r="C133" s="129" t="n"/>
      <c r="D133" s="129" t="n"/>
      <c r="E133" s="129" t="n"/>
      <c r="F133" s="130" t="n"/>
      <c r="G133" s="129" t="n"/>
      <c r="H133" s="130" t="n"/>
      <c r="I133" s="129" t="n"/>
      <c r="J133" s="134" t="str">
        <f>IF(OR(B133="",F133="",G133="Concluída",G133="Cancelada"),"",F133-Hoje)</f>
        <v/>
      </c>
      <c r="K133" s="138" t="str">
        <f>IF(B133="","",IF(G133="Concluída","✔ Feita",IF(G133="Cancelada","– Cancelada",IF(F133="","○ Sem prazo",IF(F133&lt;Hoje,"✖ Atrasada",IF(F133=Hoje,"▲ Vence hoje",IF(F133-Hoje&lt;=7,"▲ Próximos 7 dias","○ No prazo")))))))</f>
        <v/>
      </c>
      <c r="L133" s="138" t="str">
        <f>IF(OR(B133="",G133="Concluída",G133="Cancelada"),"",IF(E133="Alta",IF(AND(F133&lt;&gt;"",F133-Hoje&lt;=3),"1 · Fazer já","2 · Agendar"),IF(AND(F133&lt;&gt;"",F133-Hoje&lt;=3),"3 · Resolver rápido","4 · Depois")))</f>
        <v/>
      </c>
      <c r="M133" s="129" t="n"/>
      <c r="N133" t="str">
        <f>IF(AND(B133&lt;&gt;"",G133&lt;&gt;"Concluída",G133&lt;&gt;"Cancelada",F133&lt;&gt;""),F133+ROW()/100000,"")</f>
        <v/>
      </c>
    </row>
    <row r="134">
      <c r="B134" s="129" t="n"/>
      <c r="C134" s="129" t="n"/>
      <c r="D134" s="129" t="n"/>
      <c r="E134" s="129" t="n"/>
      <c r="F134" s="130" t="n"/>
      <c r="G134" s="129" t="n"/>
      <c r="H134" s="130" t="n"/>
      <c r="I134" s="129" t="n"/>
      <c r="J134" s="134" t="str">
        <f>IF(OR(B134="",F134="",G134="Concluída",G134="Cancelada"),"",F134-Hoje)</f>
        <v/>
      </c>
      <c r="K134" s="138" t="str">
        <f>IF(B134="","",IF(G134="Concluída","✔ Feita",IF(G134="Cancelada","– Cancelada",IF(F134="","○ Sem prazo",IF(F134&lt;Hoje,"✖ Atrasada",IF(F134=Hoje,"▲ Vence hoje",IF(F134-Hoje&lt;=7,"▲ Próximos 7 dias","○ No prazo")))))))</f>
        <v/>
      </c>
      <c r="L134" s="138" t="str">
        <f>IF(OR(B134="",G134="Concluída",G134="Cancelada"),"",IF(E134="Alta",IF(AND(F134&lt;&gt;"",F134-Hoje&lt;=3),"1 · Fazer já","2 · Agendar"),IF(AND(F134&lt;&gt;"",F134-Hoje&lt;=3),"3 · Resolver rápido","4 · Depois")))</f>
        <v/>
      </c>
      <c r="M134" s="129" t="n"/>
      <c r="N134" t="str">
        <f>IF(AND(B134&lt;&gt;"",G134&lt;&gt;"Concluída",G134&lt;&gt;"Cancelada",F134&lt;&gt;""),F134+ROW()/100000,"")</f>
        <v/>
      </c>
    </row>
    <row r="135">
      <c r="B135" s="129" t="n"/>
      <c r="C135" s="129" t="n"/>
      <c r="D135" s="129" t="n"/>
      <c r="E135" s="129" t="n"/>
      <c r="F135" s="130" t="n"/>
      <c r="G135" s="129" t="n"/>
      <c r="H135" s="130" t="n"/>
      <c r="I135" s="129" t="n"/>
      <c r="J135" s="134" t="str">
        <f>IF(OR(B135="",F135="",G135="Concluída",G135="Cancelada"),"",F135-Hoje)</f>
        <v/>
      </c>
      <c r="K135" s="138" t="str">
        <f>IF(B135="","",IF(G135="Concluída","✔ Feita",IF(G135="Cancelada","– Cancelada",IF(F135="","○ Sem prazo",IF(F135&lt;Hoje,"✖ Atrasada",IF(F135=Hoje,"▲ Vence hoje",IF(F135-Hoje&lt;=7,"▲ Próximos 7 dias","○ No prazo")))))))</f>
        <v/>
      </c>
      <c r="L135" s="138" t="str">
        <f>IF(OR(B135="",G135="Concluída",G135="Cancelada"),"",IF(E135="Alta",IF(AND(F135&lt;&gt;"",F135-Hoje&lt;=3),"1 · Fazer já","2 · Agendar"),IF(AND(F135&lt;&gt;"",F135-Hoje&lt;=3),"3 · Resolver rápido","4 · Depois")))</f>
        <v/>
      </c>
      <c r="M135" s="129" t="n"/>
      <c r="N135" t="str">
        <f>IF(AND(B135&lt;&gt;"",G135&lt;&gt;"Concluída",G135&lt;&gt;"Cancelada",F135&lt;&gt;""),F135+ROW()/100000,"")</f>
        <v/>
      </c>
    </row>
    <row r="136">
      <c r="B136" s="129" t="n"/>
      <c r="C136" s="129" t="n"/>
      <c r="D136" s="129" t="n"/>
      <c r="E136" s="129" t="n"/>
      <c r="F136" s="130" t="n"/>
      <c r="G136" s="129" t="n"/>
      <c r="H136" s="130" t="n"/>
      <c r="I136" s="129" t="n"/>
      <c r="J136" s="134" t="str">
        <f>IF(OR(B136="",F136="",G136="Concluída",G136="Cancelada"),"",F136-Hoje)</f>
        <v/>
      </c>
      <c r="K136" s="138" t="str">
        <f>IF(B136="","",IF(G136="Concluída","✔ Feita",IF(G136="Cancelada","– Cancelada",IF(F136="","○ Sem prazo",IF(F136&lt;Hoje,"✖ Atrasada",IF(F136=Hoje,"▲ Vence hoje",IF(F136-Hoje&lt;=7,"▲ Próximos 7 dias","○ No prazo")))))))</f>
        <v/>
      </c>
      <c r="L136" s="138" t="str">
        <f>IF(OR(B136="",G136="Concluída",G136="Cancelada"),"",IF(E136="Alta",IF(AND(F136&lt;&gt;"",F136-Hoje&lt;=3),"1 · Fazer já","2 · Agendar"),IF(AND(F136&lt;&gt;"",F136-Hoje&lt;=3),"3 · Resolver rápido","4 · Depois")))</f>
        <v/>
      </c>
      <c r="M136" s="129" t="n"/>
      <c r="N136" t="str">
        <f>IF(AND(B136&lt;&gt;"",G136&lt;&gt;"Concluída",G136&lt;&gt;"Cancelada",F136&lt;&gt;""),F136+ROW()/100000,"")</f>
        <v/>
      </c>
    </row>
    <row r="137">
      <c r="B137" s="129" t="n"/>
      <c r="C137" s="129" t="n"/>
      <c r="D137" s="129" t="n"/>
      <c r="E137" s="129" t="n"/>
      <c r="F137" s="130" t="n"/>
      <c r="G137" s="129" t="n"/>
      <c r="H137" s="130" t="n"/>
      <c r="I137" s="129" t="n"/>
      <c r="J137" s="134" t="str">
        <f>IF(OR(B137="",F137="",G137="Concluída",G137="Cancelada"),"",F137-Hoje)</f>
        <v/>
      </c>
      <c r="K137" s="138" t="str">
        <f>IF(B137="","",IF(G137="Concluída","✔ Feita",IF(G137="Cancelada","– Cancelada",IF(F137="","○ Sem prazo",IF(F137&lt;Hoje,"✖ Atrasada",IF(F137=Hoje,"▲ Vence hoje",IF(F137-Hoje&lt;=7,"▲ Próximos 7 dias","○ No prazo")))))))</f>
        <v/>
      </c>
      <c r="L137" s="138" t="str">
        <f>IF(OR(B137="",G137="Concluída",G137="Cancelada"),"",IF(E137="Alta",IF(AND(F137&lt;&gt;"",F137-Hoje&lt;=3),"1 · Fazer já","2 · Agendar"),IF(AND(F137&lt;&gt;"",F137-Hoje&lt;=3),"3 · Resolver rápido","4 · Depois")))</f>
        <v/>
      </c>
      <c r="M137" s="129" t="n"/>
      <c r="N137" t="str">
        <f>IF(AND(B137&lt;&gt;"",G137&lt;&gt;"Concluída",G137&lt;&gt;"Cancelada",F137&lt;&gt;""),F137+ROW()/100000,"")</f>
        <v/>
      </c>
    </row>
    <row r="138">
      <c r="B138" s="129" t="n"/>
      <c r="C138" s="129" t="n"/>
      <c r="D138" s="129" t="n"/>
      <c r="E138" s="129" t="n"/>
      <c r="F138" s="130" t="n"/>
      <c r="G138" s="129" t="n"/>
      <c r="H138" s="130" t="n"/>
      <c r="I138" s="129" t="n"/>
      <c r="J138" s="134" t="str">
        <f>IF(OR(B138="",F138="",G138="Concluída",G138="Cancelada"),"",F138-Hoje)</f>
        <v/>
      </c>
      <c r="K138" s="138" t="str">
        <f>IF(B138="","",IF(G138="Concluída","✔ Feita",IF(G138="Cancelada","– Cancelada",IF(F138="","○ Sem prazo",IF(F138&lt;Hoje,"✖ Atrasada",IF(F138=Hoje,"▲ Vence hoje",IF(F138-Hoje&lt;=7,"▲ Próximos 7 dias","○ No prazo")))))))</f>
        <v/>
      </c>
      <c r="L138" s="138" t="str">
        <f>IF(OR(B138="",G138="Concluída",G138="Cancelada"),"",IF(E138="Alta",IF(AND(F138&lt;&gt;"",F138-Hoje&lt;=3),"1 · Fazer já","2 · Agendar"),IF(AND(F138&lt;&gt;"",F138-Hoje&lt;=3),"3 · Resolver rápido","4 · Depois")))</f>
        <v/>
      </c>
      <c r="M138" s="129" t="n"/>
      <c r="N138" t="str">
        <f>IF(AND(B138&lt;&gt;"",G138&lt;&gt;"Concluída",G138&lt;&gt;"Cancelada",F138&lt;&gt;""),F138+ROW()/100000,"")</f>
        <v/>
      </c>
    </row>
    <row r="139">
      <c r="B139" s="129" t="n"/>
      <c r="C139" s="129" t="n"/>
      <c r="D139" s="129" t="n"/>
      <c r="E139" s="129" t="n"/>
      <c r="F139" s="130" t="n"/>
      <c r="G139" s="129" t="n"/>
      <c r="H139" s="130" t="n"/>
      <c r="I139" s="129" t="n"/>
      <c r="J139" s="134" t="str">
        <f>IF(OR(B139="",F139="",G139="Concluída",G139="Cancelada"),"",F139-Hoje)</f>
        <v/>
      </c>
      <c r="K139" s="138" t="str">
        <f>IF(B139="","",IF(G139="Concluída","✔ Feita",IF(G139="Cancelada","– Cancelada",IF(F139="","○ Sem prazo",IF(F139&lt;Hoje,"✖ Atrasada",IF(F139=Hoje,"▲ Vence hoje",IF(F139-Hoje&lt;=7,"▲ Próximos 7 dias","○ No prazo")))))))</f>
        <v/>
      </c>
      <c r="L139" s="138" t="str">
        <f>IF(OR(B139="",G139="Concluída",G139="Cancelada"),"",IF(E139="Alta",IF(AND(F139&lt;&gt;"",F139-Hoje&lt;=3),"1 · Fazer já","2 · Agendar"),IF(AND(F139&lt;&gt;"",F139-Hoje&lt;=3),"3 · Resolver rápido","4 · Depois")))</f>
        <v/>
      </c>
      <c r="M139" s="129" t="n"/>
      <c r="N139" t="str">
        <f>IF(AND(B139&lt;&gt;"",G139&lt;&gt;"Concluída",G139&lt;&gt;"Cancelada",F139&lt;&gt;""),F139+ROW()/100000,"")</f>
        <v/>
      </c>
    </row>
    <row r="140">
      <c r="B140" s="129" t="n"/>
      <c r="C140" s="129" t="n"/>
      <c r="D140" s="129" t="n"/>
      <c r="E140" s="129" t="n"/>
      <c r="F140" s="130" t="n"/>
      <c r="G140" s="129" t="n"/>
      <c r="H140" s="130" t="n"/>
      <c r="I140" s="129" t="n"/>
      <c r="J140" s="134" t="str">
        <f>IF(OR(B140="",F140="",G140="Concluída",G140="Cancelada"),"",F140-Hoje)</f>
        <v/>
      </c>
      <c r="K140" s="138" t="str">
        <f>IF(B140="","",IF(G140="Concluída","✔ Feita",IF(G140="Cancelada","– Cancelada",IF(F140="","○ Sem prazo",IF(F140&lt;Hoje,"✖ Atrasada",IF(F140=Hoje,"▲ Vence hoje",IF(F140-Hoje&lt;=7,"▲ Próximos 7 dias","○ No prazo")))))))</f>
        <v/>
      </c>
      <c r="L140" s="138" t="str">
        <f>IF(OR(B140="",G140="Concluída",G140="Cancelada"),"",IF(E140="Alta",IF(AND(F140&lt;&gt;"",F140-Hoje&lt;=3),"1 · Fazer já","2 · Agendar"),IF(AND(F140&lt;&gt;"",F140-Hoje&lt;=3),"3 · Resolver rápido","4 · Depois")))</f>
        <v/>
      </c>
      <c r="M140" s="129" t="n"/>
      <c r="N140" t="str">
        <f>IF(AND(B140&lt;&gt;"",G140&lt;&gt;"Concluída",G140&lt;&gt;"Cancelada",F140&lt;&gt;""),F140+ROW()/100000,"")</f>
        <v/>
      </c>
    </row>
    <row r="141">
      <c r="B141" s="129" t="n"/>
      <c r="C141" s="129" t="n"/>
      <c r="D141" s="129" t="n"/>
      <c r="E141" s="129" t="n"/>
      <c r="F141" s="130" t="n"/>
      <c r="G141" s="129" t="n"/>
      <c r="H141" s="130" t="n"/>
      <c r="I141" s="129" t="n"/>
      <c r="J141" s="134" t="str">
        <f>IF(OR(B141="",F141="",G141="Concluída",G141="Cancelada"),"",F141-Hoje)</f>
        <v/>
      </c>
      <c r="K141" s="138" t="str">
        <f>IF(B141="","",IF(G141="Concluída","✔ Feita",IF(G141="Cancelada","– Cancelada",IF(F141="","○ Sem prazo",IF(F141&lt;Hoje,"✖ Atrasada",IF(F141=Hoje,"▲ Vence hoje",IF(F141-Hoje&lt;=7,"▲ Próximos 7 dias","○ No prazo")))))))</f>
        <v/>
      </c>
      <c r="L141" s="138" t="str">
        <f>IF(OR(B141="",G141="Concluída",G141="Cancelada"),"",IF(E141="Alta",IF(AND(F141&lt;&gt;"",F141-Hoje&lt;=3),"1 · Fazer já","2 · Agendar"),IF(AND(F141&lt;&gt;"",F141-Hoje&lt;=3),"3 · Resolver rápido","4 · Depois")))</f>
        <v/>
      </c>
      <c r="M141" s="129" t="n"/>
      <c r="N141" t="str">
        <f>IF(AND(B141&lt;&gt;"",G141&lt;&gt;"Concluída",G141&lt;&gt;"Cancelada",F141&lt;&gt;""),F141+ROW()/100000,"")</f>
        <v/>
      </c>
    </row>
    <row r="142">
      <c r="B142" s="129" t="n"/>
      <c r="C142" s="129" t="n"/>
      <c r="D142" s="129" t="n"/>
      <c r="E142" s="129" t="n"/>
      <c r="F142" s="130" t="n"/>
      <c r="G142" s="129" t="n"/>
      <c r="H142" s="130" t="n"/>
      <c r="I142" s="129" t="n"/>
      <c r="J142" s="134" t="str">
        <f>IF(OR(B142="",F142="",G142="Concluída",G142="Cancelada"),"",F142-Hoje)</f>
        <v/>
      </c>
      <c r="K142" s="138" t="str">
        <f>IF(B142="","",IF(G142="Concluída","✔ Feita",IF(G142="Cancelada","– Cancelada",IF(F142="","○ Sem prazo",IF(F142&lt;Hoje,"✖ Atrasada",IF(F142=Hoje,"▲ Vence hoje",IF(F142-Hoje&lt;=7,"▲ Próximos 7 dias","○ No prazo")))))))</f>
        <v/>
      </c>
      <c r="L142" s="138" t="str">
        <f>IF(OR(B142="",G142="Concluída",G142="Cancelada"),"",IF(E142="Alta",IF(AND(F142&lt;&gt;"",F142-Hoje&lt;=3),"1 · Fazer já","2 · Agendar"),IF(AND(F142&lt;&gt;"",F142-Hoje&lt;=3),"3 · Resolver rápido","4 · Depois")))</f>
        <v/>
      </c>
      <c r="M142" s="129" t="n"/>
      <c r="N142" t="str">
        <f>IF(AND(B142&lt;&gt;"",G142&lt;&gt;"Concluída",G142&lt;&gt;"Cancelada",F142&lt;&gt;""),F142+ROW()/100000,"")</f>
        <v/>
      </c>
    </row>
    <row r="143">
      <c r="B143" s="129" t="n"/>
      <c r="C143" s="129" t="n"/>
      <c r="D143" s="129" t="n"/>
      <c r="E143" s="129" t="n"/>
      <c r="F143" s="130" t="n"/>
      <c r="G143" s="129" t="n"/>
      <c r="H143" s="130" t="n"/>
      <c r="I143" s="129" t="n"/>
      <c r="J143" s="134" t="str">
        <f>IF(OR(B143="",F143="",G143="Concluída",G143="Cancelada"),"",F143-Hoje)</f>
        <v/>
      </c>
      <c r="K143" s="138" t="str">
        <f>IF(B143="","",IF(G143="Concluída","✔ Feita",IF(G143="Cancelada","– Cancelada",IF(F143="","○ Sem prazo",IF(F143&lt;Hoje,"✖ Atrasada",IF(F143=Hoje,"▲ Vence hoje",IF(F143-Hoje&lt;=7,"▲ Próximos 7 dias","○ No prazo")))))))</f>
        <v/>
      </c>
      <c r="L143" s="138" t="str">
        <f>IF(OR(B143="",G143="Concluída",G143="Cancelada"),"",IF(E143="Alta",IF(AND(F143&lt;&gt;"",F143-Hoje&lt;=3),"1 · Fazer já","2 · Agendar"),IF(AND(F143&lt;&gt;"",F143-Hoje&lt;=3),"3 · Resolver rápido","4 · Depois")))</f>
        <v/>
      </c>
      <c r="M143" s="129" t="n"/>
      <c r="N143" t="str">
        <f>IF(AND(B143&lt;&gt;"",G143&lt;&gt;"Concluída",G143&lt;&gt;"Cancelada",F143&lt;&gt;""),F143+ROW()/100000,"")</f>
        <v/>
      </c>
    </row>
    <row r="144">
      <c r="B144" s="129" t="n"/>
      <c r="C144" s="129" t="n"/>
      <c r="D144" s="129" t="n"/>
      <c r="E144" s="129" t="n"/>
      <c r="F144" s="130" t="n"/>
      <c r="G144" s="129" t="n"/>
      <c r="H144" s="130" t="n"/>
      <c r="I144" s="129" t="n"/>
      <c r="J144" s="134" t="str">
        <f>IF(OR(B144="",F144="",G144="Concluída",G144="Cancelada"),"",F144-Hoje)</f>
        <v/>
      </c>
      <c r="K144" s="138" t="str">
        <f>IF(B144="","",IF(G144="Concluída","✔ Feita",IF(G144="Cancelada","– Cancelada",IF(F144="","○ Sem prazo",IF(F144&lt;Hoje,"✖ Atrasada",IF(F144=Hoje,"▲ Vence hoje",IF(F144-Hoje&lt;=7,"▲ Próximos 7 dias","○ No prazo")))))))</f>
        <v/>
      </c>
      <c r="L144" s="138" t="str">
        <f>IF(OR(B144="",G144="Concluída",G144="Cancelada"),"",IF(E144="Alta",IF(AND(F144&lt;&gt;"",F144-Hoje&lt;=3),"1 · Fazer já","2 · Agendar"),IF(AND(F144&lt;&gt;"",F144-Hoje&lt;=3),"3 · Resolver rápido","4 · Depois")))</f>
        <v/>
      </c>
      <c r="M144" s="129" t="n"/>
      <c r="N144" t="str">
        <f>IF(AND(B144&lt;&gt;"",G144&lt;&gt;"Concluída",G144&lt;&gt;"Cancelada",F144&lt;&gt;""),F144+ROW()/100000,"")</f>
        <v/>
      </c>
    </row>
    <row r="145">
      <c r="B145" s="129" t="n"/>
      <c r="C145" s="129" t="n"/>
      <c r="D145" s="129" t="n"/>
      <c r="E145" s="129" t="n"/>
      <c r="F145" s="130" t="n"/>
      <c r="G145" s="129" t="n"/>
      <c r="H145" s="130" t="n"/>
      <c r="I145" s="129" t="n"/>
      <c r="J145" s="134" t="str">
        <f>IF(OR(B145="",F145="",G145="Concluída",G145="Cancelada"),"",F145-Hoje)</f>
        <v/>
      </c>
      <c r="K145" s="138" t="str">
        <f>IF(B145="","",IF(G145="Concluída","✔ Feita",IF(G145="Cancelada","– Cancelada",IF(F145="","○ Sem prazo",IF(F145&lt;Hoje,"✖ Atrasada",IF(F145=Hoje,"▲ Vence hoje",IF(F145-Hoje&lt;=7,"▲ Próximos 7 dias","○ No prazo")))))))</f>
        <v/>
      </c>
      <c r="L145" s="138" t="str">
        <f>IF(OR(B145="",G145="Concluída",G145="Cancelada"),"",IF(E145="Alta",IF(AND(F145&lt;&gt;"",F145-Hoje&lt;=3),"1 · Fazer já","2 · Agendar"),IF(AND(F145&lt;&gt;"",F145-Hoje&lt;=3),"3 · Resolver rápido","4 · Depois")))</f>
        <v/>
      </c>
      <c r="M145" s="129" t="n"/>
      <c r="N145" t="str">
        <f>IF(AND(B145&lt;&gt;"",G145&lt;&gt;"Concluída",G145&lt;&gt;"Cancelada",F145&lt;&gt;""),F145+ROW()/100000,"")</f>
        <v/>
      </c>
    </row>
    <row r="146">
      <c r="B146" s="129" t="n"/>
      <c r="C146" s="129" t="n"/>
      <c r="D146" s="129" t="n"/>
      <c r="E146" s="129" t="n"/>
      <c r="F146" s="130" t="n"/>
      <c r="G146" s="129" t="n"/>
      <c r="H146" s="130" t="n"/>
      <c r="I146" s="129" t="n"/>
      <c r="J146" s="134" t="str">
        <f>IF(OR(B146="",F146="",G146="Concluída",G146="Cancelada"),"",F146-Hoje)</f>
        <v/>
      </c>
      <c r="K146" s="138" t="str">
        <f>IF(B146="","",IF(G146="Concluída","✔ Feita",IF(G146="Cancelada","– Cancelada",IF(F146="","○ Sem prazo",IF(F146&lt;Hoje,"✖ Atrasada",IF(F146=Hoje,"▲ Vence hoje",IF(F146-Hoje&lt;=7,"▲ Próximos 7 dias","○ No prazo")))))))</f>
        <v/>
      </c>
      <c r="L146" s="138" t="str">
        <f>IF(OR(B146="",G146="Concluída",G146="Cancelada"),"",IF(E146="Alta",IF(AND(F146&lt;&gt;"",F146-Hoje&lt;=3),"1 · Fazer já","2 · Agendar"),IF(AND(F146&lt;&gt;"",F146-Hoje&lt;=3),"3 · Resolver rápido","4 · Depois")))</f>
        <v/>
      </c>
      <c r="M146" s="129" t="n"/>
      <c r="N146" t="str">
        <f>IF(AND(B146&lt;&gt;"",G146&lt;&gt;"Concluída",G146&lt;&gt;"Cancelada",F146&lt;&gt;""),F146+ROW()/100000,"")</f>
        <v/>
      </c>
    </row>
    <row r="147">
      <c r="B147" s="129" t="n"/>
      <c r="C147" s="129" t="n"/>
      <c r="D147" s="129" t="n"/>
      <c r="E147" s="129" t="n"/>
      <c r="F147" s="130" t="n"/>
      <c r="G147" s="129" t="n"/>
      <c r="H147" s="130" t="n"/>
      <c r="I147" s="129" t="n"/>
      <c r="J147" s="134" t="str">
        <f>IF(OR(B147="",F147="",G147="Concluída",G147="Cancelada"),"",F147-Hoje)</f>
        <v/>
      </c>
      <c r="K147" s="138" t="str">
        <f>IF(B147="","",IF(G147="Concluída","✔ Feita",IF(G147="Cancelada","– Cancelada",IF(F147="","○ Sem prazo",IF(F147&lt;Hoje,"✖ Atrasada",IF(F147=Hoje,"▲ Vence hoje",IF(F147-Hoje&lt;=7,"▲ Próximos 7 dias","○ No prazo")))))))</f>
        <v/>
      </c>
      <c r="L147" s="138" t="str">
        <f>IF(OR(B147="",G147="Concluída",G147="Cancelada"),"",IF(E147="Alta",IF(AND(F147&lt;&gt;"",F147-Hoje&lt;=3),"1 · Fazer já","2 · Agendar"),IF(AND(F147&lt;&gt;"",F147-Hoje&lt;=3),"3 · Resolver rápido","4 · Depois")))</f>
        <v/>
      </c>
      <c r="M147" s="129" t="n"/>
      <c r="N147" t="str">
        <f>IF(AND(B147&lt;&gt;"",G147&lt;&gt;"Concluída",G147&lt;&gt;"Cancelada",F147&lt;&gt;""),F147+ROW()/100000,"")</f>
        <v/>
      </c>
    </row>
    <row r="148">
      <c r="B148" s="129" t="n"/>
      <c r="C148" s="129" t="n"/>
      <c r="D148" s="129" t="n"/>
      <c r="E148" s="129" t="n"/>
      <c r="F148" s="130" t="n"/>
      <c r="G148" s="129" t="n"/>
      <c r="H148" s="130" t="n"/>
      <c r="I148" s="129" t="n"/>
      <c r="J148" s="134" t="str">
        <f>IF(OR(B148="",F148="",G148="Concluída",G148="Cancelada"),"",F148-Hoje)</f>
        <v/>
      </c>
      <c r="K148" s="138" t="str">
        <f>IF(B148="","",IF(G148="Concluída","✔ Feita",IF(G148="Cancelada","– Cancelada",IF(F148="","○ Sem prazo",IF(F148&lt;Hoje,"✖ Atrasada",IF(F148=Hoje,"▲ Vence hoje",IF(F148-Hoje&lt;=7,"▲ Próximos 7 dias","○ No prazo")))))))</f>
        <v/>
      </c>
      <c r="L148" s="138" t="str">
        <f>IF(OR(B148="",G148="Concluída",G148="Cancelada"),"",IF(E148="Alta",IF(AND(F148&lt;&gt;"",F148-Hoje&lt;=3),"1 · Fazer já","2 · Agendar"),IF(AND(F148&lt;&gt;"",F148-Hoje&lt;=3),"3 · Resolver rápido","4 · Depois")))</f>
        <v/>
      </c>
      <c r="M148" s="129" t="n"/>
      <c r="N148" t="str">
        <f>IF(AND(B148&lt;&gt;"",G148&lt;&gt;"Concluída",G148&lt;&gt;"Cancelada",F148&lt;&gt;""),F148+ROW()/100000,"")</f>
        <v/>
      </c>
    </row>
    <row r="149">
      <c r="B149" s="129" t="n"/>
      <c r="C149" s="129" t="n"/>
      <c r="D149" s="129" t="n"/>
      <c r="E149" s="129" t="n"/>
      <c r="F149" s="130" t="n"/>
      <c r="G149" s="129" t="n"/>
      <c r="H149" s="130" t="n"/>
      <c r="I149" s="129" t="n"/>
      <c r="J149" s="134" t="str">
        <f>IF(OR(B149="",F149="",G149="Concluída",G149="Cancelada"),"",F149-Hoje)</f>
        <v/>
      </c>
      <c r="K149" s="138" t="str">
        <f>IF(B149="","",IF(G149="Concluída","✔ Feita",IF(G149="Cancelada","– Cancelada",IF(F149="","○ Sem prazo",IF(F149&lt;Hoje,"✖ Atrasada",IF(F149=Hoje,"▲ Vence hoje",IF(F149-Hoje&lt;=7,"▲ Próximos 7 dias","○ No prazo")))))))</f>
        <v/>
      </c>
      <c r="L149" s="138" t="str">
        <f>IF(OR(B149="",G149="Concluída",G149="Cancelada"),"",IF(E149="Alta",IF(AND(F149&lt;&gt;"",F149-Hoje&lt;=3),"1 · Fazer já","2 · Agendar"),IF(AND(F149&lt;&gt;"",F149-Hoje&lt;=3),"3 · Resolver rápido","4 · Depois")))</f>
        <v/>
      </c>
      <c r="M149" s="129" t="n"/>
      <c r="N149" t="str">
        <f>IF(AND(B149&lt;&gt;"",G149&lt;&gt;"Concluída",G149&lt;&gt;"Cancelada",F149&lt;&gt;""),F149+ROW()/100000,"")</f>
        <v/>
      </c>
    </row>
    <row r="150">
      <c r="B150" s="129" t="n"/>
      <c r="C150" s="129" t="n"/>
      <c r="D150" s="129" t="n"/>
      <c r="E150" s="129" t="n"/>
      <c r="F150" s="130" t="n"/>
      <c r="G150" s="129" t="n"/>
      <c r="H150" s="130" t="n"/>
      <c r="I150" s="129" t="n"/>
      <c r="J150" s="134" t="str">
        <f>IF(OR(B150="",F150="",G150="Concluída",G150="Cancelada"),"",F150-Hoje)</f>
        <v/>
      </c>
      <c r="K150" s="138" t="str">
        <f>IF(B150="","",IF(G150="Concluída","✔ Feita",IF(G150="Cancelada","– Cancelada",IF(F150="","○ Sem prazo",IF(F150&lt;Hoje,"✖ Atrasada",IF(F150=Hoje,"▲ Vence hoje",IF(F150-Hoje&lt;=7,"▲ Próximos 7 dias","○ No prazo")))))))</f>
        <v/>
      </c>
      <c r="L150" s="138" t="str">
        <f>IF(OR(B150="",G150="Concluída",G150="Cancelada"),"",IF(E150="Alta",IF(AND(F150&lt;&gt;"",F150-Hoje&lt;=3),"1 · Fazer já","2 · Agendar"),IF(AND(F150&lt;&gt;"",F150-Hoje&lt;=3),"3 · Resolver rápido","4 · Depois")))</f>
        <v/>
      </c>
      <c r="M150" s="129" t="n"/>
      <c r="N150" t="str">
        <f>IF(AND(B150&lt;&gt;"",G150&lt;&gt;"Concluída",G150&lt;&gt;"Cancelada",F150&lt;&gt;""),F150+ROW()/100000,"")</f>
        <v/>
      </c>
    </row>
    <row r="151">
      <c r="B151" s="129" t="n"/>
      <c r="C151" s="129" t="n"/>
      <c r="D151" s="129" t="n"/>
      <c r="E151" s="129" t="n"/>
      <c r="F151" s="130" t="n"/>
      <c r="G151" s="129" t="n"/>
      <c r="H151" s="130" t="n"/>
      <c r="I151" s="129" t="n"/>
      <c r="J151" s="134" t="str">
        <f>IF(OR(B151="",F151="",G151="Concluída",G151="Cancelada"),"",F151-Hoje)</f>
        <v/>
      </c>
      <c r="K151" s="138" t="str">
        <f>IF(B151="","",IF(G151="Concluída","✔ Feita",IF(G151="Cancelada","– Cancelada",IF(F151="","○ Sem prazo",IF(F151&lt;Hoje,"✖ Atrasada",IF(F151=Hoje,"▲ Vence hoje",IF(F151-Hoje&lt;=7,"▲ Próximos 7 dias","○ No prazo")))))))</f>
        <v/>
      </c>
      <c r="L151" s="138" t="str">
        <f>IF(OR(B151="",G151="Concluída",G151="Cancelada"),"",IF(E151="Alta",IF(AND(F151&lt;&gt;"",F151-Hoje&lt;=3),"1 · Fazer já","2 · Agendar"),IF(AND(F151&lt;&gt;"",F151-Hoje&lt;=3),"3 · Resolver rápido","4 · Depois")))</f>
        <v/>
      </c>
      <c r="M151" s="129" t="n"/>
      <c r="N151" t="str">
        <f>IF(AND(B151&lt;&gt;"",G151&lt;&gt;"Concluída",G151&lt;&gt;"Cancelada",F151&lt;&gt;""),F151+ROW()/100000,"")</f>
        <v/>
      </c>
    </row>
    <row r="152">
      <c r="B152" s="129" t="n"/>
      <c r="C152" s="129" t="n"/>
      <c r="D152" s="129" t="n"/>
      <c r="E152" s="129" t="n"/>
      <c r="F152" s="130" t="n"/>
      <c r="G152" s="129" t="n"/>
      <c r="H152" s="130" t="n"/>
      <c r="I152" s="129" t="n"/>
      <c r="J152" s="134" t="str">
        <f>IF(OR(B152="",F152="",G152="Concluída",G152="Cancelada"),"",F152-Hoje)</f>
        <v/>
      </c>
      <c r="K152" s="138" t="str">
        <f>IF(B152="","",IF(G152="Concluída","✔ Feita",IF(G152="Cancelada","– Cancelada",IF(F152="","○ Sem prazo",IF(F152&lt;Hoje,"✖ Atrasada",IF(F152=Hoje,"▲ Vence hoje",IF(F152-Hoje&lt;=7,"▲ Próximos 7 dias","○ No prazo")))))))</f>
        <v/>
      </c>
      <c r="L152" s="138" t="str">
        <f>IF(OR(B152="",G152="Concluída",G152="Cancelada"),"",IF(E152="Alta",IF(AND(F152&lt;&gt;"",F152-Hoje&lt;=3),"1 · Fazer já","2 · Agendar"),IF(AND(F152&lt;&gt;"",F152-Hoje&lt;=3),"3 · Resolver rápido","4 · Depois")))</f>
        <v/>
      </c>
      <c r="M152" s="129" t="n"/>
      <c r="N152" t="str">
        <f>IF(AND(B152&lt;&gt;"",G152&lt;&gt;"Concluída",G152&lt;&gt;"Cancelada",F152&lt;&gt;""),F152+ROW()/100000,"")</f>
        <v/>
      </c>
    </row>
    <row r="153">
      <c r="B153" s="129" t="n"/>
      <c r="C153" s="129" t="n"/>
      <c r="D153" s="129" t="n"/>
      <c r="E153" s="129" t="n"/>
      <c r="F153" s="130" t="n"/>
      <c r="G153" s="129" t="n"/>
      <c r="H153" s="130" t="n"/>
      <c r="I153" s="129" t="n"/>
      <c r="J153" s="134" t="str">
        <f>IF(OR(B153="",F153="",G153="Concluída",G153="Cancelada"),"",F153-Hoje)</f>
        <v/>
      </c>
      <c r="K153" s="138" t="str">
        <f>IF(B153="","",IF(G153="Concluída","✔ Feita",IF(G153="Cancelada","– Cancelada",IF(F153="","○ Sem prazo",IF(F153&lt;Hoje,"✖ Atrasada",IF(F153=Hoje,"▲ Vence hoje",IF(F153-Hoje&lt;=7,"▲ Próximos 7 dias","○ No prazo")))))))</f>
        <v/>
      </c>
      <c r="L153" s="138" t="str">
        <f>IF(OR(B153="",G153="Concluída",G153="Cancelada"),"",IF(E153="Alta",IF(AND(F153&lt;&gt;"",F153-Hoje&lt;=3),"1 · Fazer já","2 · Agendar"),IF(AND(F153&lt;&gt;"",F153-Hoje&lt;=3),"3 · Resolver rápido","4 · Depois")))</f>
        <v/>
      </c>
      <c r="M153" s="129" t="n"/>
      <c r="N153" t="str">
        <f>IF(AND(B153&lt;&gt;"",G153&lt;&gt;"Concluída",G153&lt;&gt;"Cancelada",F153&lt;&gt;""),F153+ROW()/100000,"")</f>
        <v/>
      </c>
    </row>
    <row r="154">
      <c r="B154" s="129" t="n"/>
      <c r="C154" s="129" t="n"/>
      <c r="D154" s="129" t="n"/>
      <c r="E154" s="129" t="n"/>
      <c r="F154" s="130" t="n"/>
      <c r="G154" s="129" t="n"/>
      <c r="H154" s="130" t="n"/>
      <c r="I154" s="129" t="n"/>
      <c r="J154" s="134" t="str">
        <f>IF(OR(B154="",F154="",G154="Concluída",G154="Cancelada"),"",F154-Hoje)</f>
        <v/>
      </c>
      <c r="K154" s="138" t="str">
        <f>IF(B154="","",IF(G154="Concluída","✔ Feita",IF(G154="Cancelada","– Cancelada",IF(F154="","○ Sem prazo",IF(F154&lt;Hoje,"✖ Atrasada",IF(F154=Hoje,"▲ Vence hoje",IF(F154-Hoje&lt;=7,"▲ Próximos 7 dias","○ No prazo")))))))</f>
        <v/>
      </c>
      <c r="L154" s="138" t="str">
        <f>IF(OR(B154="",G154="Concluída",G154="Cancelada"),"",IF(E154="Alta",IF(AND(F154&lt;&gt;"",F154-Hoje&lt;=3),"1 · Fazer já","2 · Agendar"),IF(AND(F154&lt;&gt;"",F154-Hoje&lt;=3),"3 · Resolver rápido","4 · Depois")))</f>
        <v/>
      </c>
      <c r="M154" s="129" t="n"/>
      <c r="N154" t="str">
        <f>IF(AND(B154&lt;&gt;"",G154&lt;&gt;"Concluída",G154&lt;&gt;"Cancelada",F154&lt;&gt;""),F154+ROW()/100000,"")</f>
        <v/>
      </c>
    </row>
    <row r="155">
      <c r="B155" s="129" t="n"/>
      <c r="C155" s="129" t="n"/>
      <c r="D155" s="129" t="n"/>
      <c r="E155" s="129" t="n"/>
      <c r="F155" s="130" t="n"/>
      <c r="G155" s="129" t="n"/>
      <c r="H155" s="130" t="n"/>
      <c r="I155" s="129" t="n"/>
      <c r="J155" s="134" t="str">
        <f>IF(OR(B155="",F155="",G155="Concluída",G155="Cancelada"),"",F155-Hoje)</f>
        <v/>
      </c>
      <c r="K155" s="138" t="str">
        <f>IF(B155="","",IF(G155="Concluída","✔ Feita",IF(G155="Cancelada","– Cancelada",IF(F155="","○ Sem prazo",IF(F155&lt;Hoje,"✖ Atrasada",IF(F155=Hoje,"▲ Vence hoje",IF(F155-Hoje&lt;=7,"▲ Próximos 7 dias","○ No prazo")))))))</f>
        <v/>
      </c>
      <c r="L155" s="138" t="str">
        <f>IF(OR(B155="",G155="Concluída",G155="Cancelada"),"",IF(E155="Alta",IF(AND(F155&lt;&gt;"",F155-Hoje&lt;=3),"1 · Fazer já","2 · Agendar"),IF(AND(F155&lt;&gt;"",F155-Hoje&lt;=3),"3 · Resolver rápido","4 · Depois")))</f>
        <v/>
      </c>
      <c r="M155" s="129" t="n"/>
      <c r="N155" t="str">
        <f>IF(AND(B155&lt;&gt;"",G155&lt;&gt;"Concluída",G155&lt;&gt;"Cancelada",F155&lt;&gt;""),F155+ROW()/100000,"")</f>
        <v/>
      </c>
    </row>
    <row r="156">
      <c r="B156" s="129" t="n"/>
      <c r="C156" s="129" t="n"/>
      <c r="D156" s="129" t="n"/>
      <c r="E156" s="129" t="n"/>
      <c r="F156" s="130" t="n"/>
      <c r="G156" s="129" t="n"/>
      <c r="H156" s="130" t="n"/>
      <c r="I156" s="129" t="n"/>
      <c r="J156" s="134" t="str">
        <f>IF(OR(B156="",F156="",G156="Concluída",G156="Cancelada"),"",F156-Hoje)</f>
        <v/>
      </c>
      <c r="K156" s="138" t="str">
        <f>IF(B156="","",IF(G156="Concluída","✔ Feita",IF(G156="Cancelada","– Cancelada",IF(F156="","○ Sem prazo",IF(F156&lt;Hoje,"✖ Atrasada",IF(F156=Hoje,"▲ Vence hoje",IF(F156-Hoje&lt;=7,"▲ Próximos 7 dias","○ No prazo")))))))</f>
        <v/>
      </c>
      <c r="L156" s="138" t="str">
        <f>IF(OR(B156="",G156="Concluída",G156="Cancelada"),"",IF(E156="Alta",IF(AND(F156&lt;&gt;"",F156-Hoje&lt;=3),"1 · Fazer já","2 · Agendar"),IF(AND(F156&lt;&gt;"",F156-Hoje&lt;=3),"3 · Resolver rápido","4 · Depois")))</f>
        <v/>
      </c>
      <c r="M156" s="129" t="n"/>
      <c r="N156" t="str">
        <f>IF(AND(B156&lt;&gt;"",G156&lt;&gt;"Concluída",G156&lt;&gt;"Cancelada",F156&lt;&gt;""),F156+ROW()/100000,"")</f>
        <v/>
      </c>
    </row>
    <row r="157">
      <c r="B157" s="129" t="n"/>
      <c r="C157" s="129" t="n"/>
      <c r="D157" s="129" t="n"/>
      <c r="E157" s="129" t="n"/>
      <c r="F157" s="130" t="n"/>
      <c r="G157" s="129" t="n"/>
      <c r="H157" s="130" t="n"/>
      <c r="I157" s="129" t="n"/>
      <c r="J157" s="134" t="str">
        <f>IF(OR(B157="",F157="",G157="Concluída",G157="Cancelada"),"",F157-Hoje)</f>
        <v/>
      </c>
      <c r="K157" s="138" t="str">
        <f>IF(B157="","",IF(G157="Concluída","✔ Feita",IF(G157="Cancelada","– Cancelada",IF(F157="","○ Sem prazo",IF(F157&lt;Hoje,"✖ Atrasada",IF(F157=Hoje,"▲ Vence hoje",IF(F157-Hoje&lt;=7,"▲ Próximos 7 dias","○ No prazo")))))))</f>
        <v/>
      </c>
      <c r="L157" s="138" t="str">
        <f>IF(OR(B157="",G157="Concluída",G157="Cancelada"),"",IF(E157="Alta",IF(AND(F157&lt;&gt;"",F157-Hoje&lt;=3),"1 · Fazer já","2 · Agendar"),IF(AND(F157&lt;&gt;"",F157-Hoje&lt;=3),"3 · Resolver rápido","4 · Depois")))</f>
        <v/>
      </c>
      <c r="M157" s="129" t="n"/>
      <c r="N157" t="str">
        <f>IF(AND(B157&lt;&gt;"",G157&lt;&gt;"Concluída",G157&lt;&gt;"Cancelada",F157&lt;&gt;""),F157+ROW()/100000,"")</f>
        <v/>
      </c>
    </row>
    <row r="158">
      <c r="B158" s="129" t="n"/>
      <c r="C158" s="129" t="n"/>
      <c r="D158" s="129" t="n"/>
      <c r="E158" s="129" t="n"/>
      <c r="F158" s="130" t="n"/>
      <c r="G158" s="129" t="n"/>
      <c r="H158" s="130" t="n"/>
      <c r="I158" s="129" t="n"/>
      <c r="J158" s="134" t="str">
        <f>IF(OR(B158="",F158="",G158="Concluída",G158="Cancelada"),"",F158-Hoje)</f>
        <v/>
      </c>
      <c r="K158" s="138" t="str">
        <f>IF(B158="","",IF(G158="Concluída","✔ Feita",IF(G158="Cancelada","– Cancelada",IF(F158="","○ Sem prazo",IF(F158&lt;Hoje,"✖ Atrasada",IF(F158=Hoje,"▲ Vence hoje",IF(F158-Hoje&lt;=7,"▲ Próximos 7 dias","○ No prazo")))))))</f>
        <v/>
      </c>
      <c r="L158" s="138" t="str">
        <f>IF(OR(B158="",G158="Concluída",G158="Cancelada"),"",IF(E158="Alta",IF(AND(F158&lt;&gt;"",F158-Hoje&lt;=3),"1 · Fazer já","2 · Agendar"),IF(AND(F158&lt;&gt;"",F158-Hoje&lt;=3),"3 · Resolver rápido","4 · Depois")))</f>
        <v/>
      </c>
      <c r="M158" s="129" t="n"/>
      <c r="N158" t="str">
        <f>IF(AND(B158&lt;&gt;"",G158&lt;&gt;"Concluída",G158&lt;&gt;"Cancelada",F158&lt;&gt;""),F158+ROW()/100000,"")</f>
        <v/>
      </c>
    </row>
    <row r="159">
      <c r="B159" s="129" t="n"/>
      <c r="C159" s="129" t="n"/>
      <c r="D159" s="129" t="n"/>
      <c r="E159" s="129" t="n"/>
      <c r="F159" s="130" t="n"/>
      <c r="G159" s="129" t="n"/>
      <c r="H159" s="130" t="n"/>
      <c r="I159" s="129" t="n"/>
      <c r="J159" s="134" t="str">
        <f>IF(OR(B159="",F159="",G159="Concluída",G159="Cancelada"),"",F159-Hoje)</f>
        <v/>
      </c>
      <c r="K159" s="138" t="str">
        <f>IF(B159="","",IF(G159="Concluída","✔ Feita",IF(G159="Cancelada","– Cancelada",IF(F159="","○ Sem prazo",IF(F159&lt;Hoje,"✖ Atrasada",IF(F159=Hoje,"▲ Vence hoje",IF(F159-Hoje&lt;=7,"▲ Próximos 7 dias","○ No prazo")))))))</f>
        <v/>
      </c>
      <c r="L159" s="138" t="str">
        <f>IF(OR(B159="",G159="Concluída",G159="Cancelada"),"",IF(E159="Alta",IF(AND(F159&lt;&gt;"",F159-Hoje&lt;=3),"1 · Fazer já","2 · Agendar"),IF(AND(F159&lt;&gt;"",F159-Hoje&lt;=3),"3 · Resolver rápido","4 · Depois")))</f>
        <v/>
      </c>
      <c r="M159" s="129" t="n"/>
      <c r="N159" t="str">
        <f>IF(AND(B159&lt;&gt;"",G159&lt;&gt;"Concluída",G159&lt;&gt;"Cancelada",F159&lt;&gt;""),F159+ROW()/100000,"")</f>
        <v/>
      </c>
    </row>
    <row r="160">
      <c r="B160" s="129" t="n"/>
      <c r="C160" s="129" t="n"/>
      <c r="D160" s="129" t="n"/>
      <c r="E160" s="129" t="n"/>
      <c r="F160" s="130" t="n"/>
      <c r="G160" s="129" t="n"/>
      <c r="H160" s="130" t="n"/>
      <c r="I160" s="129" t="n"/>
      <c r="J160" s="134" t="str">
        <f>IF(OR(B160="",F160="",G160="Concluída",G160="Cancelada"),"",F160-Hoje)</f>
        <v/>
      </c>
      <c r="K160" s="138" t="str">
        <f>IF(B160="","",IF(G160="Concluída","✔ Feita",IF(G160="Cancelada","– Cancelada",IF(F160="","○ Sem prazo",IF(F160&lt;Hoje,"✖ Atrasada",IF(F160=Hoje,"▲ Vence hoje",IF(F160-Hoje&lt;=7,"▲ Próximos 7 dias","○ No prazo")))))))</f>
        <v/>
      </c>
      <c r="L160" s="138" t="str">
        <f>IF(OR(B160="",G160="Concluída",G160="Cancelada"),"",IF(E160="Alta",IF(AND(F160&lt;&gt;"",F160-Hoje&lt;=3),"1 · Fazer já","2 · Agendar"),IF(AND(F160&lt;&gt;"",F160-Hoje&lt;=3),"3 · Resolver rápido","4 · Depois")))</f>
        <v/>
      </c>
      <c r="M160" s="129" t="n"/>
      <c r="N160" t="str">
        <f>IF(AND(B160&lt;&gt;"",G160&lt;&gt;"Concluída",G160&lt;&gt;"Cancelada",F160&lt;&gt;""),F160+ROW()/100000,"")</f>
        <v/>
      </c>
    </row>
    <row r="161">
      <c r="B161" s="129" t="n"/>
      <c r="C161" s="129" t="n"/>
      <c r="D161" s="129" t="n"/>
      <c r="E161" s="129" t="n"/>
      <c r="F161" s="130" t="n"/>
      <c r="G161" s="129" t="n"/>
      <c r="H161" s="130" t="n"/>
      <c r="I161" s="129" t="n"/>
      <c r="J161" s="134" t="str">
        <f>IF(OR(B161="",F161="",G161="Concluída",G161="Cancelada"),"",F161-Hoje)</f>
        <v/>
      </c>
      <c r="K161" s="138" t="str">
        <f>IF(B161="","",IF(G161="Concluída","✔ Feita",IF(G161="Cancelada","– Cancelada",IF(F161="","○ Sem prazo",IF(F161&lt;Hoje,"✖ Atrasada",IF(F161=Hoje,"▲ Vence hoje",IF(F161-Hoje&lt;=7,"▲ Próximos 7 dias","○ No prazo")))))))</f>
        <v/>
      </c>
      <c r="L161" s="138" t="str">
        <f>IF(OR(B161="",G161="Concluída",G161="Cancelada"),"",IF(E161="Alta",IF(AND(F161&lt;&gt;"",F161-Hoje&lt;=3),"1 · Fazer já","2 · Agendar"),IF(AND(F161&lt;&gt;"",F161-Hoje&lt;=3),"3 · Resolver rápido","4 · Depois")))</f>
        <v/>
      </c>
      <c r="M161" s="129" t="n"/>
      <c r="N161" t="str">
        <f>IF(AND(B161&lt;&gt;"",G161&lt;&gt;"Concluída",G161&lt;&gt;"Cancelada",F161&lt;&gt;""),F161+ROW()/100000,"")</f>
        <v/>
      </c>
    </row>
    <row r="162">
      <c r="B162" s="129" t="n"/>
      <c r="C162" s="129" t="n"/>
      <c r="D162" s="129" t="n"/>
      <c r="E162" s="129" t="n"/>
      <c r="F162" s="130" t="n"/>
      <c r="G162" s="129" t="n"/>
      <c r="H162" s="130" t="n"/>
      <c r="I162" s="129" t="n"/>
      <c r="J162" s="134" t="str">
        <f>IF(OR(B162="",F162="",G162="Concluída",G162="Cancelada"),"",F162-Hoje)</f>
        <v/>
      </c>
      <c r="K162" s="138" t="str">
        <f>IF(B162="","",IF(G162="Concluída","✔ Feita",IF(G162="Cancelada","– Cancelada",IF(F162="","○ Sem prazo",IF(F162&lt;Hoje,"✖ Atrasada",IF(F162=Hoje,"▲ Vence hoje",IF(F162-Hoje&lt;=7,"▲ Próximos 7 dias","○ No prazo")))))))</f>
        <v/>
      </c>
      <c r="L162" s="138" t="str">
        <f>IF(OR(B162="",G162="Concluída",G162="Cancelada"),"",IF(E162="Alta",IF(AND(F162&lt;&gt;"",F162-Hoje&lt;=3),"1 · Fazer já","2 · Agendar"),IF(AND(F162&lt;&gt;"",F162-Hoje&lt;=3),"3 · Resolver rápido","4 · Depois")))</f>
        <v/>
      </c>
      <c r="M162" s="129" t="n"/>
      <c r="N162" t="str">
        <f>IF(AND(B162&lt;&gt;"",G162&lt;&gt;"Concluída",G162&lt;&gt;"Cancelada",F162&lt;&gt;""),F162+ROW()/100000,"")</f>
        <v/>
      </c>
    </row>
    <row r="163">
      <c r="B163" s="129" t="n"/>
      <c r="C163" s="129" t="n"/>
      <c r="D163" s="129" t="n"/>
      <c r="E163" s="129" t="n"/>
      <c r="F163" s="130" t="n"/>
      <c r="G163" s="129" t="n"/>
      <c r="H163" s="130" t="n"/>
      <c r="I163" s="129" t="n"/>
      <c r="J163" s="134" t="str">
        <f>IF(OR(B163="",F163="",G163="Concluída",G163="Cancelada"),"",F163-Hoje)</f>
        <v/>
      </c>
      <c r="K163" s="138" t="str">
        <f>IF(B163="","",IF(G163="Concluída","✔ Feita",IF(G163="Cancelada","– Cancelada",IF(F163="","○ Sem prazo",IF(F163&lt;Hoje,"✖ Atrasada",IF(F163=Hoje,"▲ Vence hoje",IF(F163-Hoje&lt;=7,"▲ Próximos 7 dias","○ No prazo")))))))</f>
        <v/>
      </c>
      <c r="L163" s="138" t="str">
        <f>IF(OR(B163="",G163="Concluída",G163="Cancelada"),"",IF(E163="Alta",IF(AND(F163&lt;&gt;"",F163-Hoje&lt;=3),"1 · Fazer já","2 · Agendar"),IF(AND(F163&lt;&gt;"",F163-Hoje&lt;=3),"3 · Resolver rápido","4 · Depois")))</f>
        <v/>
      </c>
      <c r="M163" s="129" t="n"/>
      <c r="N163" t="str">
        <f>IF(AND(B163&lt;&gt;"",G163&lt;&gt;"Concluída",G163&lt;&gt;"Cancelada",F163&lt;&gt;""),F163+ROW()/100000,"")</f>
        <v/>
      </c>
    </row>
    <row r="164">
      <c r="B164" s="129" t="n"/>
      <c r="C164" s="129" t="n"/>
      <c r="D164" s="129" t="n"/>
      <c r="E164" s="129" t="n"/>
      <c r="F164" s="130" t="n"/>
      <c r="G164" s="129" t="n"/>
      <c r="H164" s="130" t="n"/>
      <c r="I164" s="129" t="n"/>
      <c r="J164" s="134" t="str">
        <f>IF(OR(B164="",F164="",G164="Concluída",G164="Cancelada"),"",F164-Hoje)</f>
        <v/>
      </c>
      <c r="K164" s="138" t="str">
        <f>IF(B164="","",IF(G164="Concluída","✔ Feita",IF(G164="Cancelada","– Cancelada",IF(F164="","○ Sem prazo",IF(F164&lt;Hoje,"✖ Atrasada",IF(F164=Hoje,"▲ Vence hoje",IF(F164-Hoje&lt;=7,"▲ Próximos 7 dias","○ No prazo")))))))</f>
        <v/>
      </c>
      <c r="L164" s="138" t="str">
        <f>IF(OR(B164="",G164="Concluída",G164="Cancelada"),"",IF(E164="Alta",IF(AND(F164&lt;&gt;"",F164-Hoje&lt;=3),"1 · Fazer já","2 · Agendar"),IF(AND(F164&lt;&gt;"",F164-Hoje&lt;=3),"3 · Resolver rápido","4 · Depois")))</f>
        <v/>
      </c>
      <c r="M164" s="129" t="n"/>
      <c r="N164" t="str">
        <f>IF(AND(B164&lt;&gt;"",G164&lt;&gt;"Concluída",G164&lt;&gt;"Cancelada",F164&lt;&gt;""),F164+ROW()/100000,"")</f>
        <v/>
      </c>
    </row>
    <row r="165">
      <c r="B165" s="129" t="n"/>
      <c r="C165" s="129" t="n"/>
      <c r="D165" s="129" t="n"/>
      <c r="E165" s="129" t="n"/>
      <c r="F165" s="130" t="n"/>
      <c r="G165" s="129" t="n"/>
      <c r="H165" s="130" t="n"/>
      <c r="I165" s="129" t="n"/>
      <c r="J165" s="134" t="str">
        <f>IF(OR(B165="",F165="",G165="Concluída",G165="Cancelada"),"",F165-Hoje)</f>
        <v/>
      </c>
      <c r="K165" s="138" t="str">
        <f>IF(B165="","",IF(G165="Concluída","✔ Feita",IF(G165="Cancelada","– Cancelada",IF(F165="","○ Sem prazo",IF(F165&lt;Hoje,"✖ Atrasada",IF(F165=Hoje,"▲ Vence hoje",IF(F165-Hoje&lt;=7,"▲ Próximos 7 dias","○ No prazo")))))))</f>
        <v/>
      </c>
      <c r="L165" s="138" t="str">
        <f>IF(OR(B165="",G165="Concluída",G165="Cancelada"),"",IF(E165="Alta",IF(AND(F165&lt;&gt;"",F165-Hoje&lt;=3),"1 · Fazer já","2 · Agendar"),IF(AND(F165&lt;&gt;"",F165-Hoje&lt;=3),"3 · Resolver rápido","4 · Depois")))</f>
        <v/>
      </c>
      <c r="M165" s="129" t="n"/>
      <c r="N165" t="str">
        <f>IF(AND(B165&lt;&gt;"",G165&lt;&gt;"Concluída",G165&lt;&gt;"Cancelada",F165&lt;&gt;""),F165+ROW()/100000,"")</f>
        <v/>
      </c>
    </row>
    <row r="166">
      <c r="B166" s="129" t="n"/>
      <c r="C166" s="129" t="n"/>
      <c r="D166" s="129" t="n"/>
      <c r="E166" s="129" t="n"/>
      <c r="F166" s="130" t="n"/>
      <c r="G166" s="129" t="n"/>
      <c r="H166" s="130" t="n"/>
      <c r="I166" s="129" t="n"/>
      <c r="J166" s="134" t="str">
        <f>IF(OR(B166="",F166="",G166="Concluída",G166="Cancelada"),"",F166-Hoje)</f>
        <v/>
      </c>
      <c r="K166" s="138" t="str">
        <f>IF(B166="","",IF(G166="Concluída","✔ Feita",IF(G166="Cancelada","– Cancelada",IF(F166="","○ Sem prazo",IF(F166&lt;Hoje,"✖ Atrasada",IF(F166=Hoje,"▲ Vence hoje",IF(F166-Hoje&lt;=7,"▲ Próximos 7 dias","○ No prazo")))))))</f>
        <v/>
      </c>
      <c r="L166" s="138" t="str">
        <f>IF(OR(B166="",G166="Concluída",G166="Cancelada"),"",IF(E166="Alta",IF(AND(F166&lt;&gt;"",F166-Hoje&lt;=3),"1 · Fazer já","2 · Agendar"),IF(AND(F166&lt;&gt;"",F166-Hoje&lt;=3),"3 · Resolver rápido","4 · Depois")))</f>
        <v/>
      </c>
      <c r="M166" s="129" t="n"/>
      <c r="N166" t="str">
        <f>IF(AND(B166&lt;&gt;"",G166&lt;&gt;"Concluída",G166&lt;&gt;"Cancelada",F166&lt;&gt;""),F166+ROW()/100000,"")</f>
        <v/>
      </c>
    </row>
    <row r="167">
      <c r="B167" s="129" t="n"/>
      <c r="C167" s="129" t="n"/>
      <c r="D167" s="129" t="n"/>
      <c r="E167" s="129" t="n"/>
      <c r="F167" s="130" t="n"/>
      <c r="G167" s="129" t="n"/>
      <c r="H167" s="130" t="n"/>
      <c r="I167" s="129" t="n"/>
      <c r="J167" s="134" t="str">
        <f>IF(OR(B167="",F167="",G167="Concluída",G167="Cancelada"),"",F167-Hoje)</f>
        <v/>
      </c>
      <c r="K167" s="138" t="str">
        <f>IF(B167="","",IF(G167="Concluída","✔ Feita",IF(G167="Cancelada","– Cancelada",IF(F167="","○ Sem prazo",IF(F167&lt;Hoje,"✖ Atrasada",IF(F167=Hoje,"▲ Vence hoje",IF(F167-Hoje&lt;=7,"▲ Próximos 7 dias","○ No prazo")))))))</f>
        <v/>
      </c>
      <c r="L167" s="138" t="str">
        <f>IF(OR(B167="",G167="Concluída",G167="Cancelada"),"",IF(E167="Alta",IF(AND(F167&lt;&gt;"",F167-Hoje&lt;=3),"1 · Fazer já","2 · Agendar"),IF(AND(F167&lt;&gt;"",F167-Hoje&lt;=3),"3 · Resolver rápido","4 · Depois")))</f>
        <v/>
      </c>
      <c r="M167" s="129" t="n"/>
      <c r="N167" t="str">
        <f>IF(AND(B167&lt;&gt;"",G167&lt;&gt;"Concluída",G167&lt;&gt;"Cancelada",F167&lt;&gt;""),F167+ROW()/100000,"")</f>
        <v/>
      </c>
    </row>
    <row r="168">
      <c r="B168" s="129" t="n"/>
      <c r="C168" s="129" t="n"/>
      <c r="D168" s="129" t="n"/>
      <c r="E168" s="129" t="n"/>
      <c r="F168" s="130" t="n"/>
      <c r="G168" s="129" t="n"/>
      <c r="H168" s="130" t="n"/>
      <c r="I168" s="129" t="n"/>
      <c r="J168" s="134" t="str">
        <f>IF(OR(B168="",F168="",G168="Concluída",G168="Cancelada"),"",F168-Hoje)</f>
        <v/>
      </c>
      <c r="K168" s="138" t="str">
        <f>IF(B168="","",IF(G168="Concluída","✔ Feita",IF(G168="Cancelada","– Cancelada",IF(F168="","○ Sem prazo",IF(F168&lt;Hoje,"✖ Atrasada",IF(F168=Hoje,"▲ Vence hoje",IF(F168-Hoje&lt;=7,"▲ Próximos 7 dias","○ No prazo")))))))</f>
        <v/>
      </c>
      <c r="L168" s="138" t="str">
        <f>IF(OR(B168="",G168="Concluída",G168="Cancelada"),"",IF(E168="Alta",IF(AND(F168&lt;&gt;"",F168-Hoje&lt;=3),"1 · Fazer já","2 · Agendar"),IF(AND(F168&lt;&gt;"",F168-Hoje&lt;=3),"3 · Resolver rápido","4 · Depois")))</f>
        <v/>
      </c>
      <c r="M168" s="129" t="n"/>
      <c r="N168" t="str">
        <f>IF(AND(B168&lt;&gt;"",G168&lt;&gt;"Concluída",G168&lt;&gt;"Cancelada",F168&lt;&gt;""),F168+ROW()/100000,"")</f>
        <v/>
      </c>
    </row>
    <row r="169">
      <c r="B169" s="129" t="n"/>
      <c r="C169" s="129" t="n"/>
      <c r="D169" s="129" t="n"/>
      <c r="E169" s="129" t="n"/>
      <c r="F169" s="130" t="n"/>
      <c r="G169" s="129" t="n"/>
      <c r="H169" s="130" t="n"/>
      <c r="I169" s="129" t="n"/>
      <c r="J169" s="134" t="str">
        <f>IF(OR(B169="",F169="",G169="Concluída",G169="Cancelada"),"",F169-Hoje)</f>
        <v/>
      </c>
      <c r="K169" s="138" t="str">
        <f>IF(B169="","",IF(G169="Concluída","✔ Feita",IF(G169="Cancelada","– Cancelada",IF(F169="","○ Sem prazo",IF(F169&lt;Hoje,"✖ Atrasada",IF(F169=Hoje,"▲ Vence hoje",IF(F169-Hoje&lt;=7,"▲ Próximos 7 dias","○ No prazo")))))))</f>
        <v/>
      </c>
      <c r="L169" s="138" t="str">
        <f>IF(OR(B169="",G169="Concluída",G169="Cancelada"),"",IF(E169="Alta",IF(AND(F169&lt;&gt;"",F169-Hoje&lt;=3),"1 · Fazer já","2 · Agendar"),IF(AND(F169&lt;&gt;"",F169-Hoje&lt;=3),"3 · Resolver rápido","4 · Depois")))</f>
        <v/>
      </c>
      <c r="M169" s="129" t="n"/>
      <c r="N169" t="str">
        <f>IF(AND(B169&lt;&gt;"",G169&lt;&gt;"Concluída",G169&lt;&gt;"Cancelada",F169&lt;&gt;""),F169+ROW()/100000,"")</f>
        <v/>
      </c>
    </row>
    <row r="170">
      <c r="B170" s="129" t="n"/>
      <c r="C170" s="129" t="n"/>
      <c r="D170" s="129" t="n"/>
      <c r="E170" s="129" t="n"/>
      <c r="F170" s="130" t="n"/>
      <c r="G170" s="129" t="n"/>
      <c r="H170" s="130" t="n"/>
      <c r="I170" s="129" t="n"/>
      <c r="J170" s="134" t="str">
        <f>IF(OR(B170="",F170="",G170="Concluída",G170="Cancelada"),"",F170-Hoje)</f>
        <v/>
      </c>
      <c r="K170" s="138" t="str">
        <f>IF(B170="","",IF(G170="Concluída","✔ Feita",IF(G170="Cancelada","– Cancelada",IF(F170="","○ Sem prazo",IF(F170&lt;Hoje,"✖ Atrasada",IF(F170=Hoje,"▲ Vence hoje",IF(F170-Hoje&lt;=7,"▲ Próximos 7 dias","○ No prazo")))))))</f>
        <v/>
      </c>
      <c r="L170" s="138" t="str">
        <f>IF(OR(B170="",G170="Concluída",G170="Cancelada"),"",IF(E170="Alta",IF(AND(F170&lt;&gt;"",F170-Hoje&lt;=3),"1 · Fazer já","2 · Agendar"),IF(AND(F170&lt;&gt;"",F170-Hoje&lt;=3),"3 · Resolver rápido","4 · Depois")))</f>
        <v/>
      </c>
      <c r="M170" s="129" t="n"/>
      <c r="N170" t="str">
        <f>IF(AND(B170&lt;&gt;"",G170&lt;&gt;"Concluída",G170&lt;&gt;"Cancelada",F170&lt;&gt;""),F170+ROW()/100000,"")</f>
        <v/>
      </c>
    </row>
    <row r="171">
      <c r="B171" s="129" t="n"/>
      <c r="C171" s="129" t="n"/>
      <c r="D171" s="129" t="n"/>
      <c r="E171" s="129" t="n"/>
      <c r="F171" s="130" t="n"/>
      <c r="G171" s="129" t="n"/>
      <c r="H171" s="130" t="n"/>
      <c r="I171" s="129" t="n"/>
      <c r="J171" s="134" t="str">
        <f>IF(OR(B171="",F171="",G171="Concluída",G171="Cancelada"),"",F171-Hoje)</f>
        <v/>
      </c>
      <c r="K171" s="138" t="str">
        <f>IF(B171="","",IF(G171="Concluída","✔ Feita",IF(G171="Cancelada","– Cancelada",IF(F171="","○ Sem prazo",IF(F171&lt;Hoje,"✖ Atrasada",IF(F171=Hoje,"▲ Vence hoje",IF(F171-Hoje&lt;=7,"▲ Próximos 7 dias","○ No prazo")))))))</f>
        <v/>
      </c>
      <c r="L171" s="138" t="str">
        <f>IF(OR(B171="",G171="Concluída",G171="Cancelada"),"",IF(E171="Alta",IF(AND(F171&lt;&gt;"",F171-Hoje&lt;=3),"1 · Fazer já","2 · Agendar"),IF(AND(F171&lt;&gt;"",F171-Hoje&lt;=3),"3 · Resolver rápido","4 · Depois")))</f>
        <v/>
      </c>
      <c r="M171" s="129" t="n"/>
      <c r="N171" t="str">
        <f>IF(AND(B171&lt;&gt;"",G171&lt;&gt;"Concluída",G171&lt;&gt;"Cancelada",F171&lt;&gt;""),F171+ROW()/100000,"")</f>
        <v/>
      </c>
    </row>
    <row r="172">
      <c r="B172" s="129" t="n"/>
      <c r="C172" s="129" t="n"/>
      <c r="D172" s="129" t="n"/>
      <c r="E172" s="129" t="n"/>
      <c r="F172" s="130" t="n"/>
      <c r="G172" s="129" t="n"/>
      <c r="H172" s="130" t="n"/>
      <c r="I172" s="129" t="n"/>
      <c r="J172" s="134" t="str">
        <f>IF(OR(B172="",F172="",G172="Concluída",G172="Cancelada"),"",F172-Hoje)</f>
        <v/>
      </c>
      <c r="K172" s="138" t="str">
        <f>IF(B172="","",IF(G172="Concluída","✔ Feita",IF(G172="Cancelada","– Cancelada",IF(F172="","○ Sem prazo",IF(F172&lt;Hoje,"✖ Atrasada",IF(F172=Hoje,"▲ Vence hoje",IF(F172-Hoje&lt;=7,"▲ Próximos 7 dias","○ No prazo")))))))</f>
        <v/>
      </c>
      <c r="L172" s="138" t="str">
        <f>IF(OR(B172="",G172="Concluída",G172="Cancelada"),"",IF(E172="Alta",IF(AND(F172&lt;&gt;"",F172-Hoje&lt;=3),"1 · Fazer já","2 · Agendar"),IF(AND(F172&lt;&gt;"",F172-Hoje&lt;=3),"3 · Resolver rápido","4 · Depois")))</f>
        <v/>
      </c>
      <c r="M172" s="129" t="n"/>
      <c r="N172" t="str">
        <f>IF(AND(B172&lt;&gt;"",G172&lt;&gt;"Concluída",G172&lt;&gt;"Cancelada",F172&lt;&gt;""),F172+ROW()/100000,"")</f>
        <v/>
      </c>
    </row>
    <row r="173">
      <c r="B173" s="129" t="n"/>
      <c r="C173" s="129" t="n"/>
      <c r="D173" s="129" t="n"/>
      <c r="E173" s="129" t="n"/>
      <c r="F173" s="130" t="n"/>
      <c r="G173" s="129" t="n"/>
      <c r="H173" s="130" t="n"/>
      <c r="I173" s="129" t="n"/>
      <c r="J173" s="134" t="str">
        <f>IF(OR(B173="",F173="",G173="Concluída",G173="Cancelada"),"",F173-Hoje)</f>
        <v/>
      </c>
      <c r="K173" s="138" t="str">
        <f>IF(B173="","",IF(G173="Concluída","✔ Feita",IF(G173="Cancelada","– Cancelada",IF(F173="","○ Sem prazo",IF(F173&lt;Hoje,"✖ Atrasada",IF(F173=Hoje,"▲ Vence hoje",IF(F173-Hoje&lt;=7,"▲ Próximos 7 dias","○ No prazo")))))))</f>
        <v/>
      </c>
      <c r="L173" s="138" t="str">
        <f>IF(OR(B173="",G173="Concluída",G173="Cancelada"),"",IF(E173="Alta",IF(AND(F173&lt;&gt;"",F173-Hoje&lt;=3),"1 · Fazer já","2 · Agendar"),IF(AND(F173&lt;&gt;"",F173-Hoje&lt;=3),"3 · Resolver rápido","4 · Depois")))</f>
        <v/>
      </c>
      <c r="M173" s="129" t="n"/>
      <c r="N173" t="str">
        <f>IF(AND(B173&lt;&gt;"",G173&lt;&gt;"Concluída",G173&lt;&gt;"Cancelada",F173&lt;&gt;""),F173+ROW()/100000,"")</f>
        <v/>
      </c>
    </row>
    <row r="174">
      <c r="B174" s="129" t="n"/>
      <c r="C174" s="129" t="n"/>
      <c r="D174" s="129" t="n"/>
      <c r="E174" s="129" t="n"/>
      <c r="F174" s="130" t="n"/>
      <c r="G174" s="129" t="n"/>
      <c r="H174" s="130" t="n"/>
      <c r="I174" s="129" t="n"/>
      <c r="J174" s="134" t="str">
        <f>IF(OR(B174="",F174="",G174="Concluída",G174="Cancelada"),"",F174-Hoje)</f>
        <v/>
      </c>
      <c r="K174" s="138" t="str">
        <f>IF(B174="","",IF(G174="Concluída","✔ Feita",IF(G174="Cancelada","– Cancelada",IF(F174="","○ Sem prazo",IF(F174&lt;Hoje,"✖ Atrasada",IF(F174=Hoje,"▲ Vence hoje",IF(F174-Hoje&lt;=7,"▲ Próximos 7 dias","○ No prazo")))))))</f>
        <v/>
      </c>
      <c r="L174" s="138" t="str">
        <f>IF(OR(B174="",G174="Concluída",G174="Cancelada"),"",IF(E174="Alta",IF(AND(F174&lt;&gt;"",F174-Hoje&lt;=3),"1 · Fazer já","2 · Agendar"),IF(AND(F174&lt;&gt;"",F174-Hoje&lt;=3),"3 · Resolver rápido","4 · Depois")))</f>
        <v/>
      </c>
      <c r="M174" s="129" t="n"/>
      <c r="N174" t="str">
        <f>IF(AND(B174&lt;&gt;"",G174&lt;&gt;"Concluída",G174&lt;&gt;"Cancelada",F174&lt;&gt;""),F174+ROW()/100000,"")</f>
        <v/>
      </c>
    </row>
    <row r="175">
      <c r="B175" s="129" t="n"/>
      <c r="C175" s="129" t="n"/>
      <c r="D175" s="129" t="n"/>
      <c r="E175" s="129" t="n"/>
      <c r="F175" s="130" t="n"/>
      <c r="G175" s="129" t="n"/>
      <c r="H175" s="130" t="n"/>
      <c r="I175" s="129" t="n"/>
      <c r="J175" s="134" t="str">
        <f>IF(OR(B175="",F175="",G175="Concluída",G175="Cancelada"),"",F175-Hoje)</f>
        <v/>
      </c>
      <c r="K175" s="138" t="str">
        <f>IF(B175="","",IF(G175="Concluída","✔ Feita",IF(G175="Cancelada","– Cancelada",IF(F175="","○ Sem prazo",IF(F175&lt;Hoje,"✖ Atrasada",IF(F175=Hoje,"▲ Vence hoje",IF(F175-Hoje&lt;=7,"▲ Próximos 7 dias","○ No prazo")))))))</f>
        <v/>
      </c>
      <c r="L175" s="138" t="str">
        <f>IF(OR(B175="",G175="Concluída",G175="Cancelada"),"",IF(E175="Alta",IF(AND(F175&lt;&gt;"",F175-Hoje&lt;=3),"1 · Fazer já","2 · Agendar"),IF(AND(F175&lt;&gt;"",F175-Hoje&lt;=3),"3 · Resolver rápido","4 · Depois")))</f>
        <v/>
      </c>
      <c r="M175" s="129" t="n"/>
      <c r="N175" t="str">
        <f>IF(AND(B175&lt;&gt;"",G175&lt;&gt;"Concluída",G175&lt;&gt;"Cancelada",F175&lt;&gt;""),F175+ROW()/100000,"")</f>
        <v/>
      </c>
    </row>
    <row r="176">
      <c r="B176" s="129" t="n"/>
      <c r="C176" s="129" t="n"/>
      <c r="D176" s="129" t="n"/>
      <c r="E176" s="129" t="n"/>
      <c r="F176" s="130" t="n"/>
      <c r="G176" s="129" t="n"/>
      <c r="H176" s="130" t="n"/>
      <c r="I176" s="129" t="n"/>
      <c r="J176" s="134" t="str">
        <f>IF(OR(B176="",F176="",G176="Concluída",G176="Cancelada"),"",F176-Hoje)</f>
        <v/>
      </c>
      <c r="K176" s="138" t="str">
        <f>IF(B176="","",IF(G176="Concluída","✔ Feita",IF(G176="Cancelada","– Cancelada",IF(F176="","○ Sem prazo",IF(F176&lt;Hoje,"✖ Atrasada",IF(F176=Hoje,"▲ Vence hoje",IF(F176-Hoje&lt;=7,"▲ Próximos 7 dias","○ No prazo")))))))</f>
        <v/>
      </c>
      <c r="L176" s="138" t="str">
        <f>IF(OR(B176="",G176="Concluída",G176="Cancelada"),"",IF(E176="Alta",IF(AND(F176&lt;&gt;"",F176-Hoje&lt;=3),"1 · Fazer já","2 · Agendar"),IF(AND(F176&lt;&gt;"",F176-Hoje&lt;=3),"3 · Resolver rápido","4 · Depois")))</f>
        <v/>
      </c>
      <c r="M176" s="129" t="n"/>
      <c r="N176" t="str">
        <f>IF(AND(B176&lt;&gt;"",G176&lt;&gt;"Concluída",G176&lt;&gt;"Cancelada",F176&lt;&gt;""),F176+ROW()/100000,"")</f>
        <v/>
      </c>
    </row>
    <row r="177">
      <c r="B177" s="129" t="n"/>
      <c r="C177" s="129" t="n"/>
      <c r="D177" s="129" t="n"/>
      <c r="E177" s="129" t="n"/>
      <c r="F177" s="130" t="n"/>
      <c r="G177" s="129" t="n"/>
      <c r="H177" s="130" t="n"/>
      <c r="I177" s="129" t="n"/>
      <c r="J177" s="134" t="str">
        <f>IF(OR(B177="",F177="",G177="Concluída",G177="Cancelada"),"",F177-Hoje)</f>
        <v/>
      </c>
      <c r="K177" s="138" t="str">
        <f>IF(B177="","",IF(G177="Concluída","✔ Feita",IF(G177="Cancelada","– Cancelada",IF(F177="","○ Sem prazo",IF(F177&lt;Hoje,"✖ Atrasada",IF(F177=Hoje,"▲ Vence hoje",IF(F177-Hoje&lt;=7,"▲ Próximos 7 dias","○ No prazo")))))))</f>
        <v/>
      </c>
      <c r="L177" s="138" t="str">
        <f>IF(OR(B177="",G177="Concluída",G177="Cancelada"),"",IF(E177="Alta",IF(AND(F177&lt;&gt;"",F177-Hoje&lt;=3),"1 · Fazer já","2 · Agendar"),IF(AND(F177&lt;&gt;"",F177-Hoje&lt;=3),"3 · Resolver rápido","4 · Depois")))</f>
        <v/>
      </c>
      <c r="M177" s="129" t="n"/>
      <c r="N177" t="str">
        <f>IF(AND(B177&lt;&gt;"",G177&lt;&gt;"Concluída",G177&lt;&gt;"Cancelada",F177&lt;&gt;""),F177+ROW()/100000,"")</f>
        <v/>
      </c>
    </row>
    <row r="178">
      <c r="B178" s="129" t="n"/>
      <c r="C178" s="129" t="n"/>
      <c r="D178" s="129" t="n"/>
      <c r="E178" s="129" t="n"/>
      <c r="F178" s="130" t="n"/>
      <c r="G178" s="129" t="n"/>
      <c r="H178" s="130" t="n"/>
      <c r="I178" s="129" t="n"/>
      <c r="J178" s="134" t="str">
        <f>IF(OR(B178="",F178="",G178="Concluída",G178="Cancelada"),"",F178-Hoje)</f>
        <v/>
      </c>
      <c r="K178" s="138" t="str">
        <f>IF(B178="","",IF(G178="Concluída","✔ Feita",IF(G178="Cancelada","– Cancelada",IF(F178="","○ Sem prazo",IF(F178&lt;Hoje,"✖ Atrasada",IF(F178=Hoje,"▲ Vence hoje",IF(F178-Hoje&lt;=7,"▲ Próximos 7 dias","○ No prazo")))))))</f>
        <v/>
      </c>
      <c r="L178" s="138" t="str">
        <f>IF(OR(B178="",G178="Concluída",G178="Cancelada"),"",IF(E178="Alta",IF(AND(F178&lt;&gt;"",F178-Hoje&lt;=3),"1 · Fazer já","2 · Agendar"),IF(AND(F178&lt;&gt;"",F178-Hoje&lt;=3),"3 · Resolver rápido","4 · Depois")))</f>
        <v/>
      </c>
      <c r="M178" s="129" t="n"/>
      <c r="N178" t="str">
        <f>IF(AND(B178&lt;&gt;"",G178&lt;&gt;"Concluída",G178&lt;&gt;"Cancelada",F178&lt;&gt;""),F178+ROW()/100000,"")</f>
        <v/>
      </c>
    </row>
    <row r="179">
      <c r="B179" s="129" t="n"/>
      <c r="C179" s="129" t="n"/>
      <c r="D179" s="129" t="n"/>
      <c r="E179" s="129" t="n"/>
      <c r="F179" s="130" t="n"/>
      <c r="G179" s="129" t="n"/>
      <c r="H179" s="130" t="n"/>
      <c r="I179" s="129" t="n"/>
      <c r="J179" s="134" t="str">
        <f>IF(OR(B179="",F179="",G179="Concluída",G179="Cancelada"),"",F179-Hoje)</f>
        <v/>
      </c>
      <c r="K179" s="138" t="str">
        <f>IF(B179="","",IF(G179="Concluída","✔ Feita",IF(G179="Cancelada","– Cancelada",IF(F179="","○ Sem prazo",IF(F179&lt;Hoje,"✖ Atrasada",IF(F179=Hoje,"▲ Vence hoje",IF(F179-Hoje&lt;=7,"▲ Próximos 7 dias","○ No prazo")))))))</f>
        <v/>
      </c>
      <c r="L179" s="138" t="str">
        <f>IF(OR(B179="",G179="Concluída",G179="Cancelada"),"",IF(E179="Alta",IF(AND(F179&lt;&gt;"",F179-Hoje&lt;=3),"1 · Fazer já","2 · Agendar"),IF(AND(F179&lt;&gt;"",F179-Hoje&lt;=3),"3 · Resolver rápido","4 · Depois")))</f>
        <v/>
      </c>
      <c r="M179" s="129" t="n"/>
      <c r="N179" t="str">
        <f>IF(AND(B179&lt;&gt;"",G179&lt;&gt;"Concluída",G179&lt;&gt;"Cancelada",F179&lt;&gt;""),F179+ROW()/100000,"")</f>
        <v/>
      </c>
    </row>
    <row r="180">
      <c r="B180" s="129" t="n"/>
      <c r="C180" s="129" t="n"/>
      <c r="D180" s="129" t="n"/>
      <c r="E180" s="129" t="n"/>
      <c r="F180" s="130" t="n"/>
      <c r="G180" s="129" t="n"/>
      <c r="H180" s="130" t="n"/>
      <c r="I180" s="129" t="n"/>
      <c r="J180" s="134" t="str">
        <f>IF(OR(B180="",F180="",G180="Concluída",G180="Cancelada"),"",F180-Hoje)</f>
        <v/>
      </c>
      <c r="K180" s="138" t="str">
        <f>IF(B180="","",IF(G180="Concluída","✔ Feita",IF(G180="Cancelada","– Cancelada",IF(F180="","○ Sem prazo",IF(F180&lt;Hoje,"✖ Atrasada",IF(F180=Hoje,"▲ Vence hoje",IF(F180-Hoje&lt;=7,"▲ Próximos 7 dias","○ No prazo")))))))</f>
        <v/>
      </c>
      <c r="L180" s="138" t="str">
        <f>IF(OR(B180="",G180="Concluída",G180="Cancelada"),"",IF(E180="Alta",IF(AND(F180&lt;&gt;"",F180-Hoje&lt;=3),"1 · Fazer já","2 · Agendar"),IF(AND(F180&lt;&gt;"",F180-Hoje&lt;=3),"3 · Resolver rápido","4 · Depois")))</f>
        <v/>
      </c>
      <c r="M180" s="129" t="n"/>
      <c r="N180" t="str">
        <f>IF(AND(B180&lt;&gt;"",G180&lt;&gt;"Concluída",G180&lt;&gt;"Cancelada",F180&lt;&gt;""),F180+ROW()/100000,"")</f>
        <v/>
      </c>
    </row>
    <row r="181">
      <c r="B181" s="129" t="n"/>
      <c r="C181" s="129" t="n"/>
      <c r="D181" s="129" t="n"/>
      <c r="E181" s="129" t="n"/>
      <c r="F181" s="130" t="n"/>
      <c r="G181" s="129" t="n"/>
      <c r="H181" s="130" t="n"/>
      <c r="I181" s="129" t="n"/>
      <c r="J181" s="134" t="str">
        <f>IF(OR(B181="",F181="",G181="Concluída",G181="Cancelada"),"",F181-Hoje)</f>
        <v/>
      </c>
      <c r="K181" s="138" t="str">
        <f>IF(B181="","",IF(G181="Concluída","✔ Feita",IF(G181="Cancelada","– Cancelada",IF(F181="","○ Sem prazo",IF(F181&lt;Hoje,"✖ Atrasada",IF(F181=Hoje,"▲ Vence hoje",IF(F181-Hoje&lt;=7,"▲ Próximos 7 dias","○ No prazo")))))))</f>
        <v/>
      </c>
      <c r="L181" s="138" t="str">
        <f>IF(OR(B181="",G181="Concluída",G181="Cancelada"),"",IF(E181="Alta",IF(AND(F181&lt;&gt;"",F181-Hoje&lt;=3),"1 · Fazer já","2 · Agendar"),IF(AND(F181&lt;&gt;"",F181-Hoje&lt;=3),"3 · Resolver rápido","4 · Depois")))</f>
        <v/>
      </c>
      <c r="M181" s="129" t="n"/>
      <c r="N181" t="str">
        <f>IF(AND(B181&lt;&gt;"",G181&lt;&gt;"Concluída",G181&lt;&gt;"Cancelada",F181&lt;&gt;""),F181+ROW()/100000,"")</f>
        <v/>
      </c>
    </row>
    <row r="182">
      <c r="B182" s="129" t="n"/>
      <c r="C182" s="129" t="n"/>
      <c r="D182" s="129" t="n"/>
      <c r="E182" s="129" t="n"/>
      <c r="F182" s="130" t="n"/>
      <c r="G182" s="129" t="n"/>
      <c r="H182" s="130" t="n"/>
      <c r="I182" s="129" t="n"/>
      <c r="J182" s="134" t="str">
        <f>IF(OR(B182="",F182="",G182="Concluída",G182="Cancelada"),"",F182-Hoje)</f>
        <v/>
      </c>
      <c r="K182" s="138" t="str">
        <f>IF(B182="","",IF(G182="Concluída","✔ Feita",IF(G182="Cancelada","– Cancelada",IF(F182="","○ Sem prazo",IF(F182&lt;Hoje,"✖ Atrasada",IF(F182=Hoje,"▲ Vence hoje",IF(F182-Hoje&lt;=7,"▲ Próximos 7 dias","○ No prazo")))))))</f>
        <v/>
      </c>
      <c r="L182" s="138" t="str">
        <f>IF(OR(B182="",G182="Concluída",G182="Cancelada"),"",IF(E182="Alta",IF(AND(F182&lt;&gt;"",F182-Hoje&lt;=3),"1 · Fazer já","2 · Agendar"),IF(AND(F182&lt;&gt;"",F182-Hoje&lt;=3),"3 · Resolver rápido","4 · Depois")))</f>
        <v/>
      </c>
      <c r="M182" s="129" t="n"/>
      <c r="N182" t="str">
        <f>IF(AND(B182&lt;&gt;"",G182&lt;&gt;"Concluída",G182&lt;&gt;"Cancelada",F182&lt;&gt;""),F182+ROW()/100000,"")</f>
        <v/>
      </c>
    </row>
    <row r="183">
      <c r="B183" s="129" t="n"/>
      <c r="C183" s="129" t="n"/>
      <c r="D183" s="129" t="n"/>
      <c r="E183" s="129" t="n"/>
      <c r="F183" s="130" t="n"/>
      <c r="G183" s="129" t="n"/>
      <c r="H183" s="130" t="n"/>
      <c r="I183" s="129" t="n"/>
      <c r="J183" s="134" t="str">
        <f>IF(OR(B183="",F183="",G183="Concluída",G183="Cancelada"),"",F183-Hoje)</f>
        <v/>
      </c>
      <c r="K183" s="138" t="str">
        <f>IF(B183="","",IF(G183="Concluída","✔ Feita",IF(G183="Cancelada","– Cancelada",IF(F183="","○ Sem prazo",IF(F183&lt;Hoje,"✖ Atrasada",IF(F183=Hoje,"▲ Vence hoje",IF(F183-Hoje&lt;=7,"▲ Próximos 7 dias","○ No prazo")))))))</f>
        <v/>
      </c>
      <c r="L183" s="138" t="str">
        <f>IF(OR(B183="",G183="Concluída",G183="Cancelada"),"",IF(E183="Alta",IF(AND(F183&lt;&gt;"",F183-Hoje&lt;=3),"1 · Fazer já","2 · Agendar"),IF(AND(F183&lt;&gt;"",F183-Hoje&lt;=3),"3 · Resolver rápido","4 · Depois")))</f>
        <v/>
      </c>
      <c r="M183" s="129" t="n"/>
      <c r="N183" t="str">
        <f>IF(AND(B183&lt;&gt;"",G183&lt;&gt;"Concluída",G183&lt;&gt;"Cancelada",F183&lt;&gt;""),F183+ROW()/100000,"")</f>
        <v/>
      </c>
    </row>
    <row r="184">
      <c r="B184" s="129" t="n"/>
      <c r="C184" s="129" t="n"/>
      <c r="D184" s="129" t="n"/>
      <c r="E184" s="129" t="n"/>
      <c r="F184" s="130" t="n"/>
      <c r="G184" s="129" t="n"/>
      <c r="H184" s="130" t="n"/>
      <c r="I184" s="129" t="n"/>
      <c r="J184" s="134" t="str">
        <f>IF(OR(B184="",F184="",G184="Concluída",G184="Cancelada"),"",F184-Hoje)</f>
        <v/>
      </c>
      <c r="K184" s="138" t="str">
        <f>IF(B184="","",IF(G184="Concluída","✔ Feita",IF(G184="Cancelada","– Cancelada",IF(F184="","○ Sem prazo",IF(F184&lt;Hoje,"✖ Atrasada",IF(F184=Hoje,"▲ Vence hoje",IF(F184-Hoje&lt;=7,"▲ Próximos 7 dias","○ No prazo")))))))</f>
        <v/>
      </c>
      <c r="L184" s="138" t="str">
        <f>IF(OR(B184="",G184="Concluída",G184="Cancelada"),"",IF(E184="Alta",IF(AND(F184&lt;&gt;"",F184-Hoje&lt;=3),"1 · Fazer já","2 · Agendar"),IF(AND(F184&lt;&gt;"",F184-Hoje&lt;=3),"3 · Resolver rápido","4 · Depois")))</f>
        <v/>
      </c>
      <c r="M184" s="129" t="n"/>
      <c r="N184" t="str">
        <f>IF(AND(B184&lt;&gt;"",G184&lt;&gt;"Concluída",G184&lt;&gt;"Cancelada",F184&lt;&gt;""),F184+ROW()/100000,"")</f>
        <v/>
      </c>
    </row>
    <row r="185">
      <c r="B185" s="129" t="n"/>
      <c r="C185" s="129" t="n"/>
      <c r="D185" s="129" t="n"/>
      <c r="E185" s="129" t="n"/>
      <c r="F185" s="130" t="n"/>
      <c r="G185" s="129" t="n"/>
      <c r="H185" s="130" t="n"/>
      <c r="I185" s="129" t="n"/>
      <c r="J185" s="134" t="str">
        <f>IF(OR(B185="",F185="",G185="Concluída",G185="Cancelada"),"",F185-Hoje)</f>
        <v/>
      </c>
      <c r="K185" s="138" t="str">
        <f>IF(B185="","",IF(G185="Concluída","✔ Feita",IF(G185="Cancelada","– Cancelada",IF(F185="","○ Sem prazo",IF(F185&lt;Hoje,"✖ Atrasada",IF(F185=Hoje,"▲ Vence hoje",IF(F185-Hoje&lt;=7,"▲ Próximos 7 dias","○ No prazo")))))))</f>
        <v/>
      </c>
      <c r="L185" s="138" t="str">
        <f>IF(OR(B185="",G185="Concluída",G185="Cancelada"),"",IF(E185="Alta",IF(AND(F185&lt;&gt;"",F185-Hoje&lt;=3),"1 · Fazer já","2 · Agendar"),IF(AND(F185&lt;&gt;"",F185-Hoje&lt;=3),"3 · Resolver rápido","4 · Depois")))</f>
        <v/>
      </c>
      <c r="M185" s="129" t="n"/>
      <c r="N185" t="str">
        <f>IF(AND(B185&lt;&gt;"",G185&lt;&gt;"Concluída",G185&lt;&gt;"Cancelada",F185&lt;&gt;""),F185+ROW()/100000,"")</f>
        <v/>
      </c>
    </row>
    <row r="186">
      <c r="B186" s="129" t="n"/>
      <c r="C186" s="129" t="n"/>
      <c r="D186" s="129" t="n"/>
      <c r="E186" s="129" t="n"/>
      <c r="F186" s="130" t="n"/>
      <c r="G186" s="129" t="n"/>
      <c r="H186" s="130" t="n"/>
      <c r="I186" s="129" t="n"/>
      <c r="J186" s="134" t="str">
        <f>IF(OR(B186="",F186="",G186="Concluída",G186="Cancelada"),"",F186-Hoje)</f>
        <v/>
      </c>
      <c r="K186" s="138" t="str">
        <f>IF(B186="","",IF(G186="Concluída","✔ Feita",IF(G186="Cancelada","– Cancelada",IF(F186="","○ Sem prazo",IF(F186&lt;Hoje,"✖ Atrasada",IF(F186=Hoje,"▲ Vence hoje",IF(F186-Hoje&lt;=7,"▲ Próximos 7 dias","○ No prazo")))))))</f>
        <v/>
      </c>
      <c r="L186" s="138" t="str">
        <f>IF(OR(B186="",G186="Concluída",G186="Cancelada"),"",IF(E186="Alta",IF(AND(F186&lt;&gt;"",F186-Hoje&lt;=3),"1 · Fazer já","2 · Agendar"),IF(AND(F186&lt;&gt;"",F186-Hoje&lt;=3),"3 · Resolver rápido","4 · Depois")))</f>
        <v/>
      </c>
      <c r="M186" s="129" t="n"/>
      <c r="N186" t="str">
        <f>IF(AND(B186&lt;&gt;"",G186&lt;&gt;"Concluída",G186&lt;&gt;"Cancelada",F186&lt;&gt;""),F186+ROW()/100000,"")</f>
        <v/>
      </c>
    </row>
    <row r="187">
      <c r="B187" s="129" t="n"/>
      <c r="C187" s="129" t="n"/>
      <c r="D187" s="129" t="n"/>
      <c r="E187" s="129" t="n"/>
      <c r="F187" s="130" t="n"/>
      <c r="G187" s="129" t="n"/>
      <c r="H187" s="130" t="n"/>
      <c r="I187" s="129" t="n"/>
      <c r="J187" s="134" t="str">
        <f>IF(OR(B187="",F187="",G187="Concluída",G187="Cancelada"),"",F187-Hoje)</f>
        <v/>
      </c>
      <c r="K187" s="138" t="str">
        <f>IF(B187="","",IF(G187="Concluída","✔ Feita",IF(G187="Cancelada","– Cancelada",IF(F187="","○ Sem prazo",IF(F187&lt;Hoje,"✖ Atrasada",IF(F187=Hoje,"▲ Vence hoje",IF(F187-Hoje&lt;=7,"▲ Próximos 7 dias","○ No prazo")))))))</f>
        <v/>
      </c>
      <c r="L187" s="138" t="str">
        <f>IF(OR(B187="",G187="Concluída",G187="Cancelada"),"",IF(E187="Alta",IF(AND(F187&lt;&gt;"",F187-Hoje&lt;=3),"1 · Fazer já","2 · Agendar"),IF(AND(F187&lt;&gt;"",F187-Hoje&lt;=3),"3 · Resolver rápido","4 · Depois")))</f>
        <v/>
      </c>
      <c r="M187" s="129" t="n"/>
      <c r="N187" t="str">
        <f>IF(AND(B187&lt;&gt;"",G187&lt;&gt;"Concluída",G187&lt;&gt;"Cancelada",F187&lt;&gt;""),F187+ROW()/100000,"")</f>
        <v/>
      </c>
    </row>
    <row r="188">
      <c r="B188" s="129" t="n"/>
      <c r="C188" s="129" t="n"/>
      <c r="D188" s="129" t="n"/>
      <c r="E188" s="129" t="n"/>
      <c r="F188" s="130" t="n"/>
      <c r="G188" s="129" t="n"/>
      <c r="H188" s="130" t="n"/>
      <c r="I188" s="129" t="n"/>
      <c r="J188" s="134" t="str">
        <f>IF(OR(B188="",F188="",G188="Concluída",G188="Cancelada"),"",F188-Hoje)</f>
        <v/>
      </c>
      <c r="K188" s="138" t="str">
        <f>IF(B188="","",IF(G188="Concluída","✔ Feita",IF(G188="Cancelada","– Cancelada",IF(F188="","○ Sem prazo",IF(F188&lt;Hoje,"✖ Atrasada",IF(F188=Hoje,"▲ Vence hoje",IF(F188-Hoje&lt;=7,"▲ Próximos 7 dias","○ No prazo")))))))</f>
        <v/>
      </c>
      <c r="L188" s="138" t="str">
        <f>IF(OR(B188="",G188="Concluída",G188="Cancelada"),"",IF(E188="Alta",IF(AND(F188&lt;&gt;"",F188-Hoje&lt;=3),"1 · Fazer já","2 · Agendar"),IF(AND(F188&lt;&gt;"",F188-Hoje&lt;=3),"3 · Resolver rápido","4 · Depois")))</f>
        <v/>
      </c>
      <c r="M188" s="129" t="n"/>
      <c r="N188" t="str">
        <f>IF(AND(B188&lt;&gt;"",G188&lt;&gt;"Concluída",G188&lt;&gt;"Cancelada",F188&lt;&gt;""),F188+ROW()/100000,"")</f>
        <v/>
      </c>
    </row>
    <row r="189">
      <c r="B189" s="129" t="n"/>
      <c r="C189" s="129" t="n"/>
      <c r="D189" s="129" t="n"/>
      <c r="E189" s="129" t="n"/>
      <c r="F189" s="130" t="n"/>
      <c r="G189" s="129" t="n"/>
      <c r="H189" s="130" t="n"/>
      <c r="I189" s="129" t="n"/>
      <c r="J189" s="134" t="str">
        <f>IF(OR(B189="",F189="",G189="Concluída",G189="Cancelada"),"",F189-Hoje)</f>
        <v/>
      </c>
      <c r="K189" s="138" t="str">
        <f>IF(B189="","",IF(G189="Concluída","✔ Feita",IF(G189="Cancelada","– Cancelada",IF(F189="","○ Sem prazo",IF(F189&lt;Hoje,"✖ Atrasada",IF(F189=Hoje,"▲ Vence hoje",IF(F189-Hoje&lt;=7,"▲ Próximos 7 dias","○ No prazo")))))))</f>
        <v/>
      </c>
      <c r="L189" s="138" t="str">
        <f>IF(OR(B189="",G189="Concluída",G189="Cancelada"),"",IF(E189="Alta",IF(AND(F189&lt;&gt;"",F189-Hoje&lt;=3),"1 · Fazer já","2 · Agendar"),IF(AND(F189&lt;&gt;"",F189-Hoje&lt;=3),"3 · Resolver rápido","4 · Depois")))</f>
        <v/>
      </c>
      <c r="M189" s="129" t="n"/>
      <c r="N189" t="str">
        <f>IF(AND(B189&lt;&gt;"",G189&lt;&gt;"Concluída",G189&lt;&gt;"Cancelada",F189&lt;&gt;""),F189+ROW()/100000,"")</f>
        <v/>
      </c>
    </row>
    <row r="190">
      <c r="B190" s="129" t="n"/>
      <c r="C190" s="129" t="n"/>
      <c r="D190" s="129" t="n"/>
      <c r="E190" s="129" t="n"/>
      <c r="F190" s="130" t="n"/>
      <c r="G190" s="129" t="n"/>
      <c r="H190" s="130" t="n"/>
      <c r="I190" s="129" t="n"/>
      <c r="J190" s="134" t="str">
        <f>IF(OR(B190="",F190="",G190="Concluída",G190="Cancelada"),"",F190-Hoje)</f>
        <v/>
      </c>
      <c r="K190" s="138" t="str">
        <f>IF(B190="","",IF(G190="Concluída","✔ Feita",IF(G190="Cancelada","– Cancelada",IF(F190="","○ Sem prazo",IF(F190&lt;Hoje,"✖ Atrasada",IF(F190=Hoje,"▲ Vence hoje",IF(F190-Hoje&lt;=7,"▲ Próximos 7 dias","○ No prazo")))))))</f>
        <v/>
      </c>
      <c r="L190" s="138" t="str">
        <f>IF(OR(B190="",G190="Concluída",G190="Cancelada"),"",IF(E190="Alta",IF(AND(F190&lt;&gt;"",F190-Hoje&lt;=3),"1 · Fazer já","2 · Agendar"),IF(AND(F190&lt;&gt;"",F190-Hoje&lt;=3),"3 · Resolver rápido","4 · Depois")))</f>
        <v/>
      </c>
      <c r="M190" s="129" t="n"/>
      <c r="N190" t="str">
        <f>IF(AND(B190&lt;&gt;"",G190&lt;&gt;"Concluída",G190&lt;&gt;"Cancelada",F190&lt;&gt;""),F190+ROW()/100000,"")</f>
        <v/>
      </c>
    </row>
    <row r="191">
      <c r="B191" s="129" t="n"/>
      <c r="C191" s="129" t="n"/>
      <c r="D191" s="129" t="n"/>
      <c r="E191" s="129" t="n"/>
      <c r="F191" s="130" t="n"/>
      <c r="G191" s="129" t="n"/>
      <c r="H191" s="130" t="n"/>
      <c r="I191" s="129" t="n"/>
      <c r="J191" s="134" t="str">
        <f>IF(OR(B191="",F191="",G191="Concluída",G191="Cancelada"),"",F191-Hoje)</f>
        <v/>
      </c>
      <c r="K191" s="138" t="str">
        <f>IF(B191="","",IF(G191="Concluída","✔ Feita",IF(G191="Cancelada","– Cancelada",IF(F191="","○ Sem prazo",IF(F191&lt;Hoje,"✖ Atrasada",IF(F191=Hoje,"▲ Vence hoje",IF(F191-Hoje&lt;=7,"▲ Próximos 7 dias","○ No prazo")))))))</f>
        <v/>
      </c>
      <c r="L191" s="138" t="str">
        <f>IF(OR(B191="",G191="Concluída",G191="Cancelada"),"",IF(E191="Alta",IF(AND(F191&lt;&gt;"",F191-Hoje&lt;=3),"1 · Fazer já","2 · Agendar"),IF(AND(F191&lt;&gt;"",F191-Hoje&lt;=3),"3 · Resolver rápido","4 · Depois")))</f>
        <v/>
      </c>
      <c r="M191" s="129" t="n"/>
      <c r="N191" t="str">
        <f>IF(AND(B191&lt;&gt;"",G191&lt;&gt;"Concluída",G191&lt;&gt;"Cancelada",F191&lt;&gt;""),F191+ROW()/100000,"")</f>
        <v/>
      </c>
    </row>
    <row r="192">
      <c r="B192" s="129" t="n"/>
      <c r="C192" s="129" t="n"/>
      <c r="D192" s="129" t="n"/>
      <c r="E192" s="129" t="n"/>
      <c r="F192" s="130" t="n"/>
      <c r="G192" s="129" t="n"/>
      <c r="H192" s="130" t="n"/>
      <c r="I192" s="129" t="n"/>
      <c r="J192" s="134" t="str">
        <f>IF(OR(B192="",F192="",G192="Concluída",G192="Cancelada"),"",F192-Hoje)</f>
        <v/>
      </c>
      <c r="K192" s="138" t="str">
        <f>IF(B192="","",IF(G192="Concluída","✔ Feita",IF(G192="Cancelada","– Cancelada",IF(F192="","○ Sem prazo",IF(F192&lt;Hoje,"✖ Atrasada",IF(F192=Hoje,"▲ Vence hoje",IF(F192-Hoje&lt;=7,"▲ Próximos 7 dias","○ No prazo")))))))</f>
        <v/>
      </c>
      <c r="L192" s="138" t="str">
        <f>IF(OR(B192="",G192="Concluída",G192="Cancelada"),"",IF(E192="Alta",IF(AND(F192&lt;&gt;"",F192-Hoje&lt;=3),"1 · Fazer já","2 · Agendar"),IF(AND(F192&lt;&gt;"",F192-Hoje&lt;=3),"3 · Resolver rápido","4 · Depois")))</f>
        <v/>
      </c>
      <c r="M192" s="129" t="n"/>
      <c r="N192" t="str">
        <f>IF(AND(B192&lt;&gt;"",G192&lt;&gt;"Concluída",G192&lt;&gt;"Cancelada",F192&lt;&gt;""),F192+ROW()/100000,"")</f>
        <v/>
      </c>
    </row>
    <row r="193">
      <c r="B193" s="129" t="n"/>
      <c r="C193" s="129" t="n"/>
      <c r="D193" s="129" t="n"/>
      <c r="E193" s="129" t="n"/>
      <c r="F193" s="130" t="n"/>
      <c r="G193" s="129" t="n"/>
      <c r="H193" s="130" t="n"/>
      <c r="I193" s="129" t="n"/>
      <c r="J193" s="134" t="str">
        <f>IF(OR(B193="",F193="",G193="Concluída",G193="Cancelada"),"",F193-Hoje)</f>
        <v/>
      </c>
      <c r="K193" s="138" t="str">
        <f>IF(B193="","",IF(G193="Concluída","✔ Feita",IF(G193="Cancelada","– Cancelada",IF(F193="","○ Sem prazo",IF(F193&lt;Hoje,"✖ Atrasada",IF(F193=Hoje,"▲ Vence hoje",IF(F193-Hoje&lt;=7,"▲ Próximos 7 dias","○ No prazo")))))))</f>
        <v/>
      </c>
      <c r="L193" s="138" t="str">
        <f>IF(OR(B193="",G193="Concluída",G193="Cancelada"),"",IF(E193="Alta",IF(AND(F193&lt;&gt;"",F193-Hoje&lt;=3),"1 · Fazer já","2 · Agendar"),IF(AND(F193&lt;&gt;"",F193-Hoje&lt;=3),"3 · Resolver rápido","4 · Depois")))</f>
        <v/>
      </c>
      <c r="M193" s="129" t="n"/>
      <c r="N193" t="str">
        <f>IF(AND(B193&lt;&gt;"",G193&lt;&gt;"Concluída",G193&lt;&gt;"Cancelada",F193&lt;&gt;""),F193+ROW()/100000,"")</f>
        <v/>
      </c>
    </row>
    <row r="194">
      <c r="B194" s="129" t="n"/>
      <c r="C194" s="129" t="n"/>
      <c r="D194" s="129" t="n"/>
      <c r="E194" s="129" t="n"/>
      <c r="F194" s="130" t="n"/>
      <c r="G194" s="129" t="n"/>
      <c r="H194" s="130" t="n"/>
      <c r="I194" s="129" t="n"/>
      <c r="J194" s="134" t="str">
        <f>IF(OR(B194="",F194="",G194="Concluída",G194="Cancelada"),"",F194-Hoje)</f>
        <v/>
      </c>
      <c r="K194" s="138" t="str">
        <f>IF(B194="","",IF(G194="Concluída","✔ Feita",IF(G194="Cancelada","– Cancelada",IF(F194="","○ Sem prazo",IF(F194&lt;Hoje,"✖ Atrasada",IF(F194=Hoje,"▲ Vence hoje",IF(F194-Hoje&lt;=7,"▲ Próximos 7 dias","○ No prazo")))))))</f>
        <v/>
      </c>
      <c r="L194" s="138" t="str">
        <f>IF(OR(B194="",G194="Concluída",G194="Cancelada"),"",IF(E194="Alta",IF(AND(F194&lt;&gt;"",F194-Hoje&lt;=3),"1 · Fazer já","2 · Agendar"),IF(AND(F194&lt;&gt;"",F194-Hoje&lt;=3),"3 · Resolver rápido","4 · Depois")))</f>
        <v/>
      </c>
      <c r="M194" s="129" t="n"/>
      <c r="N194" t="str">
        <f>IF(AND(B194&lt;&gt;"",G194&lt;&gt;"Concluída",G194&lt;&gt;"Cancelada",F194&lt;&gt;""),F194+ROW()/100000,"")</f>
        <v/>
      </c>
    </row>
    <row r="195">
      <c r="B195" s="129" t="n"/>
      <c r="C195" s="129" t="n"/>
      <c r="D195" s="129" t="n"/>
      <c r="E195" s="129" t="n"/>
      <c r="F195" s="130" t="n"/>
      <c r="G195" s="129" t="n"/>
      <c r="H195" s="130" t="n"/>
      <c r="I195" s="129" t="n"/>
      <c r="J195" s="134" t="str">
        <f>IF(OR(B195="",F195="",G195="Concluída",G195="Cancelada"),"",F195-Hoje)</f>
        <v/>
      </c>
      <c r="K195" s="138" t="str">
        <f>IF(B195="","",IF(G195="Concluída","✔ Feita",IF(G195="Cancelada","– Cancelada",IF(F195="","○ Sem prazo",IF(F195&lt;Hoje,"✖ Atrasada",IF(F195=Hoje,"▲ Vence hoje",IF(F195-Hoje&lt;=7,"▲ Próximos 7 dias","○ No prazo")))))))</f>
        <v/>
      </c>
      <c r="L195" s="138" t="str">
        <f>IF(OR(B195="",G195="Concluída",G195="Cancelada"),"",IF(E195="Alta",IF(AND(F195&lt;&gt;"",F195-Hoje&lt;=3),"1 · Fazer já","2 · Agendar"),IF(AND(F195&lt;&gt;"",F195-Hoje&lt;=3),"3 · Resolver rápido","4 · Depois")))</f>
        <v/>
      </c>
      <c r="M195" s="129" t="n"/>
      <c r="N195" t="str">
        <f>IF(AND(B195&lt;&gt;"",G195&lt;&gt;"Concluída",G195&lt;&gt;"Cancelada",F195&lt;&gt;""),F195+ROW()/100000,"")</f>
        <v/>
      </c>
    </row>
    <row r="196">
      <c r="B196" s="129" t="n"/>
      <c r="C196" s="129" t="n"/>
      <c r="D196" s="129" t="n"/>
      <c r="E196" s="129" t="n"/>
      <c r="F196" s="130" t="n"/>
      <c r="G196" s="129" t="n"/>
      <c r="H196" s="130" t="n"/>
      <c r="I196" s="129" t="n"/>
      <c r="J196" s="134" t="str">
        <f>IF(OR(B196="",F196="",G196="Concluída",G196="Cancelada"),"",F196-Hoje)</f>
        <v/>
      </c>
      <c r="K196" s="138" t="str">
        <f>IF(B196="","",IF(G196="Concluída","✔ Feita",IF(G196="Cancelada","– Cancelada",IF(F196="","○ Sem prazo",IF(F196&lt;Hoje,"✖ Atrasada",IF(F196=Hoje,"▲ Vence hoje",IF(F196-Hoje&lt;=7,"▲ Próximos 7 dias","○ No prazo")))))))</f>
        <v/>
      </c>
      <c r="L196" s="138" t="str">
        <f>IF(OR(B196="",G196="Concluída",G196="Cancelada"),"",IF(E196="Alta",IF(AND(F196&lt;&gt;"",F196-Hoje&lt;=3),"1 · Fazer já","2 · Agendar"),IF(AND(F196&lt;&gt;"",F196-Hoje&lt;=3),"3 · Resolver rápido","4 · Depois")))</f>
        <v/>
      </c>
      <c r="M196" s="129" t="n"/>
      <c r="N196" t="str">
        <f>IF(AND(B196&lt;&gt;"",G196&lt;&gt;"Concluída",G196&lt;&gt;"Cancelada",F196&lt;&gt;""),F196+ROW()/100000,"")</f>
        <v/>
      </c>
    </row>
    <row r="197">
      <c r="B197" s="129" t="n"/>
      <c r="C197" s="129" t="n"/>
      <c r="D197" s="129" t="n"/>
      <c r="E197" s="129" t="n"/>
      <c r="F197" s="130" t="n"/>
      <c r="G197" s="129" t="n"/>
      <c r="H197" s="130" t="n"/>
      <c r="I197" s="129" t="n"/>
      <c r="J197" s="134" t="str">
        <f>IF(OR(B197="",F197="",G197="Concluída",G197="Cancelada"),"",F197-Hoje)</f>
        <v/>
      </c>
      <c r="K197" s="138" t="str">
        <f>IF(B197="","",IF(G197="Concluída","✔ Feita",IF(G197="Cancelada","– Cancelada",IF(F197="","○ Sem prazo",IF(F197&lt;Hoje,"✖ Atrasada",IF(F197=Hoje,"▲ Vence hoje",IF(F197-Hoje&lt;=7,"▲ Próximos 7 dias","○ No prazo")))))))</f>
        <v/>
      </c>
      <c r="L197" s="138" t="str">
        <f>IF(OR(B197="",G197="Concluída",G197="Cancelada"),"",IF(E197="Alta",IF(AND(F197&lt;&gt;"",F197-Hoje&lt;=3),"1 · Fazer já","2 · Agendar"),IF(AND(F197&lt;&gt;"",F197-Hoje&lt;=3),"3 · Resolver rápido","4 · Depois")))</f>
        <v/>
      </c>
      <c r="M197" s="129" t="n"/>
      <c r="N197" t="str">
        <f>IF(AND(B197&lt;&gt;"",G197&lt;&gt;"Concluída",G197&lt;&gt;"Cancelada",F197&lt;&gt;""),F197+ROW()/100000,"")</f>
        <v/>
      </c>
    </row>
    <row r="198">
      <c r="B198" s="129" t="n"/>
      <c r="C198" s="129" t="n"/>
      <c r="D198" s="129" t="n"/>
      <c r="E198" s="129" t="n"/>
      <c r="F198" s="130" t="n"/>
      <c r="G198" s="129" t="n"/>
      <c r="H198" s="130" t="n"/>
      <c r="I198" s="129" t="n"/>
      <c r="J198" s="134" t="str">
        <f>IF(OR(B198="",F198="",G198="Concluída",G198="Cancelada"),"",F198-Hoje)</f>
        <v/>
      </c>
      <c r="K198" s="138" t="str">
        <f>IF(B198="","",IF(G198="Concluída","✔ Feita",IF(G198="Cancelada","– Cancelada",IF(F198="","○ Sem prazo",IF(F198&lt;Hoje,"✖ Atrasada",IF(F198=Hoje,"▲ Vence hoje",IF(F198-Hoje&lt;=7,"▲ Próximos 7 dias","○ No prazo")))))))</f>
        <v/>
      </c>
      <c r="L198" s="138" t="str">
        <f>IF(OR(B198="",G198="Concluída",G198="Cancelada"),"",IF(E198="Alta",IF(AND(F198&lt;&gt;"",F198-Hoje&lt;=3),"1 · Fazer já","2 · Agendar"),IF(AND(F198&lt;&gt;"",F198-Hoje&lt;=3),"3 · Resolver rápido","4 · Depois")))</f>
        <v/>
      </c>
      <c r="M198" s="129" t="n"/>
      <c r="N198" t="str">
        <f>IF(AND(B198&lt;&gt;"",G198&lt;&gt;"Concluída",G198&lt;&gt;"Cancelada",F198&lt;&gt;""),F198+ROW()/100000,"")</f>
        <v/>
      </c>
    </row>
    <row r="199">
      <c r="B199" s="129" t="n"/>
      <c r="C199" s="129" t="n"/>
      <c r="D199" s="129" t="n"/>
      <c r="E199" s="129" t="n"/>
      <c r="F199" s="130" t="n"/>
      <c r="G199" s="129" t="n"/>
      <c r="H199" s="130" t="n"/>
      <c r="I199" s="129" t="n"/>
      <c r="J199" s="134" t="str">
        <f>IF(OR(B199="",F199="",G199="Concluída",G199="Cancelada"),"",F199-Hoje)</f>
        <v/>
      </c>
      <c r="K199" s="138" t="str">
        <f>IF(B199="","",IF(G199="Concluída","✔ Feita",IF(G199="Cancelada","– Cancelada",IF(F199="","○ Sem prazo",IF(F199&lt;Hoje,"✖ Atrasada",IF(F199=Hoje,"▲ Vence hoje",IF(F199-Hoje&lt;=7,"▲ Próximos 7 dias","○ No prazo")))))))</f>
        <v/>
      </c>
      <c r="L199" s="138" t="str">
        <f>IF(OR(B199="",G199="Concluída",G199="Cancelada"),"",IF(E199="Alta",IF(AND(F199&lt;&gt;"",F199-Hoje&lt;=3),"1 · Fazer já","2 · Agendar"),IF(AND(F199&lt;&gt;"",F199-Hoje&lt;=3),"3 · Resolver rápido","4 · Depois")))</f>
        <v/>
      </c>
      <c r="M199" s="129" t="n"/>
      <c r="N199" t="str">
        <f>IF(AND(B199&lt;&gt;"",G199&lt;&gt;"Concluída",G199&lt;&gt;"Cancelada",F199&lt;&gt;""),F199+ROW()/100000,"")</f>
        <v/>
      </c>
    </row>
    <row r="200">
      <c r="B200" s="129" t="n"/>
      <c r="C200" s="129" t="n"/>
      <c r="D200" s="129" t="n"/>
      <c r="E200" s="129" t="n"/>
      <c r="F200" s="130" t="n"/>
      <c r="G200" s="129" t="n"/>
      <c r="H200" s="130" t="n"/>
      <c r="I200" s="129" t="n"/>
      <c r="J200" s="134" t="str">
        <f>IF(OR(B200="",F200="",G200="Concluída",G200="Cancelada"),"",F200-Hoje)</f>
        <v/>
      </c>
      <c r="K200" s="138" t="str">
        <f>IF(B200="","",IF(G200="Concluída","✔ Feita",IF(G200="Cancelada","– Cancelada",IF(F200="","○ Sem prazo",IF(F200&lt;Hoje,"✖ Atrasada",IF(F200=Hoje,"▲ Vence hoje",IF(F200-Hoje&lt;=7,"▲ Próximos 7 dias","○ No prazo")))))))</f>
        <v/>
      </c>
      <c r="L200" s="138" t="str">
        <f>IF(OR(B200="",G200="Concluída",G200="Cancelada"),"",IF(E200="Alta",IF(AND(F200&lt;&gt;"",F200-Hoje&lt;=3),"1 · Fazer já","2 · Agendar"),IF(AND(F200&lt;&gt;"",F200-Hoje&lt;=3),"3 · Resolver rápido","4 · Depois")))</f>
        <v/>
      </c>
      <c r="M200" s="129" t="n"/>
      <c r="N200" t="str">
        <f>IF(AND(B200&lt;&gt;"",G200&lt;&gt;"Concluída",G200&lt;&gt;"Cancelada",F200&lt;&gt;""),F200+ROW()/100000,"")</f>
        <v/>
      </c>
    </row>
    <row r="201">
      <c r="B201" s="129" t="n"/>
      <c r="C201" s="129" t="n"/>
      <c r="D201" s="129" t="n"/>
      <c r="E201" s="129" t="n"/>
      <c r="F201" s="130" t="n"/>
      <c r="G201" s="129" t="n"/>
      <c r="H201" s="130" t="n"/>
      <c r="I201" s="129" t="n"/>
      <c r="J201" s="134" t="str">
        <f>IF(OR(B201="",F201="",G201="Concluída",G201="Cancelada"),"",F201-Hoje)</f>
        <v/>
      </c>
      <c r="K201" s="138" t="str">
        <f>IF(B201="","",IF(G201="Concluída","✔ Feita",IF(G201="Cancelada","– Cancelada",IF(F201="","○ Sem prazo",IF(F201&lt;Hoje,"✖ Atrasada",IF(F201=Hoje,"▲ Vence hoje",IF(F201-Hoje&lt;=7,"▲ Próximos 7 dias","○ No prazo")))))))</f>
        <v/>
      </c>
      <c r="L201" s="138" t="str">
        <f>IF(OR(B201="",G201="Concluída",G201="Cancelada"),"",IF(E201="Alta",IF(AND(F201&lt;&gt;"",F201-Hoje&lt;=3),"1 · Fazer já","2 · Agendar"),IF(AND(F201&lt;&gt;"",F201-Hoje&lt;=3),"3 · Resolver rápido","4 · Depois")))</f>
        <v/>
      </c>
      <c r="M201" s="129" t="n"/>
      <c r="N201" t="str">
        <f>IF(AND(B201&lt;&gt;"",G201&lt;&gt;"Concluída",G201&lt;&gt;"Cancelada",F201&lt;&gt;""),F201+ROW()/100000,"")</f>
        <v/>
      </c>
    </row>
    <row r="202">
      <c r="B202" s="129" t="n"/>
      <c r="C202" s="129" t="n"/>
      <c r="D202" s="129" t="n"/>
      <c r="E202" s="129" t="n"/>
      <c r="F202" s="130" t="n"/>
      <c r="G202" s="129" t="n"/>
      <c r="H202" s="130" t="n"/>
      <c r="I202" s="129" t="n"/>
      <c r="J202" s="134" t="str">
        <f>IF(OR(B202="",F202="",G202="Concluída",G202="Cancelada"),"",F202-Hoje)</f>
        <v/>
      </c>
      <c r="K202" s="138" t="str">
        <f>IF(B202="","",IF(G202="Concluída","✔ Feita",IF(G202="Cancelada","– Cancelada",IF(F202="","○ Sem prazo",IF(F202&lt;Hoje,"✖ Atrasada",IF(F202=Hoje,"▲ Vence hoje",IF(F202-Hoje&lt;=7,"▲ Próximos 7 dias","○ No prazo")))))))</f>
        <v/>
      </c>
      <c r="L202" s="138" t="str">
        <f>IF(OR(B202="",G202="Concluída",G202="Cancelada"),"",IF(E202="Alta",IF(AND(F202&lt;&gt;"",F202-Hoje&lt;=3),"1 · Fazer já","2 · Agendar"),IF(AND(F202&lt;&gt;"",F202-Hoje&lt;=3),"3 · Resolver rápido","4 · Depois")))</f>
        <v/>
      </c>
      <c r="M202" s="129" t="n"/>
      <c r="N202" t="str">
        <f>IF(AND(B202&lt;&gt;"",G202&lt;&gt;"Concluída",G202&lt;&gt;"Cancelada",F202&lt;&gt;""),F202+ROW()/100000,"")</f>
        <v/>
      </c>
    </row>
    <row r="203">
      <c r="B203" s="129" t="n"/>
      <c r="C203" s="129" t="n"/>
      <c r="D203" s="129" t="n"/>
      <c r="E203" s="129" t="n"/>
      <c r="F203" s="130" t="n"/>
      <c r="G203" s="129" t="n"/>
      <c r="H203" s="130" t="n"/>
      <c r="I203" s="129" t="n"/>
      <c r="J203" s="134" t="str">
        <f>IF(OR(B203="",F203="",G203="Concluída",G203="Cancelada"),"",F203-Hoje)</f>
        <v/>
      </c>
      <c r="K203" s="138" t="str">
        <f>IF(B203="","",IF(G203="Concluída","✔ Feita",IF(G203="Cancelada","– Cancelada",IF(F203="","○ Sem prazo",IF(F203&lt;Hoje,"✖ Atrasada",IF(F203=Hoje,"▲ Vence hoje",IF(F203-Hoje&lt;=7,"▲ Próximos 7 dias","○ No prazo")))))))</f>
        <v/>
      </c>
      <c r="L203" s="138" t="str">
        <f>IF(OR(B203="",G203="Concluída",G203="Cancelada"),"",IF(E203="Alta",IF(AND(F203&lt;&gt;"",F203-Hoje&lt;=3),"1 · Fazer já","2 · Agendar"),IF(AND(F203&lt;&gt;"",F203-Hoje&lt;=3),"3 · Resolver rápido","4 · Depois")))</f>
        <v/>
      </c>
      <c r="M203" s="129" t="n"/>
      <c r="N203" t="str">
        <f>IF(AND(B203&lt;&gt;"",G203&lt;&gt;"Concluída",G203&lt;&gt;"Cancelada",F203&lt;&gt;""),F203+ROW()/100000,"")</f>
        <v/>
      </c>
    </row>
    <row r="204">
      <c r="B204" s="129" t="n"/>
      <c r="C204" s="129" t="n"/>
      <c r="D204" s="129" t="n"/>
      <c r="E204" s="129" t="n"/>
      <c r="F204" s="130" t="n"/>
      <c r="G204" s="129" t="n"/>
      <c r="H204" s="130" t="n"/>
      <c r="I204" s="129" t="n"/>
      <c r="J204" s="134" t="str">
        <f>IF(OR(B204="",F204="",G204="Concluída",G204="Cancelada"),"",F204-Hoje)</f>
        <v/>
      </c>
      <c r="K204" s="138" t="str">
        <f>IF(B204="","",IF(G204="Concluída","✔ Feita",IF(G204="Cancelada","– Cancelada",IF(F204="","○ Sem prazo",IF(F204&lt;Hoje,"✖ Atrasada",IF(F204=Hoje,"▲ Vence hoje",IF(F204-Hoje&lt;=7,"▲ Próximos 7 dias","○ No prazo")))))))</f>
        <v/>
      </c>
      <c r="L204" s="138" t="str">
        <f>IF(OR(B204="",G204="Concluída",G204="Cancelada"),"",IF(E204="Alta",IF(AND(F204&lt;&gt;"",F204-Hoje&lt;=3),"1 · Fazer já","2 · Agendar"),IF(AND(F204&lt;&gt;"",F204-Hoje&lt;=3),"3 · Resolver rápido","4 · Depois")))</f>
        <v/>
      </c>
      <c r="M204" s="129" t="n"/>
      <c r="N204" t="str">
        <f>IF(AND(B204&lt;&gt;"",G204&lt;&gt;"Concluída",G204&lt;&gt;"Cancelada",F204&lt;&gt;""),F204+ROW()/100000,"")</f>
        <v/>
      </c>
    </row>
    <row r="205">
      <c r="B205" s="129" t="n"/>
      <c r="C205" s="129" t="n"/>
      <c r="D205" s="129" t="n"/>
      <c r="E205" s="129" t="n"/>
      <c r="F205" s="130" t="n"/>
      <c r="G205" s="129" t="n"/>
      <c r="H205" s="130" t="n"/>
      <c r="I205" s="129" t="n"/>
      <c r="J205" s="134" t="str">
        <f>IF(OR(B205="",F205="",G205="Concluída",G205="Cancelada"),"",F205-Hoje)</f>
        <v/>
      </c>
      <c r="K205" s="138" t="str">
        <f>IF(B205="","",IF(G205="Concluída","✔ Feita",IF(G205="Cancelada","– Cancelada",IF(F205="","○ Sem prazo",IF(F205&lt;Hoje,"✖ Atrasada",IF(F205=Hoje,"▲ Vence hoje",IF(F205-Hoje&lt;=7,"▲ Próximos 7 dias","○ No prazo")))))))</f>
        <v/>
      </c>
      <c r="L205" s="138" t="str">
        <f>IF(OR(B205="",G205="Concluída",G205="Cancelada"),"",IF(E205="Alta",IF(AND(F205&lt;&gt;"",F205-Hoje&lt;=3),"1 · Fazer já","2 · Agendar"),IF(AND(F205&lt;&gt;"",F205-Hoje&lt;=3),"3 · Resolver rápido","4 · Depois")))</f>
        <v/>
      </c>
      <c r="M205" s="129" t="n"/>
      <c r="N205" t="str">
        <f>IF(AND(B205&lt;&gt;"",G205&lt;&gt;"Concluída",G205&lt;&gt;"Cancelada",F205&lt;&gt;""),F205+ROW()/100000,"")</f>
        <v/>
      </c>
    </row>
    <row r="206">
      <c r="B206" s="129" t="n"/>
      <c r="C206" s="129" t="n"/>
      <c r="D206" s="129" t="n"/>
      <c r="E206" s="129" t="n"/>
      <c r="F206" s="130" t="n"/>
      <c r="G206" s="129" t="n"/>
      <c r="H206" s="130" t="n"/>
      <c r="I206" s="129" t="n"/>
      <c r="J206" s="134" t="str">
        <f>IF(OR(B206="",F206="",G206="Concluída",G206="Cancelada"),"",F206-Hoje)</f>
        <v/>
      </c>
      <c r="K206" s="138" t="str">
        <f>IF(B206="","",IF(G206="Concluída","✔ Feita",IF(G206="Cancelada","– Cancelada",IF(F206="","○ Sem prazo",IF(F206&lt;Hoje,"✖ Atrasada",IF(F206=Hoje,"▲ Vence hoje",IF(F206-Hoje&lt;=7,"▲ Próximos 7 dias","○ No prazo")))))))</f>
        <v/>
      </c>
      <c r="L206" s="138" t="str">
        <f>IF(OR(B206="",G206="Concluída",G206="Cancelada"),"",IF(E206="Alta",IF(AND(F206&lt;&gt;"",F206-Hoje&lt;=3),"1 · Fazer já","2 · Agendar"),IF(AND(F206&lt;&gt;"",F206-Hoje&lt;=3),"3 · Resolver rápido","4 · Depois")))</f>
        <v/>
      </c>
      <c r="M206" s="129" t="n"/>
      <c r="N206" t="str">
        <f>IF(AND(B206&lt;&gt;"",G206&lt;&gt;"Concluída",G206&lt;&gt;"Cancelada",F206&lt;&gt;""),F206+ROW()/100000,"")</f>
        <v/>
      </c>
    </row>
    <row r="207">
      <c r="B207" s="129" t="n"/>
      <c r="C207" s="129" t="n"/>
      <c r="D207" s="129" t="n"/>
      <c r="E207" s="129" t="n"/>
      <c r="F207" s="130" t="n"/>
      <c r="G207" s="129" t="n"/>
      <c r="H207" s="130" t="n"/>
      <c r="I207" s="129" t="n"/>
      <c r="J207" s="134" t="str">
        <f>IF(OR(B207="",F207="",G207="Concluída",G207="Cancelada"),"",F207-Hoje)</f>
        <v/>
      </c>
      <c r="K207" s="138" t="str">
        <f>IF(B207="","",IF(G207="Concluída","✔ Feita",IF(G207="Cancelada","– Cancelada",IF(F207="","○ Sem prazo",IF(F207&lt;Hoje,"✖ Atrasada",IF(F207=Hoje,"▲ Vence hoje",IF(F207-Hoje&lt;=7,"▲ Próximos 7 dias","○ No prazo")))))))</f>
        <v/>
      </c>
      <c r="L207" s="138" t="str">
        <f>IF(OR(B207="",G207="Concluída",G207="Cancelada"),"",IF(E207="Alta",IF(AND(F207&lt;&gt;"",F207-Hoje&lt;=3),"1 · Fazer já","2 · Agendar"),IF(AND(F207&lt;&gt;"",F207-Hoje&lt;=3),"3 · Resolver rápido","4 · Depois")))</f>
        <v/>
      </c>
      <c r="M207" s="129" t="n"/>
      <c r="N207" t="str">
        <f>IF(AND(B207&lt;&gt;"",G207&lt;&gt;"Concluída",G207&lt;&gt;"Cancelada",F207&lt;&gt;""),F207+ROW()/100000,"")</f>
        <v/>
      </c>
    </row>
    <row r="208">
      <c r="B208" s="129" t="n"/>
      <c r="C208" s="129" t="n"/>
      <c r="D208" s="129" t="n"/>
      <c r="E208" s="129" t="n"/>
      <c r="F208" s="130" t="n"/>
      <c r="G208" s="129" t="n"/>
      <c r="H208" s="130" t="n"/>
      <c r="I208" s="129" t="n"/>
      <c r="J208" s="134" t="str">
        <f>IF(OR(B208="",F208="",G208="Concluída",G208="Cancelada"),"",F208-Hoje)</f>
        <v/>
      </c>
      <c r="K208" s="138" t="str">
        <f>IF(B208="","",IF(G208="Concluída","✔ Feita",IF(G208="Cancelada","– Cancelada",IF(F208="","○ Sem prazo",IF(F208&lt;Hoje,"✖ Atrasada",IF(F208=Hoje,"▲ Vence hoje",IF(F208-Hoje&lt;=7,"▲ Próximos 7 dias","○ No prazo")))))))</f>
        <v/>
      </c>
      <c r="L208" s="138" t="str">
        <f>IF(OR(B208="",G208="Concluída",G208="Cancelada"),"",IF(E208="Alta",IF(AND(F208&lt;&gt;"",F208-Hoje&lt;=3),"1 · Fazer já","2 · Agendar"),IF(AND(F208&lt;&gt;"",F208-Hoje&lt;=3),"3 · Resolver rápido","4 · Depois")))</f>
        <v/>
      </c>
      <c r="M208" s="129" t="n"/>
      <c r="N208" t="str">
        <f>IF(AND(B208&lt;&gt;"",G208&lt;&gt;"Concluída",G208&lt;&gt;"Cancelada",F208&lt;&gt;""),F208+ROW()/100000,"")</f>
        <v/>
      </c>
    </row>
    <row r="209">
      <c r="B209" s="129" t="n"/>
      <c r="C209" s="129" t="n"/>
      <c r="D209" s="129" t="n"/>
      <c r="E209" s="129" t="n"/>
      <c r="F209" s="130" t="n"/>
      <c r="G209" s="129" t="n"/>
      <c r="H209" s="130" t="n"/>
      <c r="I209" s="129" t="n"/>
      <c r="J209" s="134" t="str">
        <f>IF(OR(B209="",F209="",G209="Concluída",G209="Cancelada"),"",F209-Hoje)</f>
        <v/>
      </c>
      <c r="K209" s="138" t="str">
        <f>IF(B209="","",IF(G209="Concluída","✔ Feita",IF(G209="Cancelada","– Cancelada",IF(F209="","○ Sem prazo",IF(F209&lt;Hoje,"✖ Atrasada",IF(F209=Hoje,"▲ Vence hoje",IF(F209-Hoje&lt;=7,"▲ Próximos 7 dias","○ No prazo")))))))</f>
        <v/>
      </c>
      <c r="L209" s="138" t="str">
        <f>IF(OR(B209="",G209="Concluída",G209="Cancelada"),"",IF(E209="Alta",IF(AND(F209&lt;&gt;"",F209-Hoje&lt;=3),"1 · Fazer já","2 · Agendar"),IF(AND(F209&lt;&gt;"",F209-Hoje&lt;=3),"3 · Resolver rápido","4 · Depois")))</f>
        <v/>
      </c>
      <c r="M209" s="129" t="n"/>
      <c r="N209" t="str">
        <f>IF(AND(B209&lt;&gt;"",G209&lt;&gt;"Concluída",G209&lt;&gt;"Cancelada",F209&lt;&gt;""),F209+ROW()/100000,"")</f>
        <v/>
      </c>
    </row>
    <row r="210">
      <c r="B210" s="129" t="n"/>
      <c r="C210" s="129" t="n"/>
      <c r="D210" s="129" t="n"/>
      <c r="E210" s="129" t="n"/>
      <c r="F210" s="130" t="n"/>
      <c r="G210" s="129" t="n"/>
      <c r="H210" s="130" t="n"/>
      <c r="I210" s="129" t="n"/>
      <c r="J210" s="134" t="str">
        <f>IF(OR(B210="",F210="",G210="Concluída",G210="Cancelada"),"",F210-Hoje)</f>
        <v/>
      </c>
      <c r="K210" s="138" t="str">
        <f>IF(B210="","",IF(G210="Concluída","✔ Feita",IF(G210="Cancelada","– Cancelada",IF(F210="","○ Sem prazo",IF(F210&lt;Hoje,"✖ Atrasada",IF(F210=Hoje,"▲ Vence hoje",IF(F210-Hoje&lt;=7,"▲ Próximos 7 dias","○ No prazo")))))))</f>
        <v/>
      </c>
      <c r="L210" s="138" t="str">
        <f>IF(OR(B210="",G210="Concluída",G210="Cancelada"),"",IF(E210="Alta",IF(AND(F210&lt;&gt;"",F210-Hoje&lt;=3),"1 · Fazer já","2 · Agendar"),IF(AND(F210&lt;&gt;"",F210-Hoje&lt;=3),"3 · Resolver rápido","4 · Depois")))</f>
        <v/>
      </c>
      <c r="M210" s="129" t="n"/>
      <c r="N210" t="str">
        <f>IF(AND(B210&lt;&gt;"",G210&lt;&gt;"Concluída",G210&lt;&gt;"Cancelada",F210&lt;&gt;""),F210+ROW()/100000,"")</f>
        <v/>
      </c>
    </row>
    <row r="211">
      <c r="B211" s="129" t="n"/>
      <c r="C211" s="129" t="n"/>
      <c r="D211" s="129" t="n"/>
      <c r="E211" s="129" t="n"/>
      <c r="F211" s="130" t="n"/>
      <c r="G211" s="129" t="n"/>
      <c r="H211" s="130" t="n"/>
      <c r="I211" s="129" t="n"/>
      <c r="J211" s="134" t="str">
        <f>IF(OR(B211="",F211="",G211="Concluída",G211="Cancelada"),"",F211-Hoje)</f>
        <v/>
      </c>
      <c r="K211" s="138" t="str">
        <f>IF(B211="","",IF(G211="Concluída","✔ Feita",IF(G211="Cancelada","– Cancelada",IF(F211="","○ Sem prazo",IF(F211&lt;Hoje,"✖ Atrasada",IF(F211=Hoje,"▲ Vence hoje",IF(F211-Hoje&lt;=7,"▲ Próximos 7 dias","○ No prazo")))))))</f>
        <v/>
      </c>
      <c r="L211" s="138" t="str">
        <f>IF(OR(B211="",G211="Concluída",G211="Cancelada"),"",IF(E211="Alta",IF(AND(F211&lt;&gt;"",F211-Hoje&lt;=3),"1 · Fazer já","2 · Agendar"),IF(AND(F211&lt;&gt;"",F211-Hoje&lt;=3),"3 · Resolver rápido","4 · Depois")))</f>
        <v/>
      </c>
      <c r="M211" s="129" t="n"/>
      <c r="N211" t="str">
        <f>IF(AND(B211&lt;&gt;"",G211&lt;&gt;"Concluída",G211&lt;&gt;"Cancelada",F211&lt;&gt;""),F211+ROW()/100000,"")</f>
        <v/>
      </c>
    </row>
    <row r="212">
      <c r="B212" s="129" t="n"/>
      <c r="C212" s="129" t="n"/>
      <c r="D212" s="129" t="n"/>
      <c r="E212" s="129" t="n"/>
      <c r="F212" s="130" t="n"/>
      <c r="G212" s="129" t="n"/>
      <c r="H212" s="130" t="n"/>
      <c r="I212" s="129" t="n"/>
      <c r="J212" s="134" t="str">
        <f>IF(OR(B212="",F212="",G212="Concluída",G212="Cancelada"),"",F212-Hoje)</f>
        <v/>
      </c>
      <c r="K212" s="138" t="str">
        <f>IF(B212="","",IF(G212="Concluída","✔ Feita",IF(G212="Cancelada","– Cancelada",IF(F212="","○ Sem prazo",IF(F212&lt;Hoje,"✖ Atrasada",IF(F212=Hoje,"▲ Vence hoje",IF(F212-Hoje&lt;=7,"▲ Próximos 7 dias","○ No prazo")))))))</f>
        <v/>
      </c>
      <c r="L212" s="138" t="str">
        <f>IF(OR(B212="",G212="Concluída",G212="Cancelada"),"",IF(E212="Alta",IF(AND(F212&lt;&gt;"",F212-Hoje&lt;=3),"1 · Fazer já","2 · Agendar"),IF(AND(F212&lt;&gt;"",F212-Hoje&lt;=3),"3 · Resolver rápido","4 · Depois")))</f>
        <v/>
      </c>
      <c r="M212" s="129" t="n"/>
      <c r="N212" t="str">
        <f>IF(AND(B212&lt;&gt;"",G212&lt;&gt;"Concluída",G212&lt;&gt;"Cancelada",F212&lt;&gt;""),F212+ROW()/100000,"")</f>
        <v/>
      </c>
    </row>
    <row r="213">
      <c r="B213" s="129" t="n"/>
      <c r="C213" s="129" t="n"/>
      <c r="D213" s="129" t="n"/>
      <c r="E213" s="129" t="n"/>
      <c r="F213" s="130" t="n"/>
      <c r="G213" s="129" t="n"/>
      <c r="H213" s="130" t="n"/>
      <c r="I213" s="129" t="n"/>
      <c r="J213" s="134" t="str">
        <f>IF(OR(B213="",F213="",G213="Concluída",G213="Cancelada"),"",F213-Hoje)</f>
        <v/>
      </c>
      <c r="K213" s="138" t="str">
        <f>IF(B213="","",IF(G213="Concluída","✔ Feita",IF(G213="Cancelada","– Cancelada",IF(F213="","○ Sem prazo",IF(F213&lt;Hoje,"✖ Atrasada",IF(F213=Hoje,"▲ Vence hoje",IF(F213-Hoje&lt;=7,"▲ Próximos 7 dias","○ No prazo")))))))</f>
        <v/>
      </c>
      <c r="L213" s="138" t="str">
        <f>IF(OR(B213="",G213="Concluída",G213="Cancelada"),"",IF(E213="Alta",IF(AND(F213&lt;&gt;"",F213-Hoje&lt;=3),"1 · Fazer já","2 · Agendar"),IF(AND(F213&lt;&gt;"",F213-Hoje&lt;=3),"3 · Resolver rápido","4 · Depois")))</f>
        <v/>
      </c>
      <c r="M213" s="129" t="n"/>
      <c r="N213" t="str">
        <f>IF(AND(B213&lt;&gt;"",G213&lt;&gt;"Concluída",G213&lt;&gt;"Cancelada",F213&lt;&gt;""),F213+ROW()/100000,"")</f>
        <v/>
      </c>
    </row>
    <row r="214">
      <c r="B214" s="129" t="n"/>
      <c r="C214" s="129" t="n"/>
      <c r="D214" s="129" t="n"/>
      <c r="E214" s="129" t="n"/>
      <c r="F214" s="130" t="n"/>
      <c r="G214" s="129" t="n"/>
      <c r="H214" s="130" t="n"/>
      <c r="I214" s="129" t="n"/>
      <c r="J214" s="134" t="str">
        <f>IF(OR(B214="",F214="",G214="Concluída",G214="Cancelada"),"",F214-Hoje)</f>
        <v/>
      </c>
      <c r="K214" s="138" t="str">
        <f>IF(B214="","",IF(G214="Concluída","✔ Feita",IF(G214="Cancelada","– Cancelada",IF(F214="","○ Sem prazo",IF(F214&lt;Hoje,"✖ Atrasada",IF(F214=Hoje,"▲ Vence hoje",IF(F214-Hoje&lt;=7,"▲ Próximos 7 dias","○ No prazo")))))))</f>
        <v/>
      </c>
      <c r="L214" s="138" t="str">
        <f>IF(OR(B214="",G214="Concluída",G214="Cancelada"),"",IF(E214="Alta",IF(AND(F214&lt;&gt;"",F214-Hoje&lt;=3),"1 · Fazer já","2 · Agendar"),IF(AND(F214&lt;&gt;"",F214-Hoje&lt;=3),"3 · Resolver rápido","4 · Depois")))</f>
        <v/>
      </c>
      <c r="M214" s="129" t="n"/>
      <c r="N214" t="str">
        <f>IF(AND(B214&lt;&gt;"",G214&lt;&gt;"Concluída",G214&lt;&gt;"Cancelada",F214&lt;&gt;""),F214+ROW()/100000,"")</f>
        <v/>
      </c>
    </row>
    <row r="215">
      <c r="B215" s="129" t="n"/>
      <c r="C215" s="129" t="n"/>
      <c r="D215" s="129" t="n"/>
      <c r="E215" s="129" t="n"/>
      <c r="F215" s="130" t="n"/>
      <c r="G215" s="129" t="n"/>
      <c r="H215" s="130" t="n"/>
      <c r="I215" s="129" t="n"/>
      <c r="J215" s="134" t="str">
        <f>IF(OR(B215="",F215="",G215="Concluída",G215="Cancelada"),"",F215-Hoje)</f>
        <v/>
      </c>
      <c r="K215" s="138" t="str">
        <f>IF(B215="","",IF(G215="Concluída","✔ Feita",IF(G215="Cancelada","– Cancelada",IF(F215="","○ Sem prazo",IF(F215&lt;Hoje,"✖ Atrasada",IF(F215=Hoje,"▲ Vence hoje",IF(F215-Hoje&lt;=7,"▲ Próximos 7 dias","○ No prazo")))))))</f>
        <v/>
      </c>
      <c r="L215" s="138" t="str">
        <f>IF(OR(B215="",G215="Concluída",G215="Cancelada"),"",IF(E215="Alta",IF(AND(F215&lt;&gt;"",F215-Hoje&lt;=3),"1 · Fazer já","2 · Agendar"),IF(AND(F215&lt;&gt;"",F215-Hoje&lt;=3),"3 · Resolver rápido","4 · Depois")))</f>
        <v/>
      </c>
      <c r="M215" s="129" t="n"/>
      <c r="N215" t="str">
        <f>IF(AND(B215&lt;&gt;"",G215&lt;&gt;"Concluída",G215&lt;&gt;"Cancelada",F215&lt;&gt;""),F215+ROW()/100000,"")</f>
        <v/>
      </c>
    </row>
    <row r="216">
      <c r="B216" s="129" t="n"/>
      <c r="C216" s="129" t="n"/>
      <c r="D216" s="129" t="n"/>
      <c r="E216" s="129" t="n"/>
      <c r="F216" s="130" t="n"/>
      <c r="G216" s="129" t="n"/>
      <c r="H216" s="130" t="n"/>
      <c r="I216" s="129" t="n"/>
      <c r="J216" s="134" t="str">
        <f>IF(OR(B216="",F216="",G216="Concluída",G216="Cancelada"),"",F216-Hoje)</f>
        <v/>
      </c>
      <c r="K216" s="138" t="str">
        <f>IF(B216="","",IF(G216="Concluída","✔ Feita",IF(G216="Cancelada","– Cancelada",IF(F216="","○ Sem prazo",IF(F216&lt;Hoje,"✖ Atrasada",IF(F216=Hoje,"▲ Vence hoje",IF(F216-Hoje&lt;=7,"▲ Próximos 7 dias","○ No prazo")))))))</f>
        <v/>
      </c>
      <c r="L216" s="138" t="str">
        <f>IF(OR(B216="",G216="Concluída",G216="Cancelada"),"",IF(E216="Alta",IF(AND(F216&lt;&gt;"",F216-Hoje&lt;=3),"1 · Fazer já","2 · Agendar"),IF(AND(F216&lt;&gt;"",F216-Hoje&lt;=3),"3 · Resolver rápido","4 · Depois")))</f>
        <v/>
      </c>
      <c r="M216" s="129" t="n"/>
      <c r="N216" t="str">
        <f>IF(AND(B216&lt;&gt;"",G216&lt;&gt;"Concluída",G216&lt;&gt;"Cancelada",F216&lt;&gt;""),F216+ROW()/100000,"")</f>
        <v/>
      </c>
    </row>
    <row r="217">
      <c r="B217" s="129" t="n"/>
      <c r="C217" s="129" t="n"/>
      <c r="D217" s="129" t="n"/>
      <c r="E217" s="129" t="n"/>
      <c r="F217" s="130" t="n"/>
      <c r="G217" s="129" t="n"/>
      <c r="H217" s="130" t="n"/>
      <c r="I217" s="129" t="n"/>
      <c r="J217" s="134" t="str">
        <f>IF(OR(B217="",F217="",G217="Concluída",G217="Cancelada"),"",F217-Hoje)</f>
        <v/>
      </c>
      <c r="K217" s="138" t="str">
        <f>IF(B217="","",IF(G217="Concluída","✔ Feita",IF(G217="Cancelada","– Cancelada",IF(F217="","○ Sem prazo",IF(F217&lt;Hoje,"✖ Atrasada",IF(F217=Hoje,"▲ Vence hoje",IF(F217-Hoje&lt;=7,"▲ Próximos 7 dias","○ No prazo")))))))</f>
        <v/>
      </c>
      <c r="L217" s="138" t="str">
        <f>IF(OR(B217="",G217="Concluída",G217="Cancelada"),"",IF(E217="Alta",IF(AND(F217&lt;&gt;"",F217-Hoje&lt;=3),"1 · Fazer já","2 · Agendar"),IF(AND(F217&lt;&gt;"",F217-Hoje&lt;=3),"3 · Resolver rápido","4 · Depois")))</f>
        <v/>
      </c>
      <c r="M217" s="129" t="n"/>
      <c r="N217" t="str">
        <f>IF(AND(B217&lt;&gt;"",G217&lt;&gt;"Concluída",G217&lt;&gt;"Cancelada",F217&lt;&gt;""),F217+ROW()/100000,"")</f>
        <v/>
      </c>
    </row>
    <row r="218">
      <c r="B218" s="129" t="n"/>
      <c r="C218" s="129" t="n"/>
      <c r="D218" s="129" t="n"/>
      <c r="E218" s="129" t="n"/>
      <c r="F218" s="130" t="n"/>
      <c r="G218" s="129" t="n"/>
      <c r="H218" s="130" t="n"/>
      <c r="I218" s="129" t="n"/>
      <c r="J218" s="134" t="str">
        <f>IF(OR(B218="",F218="",G218="Concluída",G218="Cancelada"),"",F218-Hoje)</f>
        <v/>
      </c>
      <c r="K218" s="138" t="str">
        <f>IF(B218="","",IF(G218="Concluída","✔ Feita",IF(G218="Cancelada","– Cancelada",IF(F218="","○ Sem prazo",IF(F218&lt;Hoje,"✖ Atrasada",IF(F218=Hoje,"▲ Vence hoje",IF(F218-Hoje&lt;=7,"▲ Próximos 7 dias","○ No prazo")))))))</f>
        <v/>
      </c>
      <c r="L218" s="138" t="str">
        <f>IF(OR(B218="",G218="Concluída",G218="Cancelada"),"",IF(E218="Alta",IF(AND(F218&lt;&gt;"",F218-Hoje&lt;=3),"1 · Fazer já","2 · Agendar"),IF(AND(F218&lt;&gt;"",F218-Hoje&lt;=3),"3 · Resolver rápido","4 · Depois")))</f>
        <v/>
      </c>
      <c r="M218" s="129" t="n"/>
      <c r="N218" t="str">
        <f>IF(AND(B218&lt;&gt;"",G218&lt;&gt;"Concluída",G218&lt;&gt;"Cancelada",F218&lt;&gt;""),F218+ROW()/100000,"")</f>
        <v/>
      </c>
    </row>
    <row r="219">
      <c r="B219" s="129" t="n"/>
      <c r="C219" s="129" t="n"/>
      <c r="D219" s="129" t="n"/>
      <c r="E219" s="129" t="n"/>
      <c r="F219" s="130" t="n"/>
      <c r="G219" s="129" t="n"/>
      <c r="H219" s="130" t="n"/>
      <c r="I219" s="129" t="n"/>
      <c r="J219" s="134" t="str">
        <f>IF(OR(B219="",F219="",G219="Concluída",G219="Cancelada"),"",F219-Hoje)</f>
        <v/>
      </c>
      <c r="K219" s="138" t="str">
        <f>IF(B219="","",IF(G219="Concluída","✔ Feita",IF(G219="Cancelada","– Cancelada",IF(F219="","○ Sem prazo",IF(F219&lt;Hoje,"✖ Atrasada",IF(F219=Hoje,"▲ Vence hoje",IF(F219-Hoje&lt;=7,"▲ Próximos 7 dias","○ No prazo")))))))</f>
        <v/>
      </c>
      <c r="L219" s="138" t="str">
        <f>IF(OR(B219="",G219="Concluída",G219="Cancelada"),"",IF(E219="Alta",IF(AND(F219&lt;&gt;"",F219-Hoje&lt;=3),"1 · Fazer já","2 · Agendar"),IF(AND(F219&lt;&gt;"",F219-Hoje&lt;=3),"3 · Resolver rápido","4 · Depois")))</f>
        <v/>
      </c>
      <c r="M219" s="129" t="n"/>
      <c r="N219" t="str">
        <f>IF(AND(B219&lt;&gt;"",G219&lt;&gt;"Concluída",G219&lt;&gt;"Cancelada",F219&lt;&gt;""),F219+ROW()/100000,"")</f>
        <v/>
      </c>
    </row>
    <row r="220">
      <c r="B220" s="129" t="n"/>
      <c r="C220" s="129" t="n"/>
      <c r="D220" s="129" t="n"/>
      <c r="E220" s="129" t="n"/>
      <c r="F220" s="130" t="n"/>
      <c r="G220" s="129" t="n"/>
      <c r="H220" s="130" t="n"/>
      <c r="I220" s="129" t="n"/>
      <c r="J220" s="134" t="str">
        <f>IF(OR(B220="",F220="",G220="Concluída",G220="Cancelada"),"",F220-Hoje)</f>
        <v/>
      </c>
      <c r="K220" s="138" t="str">
        <f>IF(B220="","",IF(G220="Concluída","✔ Feita",IF(G220="Cancelada","– Cancelada",IF(F220="","○ Sem prazo",IF(F220&lt;Hoje,"✖ Atrasada",IF(F220=Hoje,"▲ Vence hoje",IF(F220-Hoje&lt;=7,"▲ Próximos 7 dias","○ No prazo")))))))</f>
        <v/>
      </c>
      <c r="L220" s="138" t="str">
        <f>IF(OR(B220="",G220="Concluída",G220="Cancelada"),"",IF(E220="Alta",IF(AND(F220&lt;&gt;"",F220-Hoje&lt;=3),"1 · Fazer já","2 · Agendar"),IF(AND(F220&lt;&gt;"",F220-Hoje&lt;=3),"3 · Resolver rápido","4 · Depois")))</f>
        <v/>
      </c>
      <c r="M220" s="129" t="n"/>
      <c r="N220" t="str">
        <f>IF(AND(B220&lt;&gt;"",G220&lt;&gt;"Concluída",G220&lt;&gt;"Cancelada",F220&lt;&gt;""),F220+ROW()/100000,"")</f>
        <v/>
      </c>
    </row>
    <row r="221">
      <c r="B221" s="129" t="n"/>
      <c r="C221" s="129" t="n"/>
      <c r="D221" s="129" t="n"/>
      <c r="E221" s="129" t="n"/>
      <c r="F221" s="130" t="n"/>
      <c r="G221" s="129" t="n"/>
      <c r="H221" s="130" t="n"/>
      <c r="I221" s="129" t="n"/>
      <c r="J221" s="134" t="str">
        <f>IF(OR(B221="",F221="",G221="Concluída",G221="Cancelada"),"",F221-Hoje)</f>
        <v/>
      </c>
      <c r="K221" s="138" t="str">
        <f>IF(B221="","",IF(G221="Concluída","✔ Feita",IF(G221="Cancelada","– Cancelada",IF(F221="","○ Sem prazo",IF(F221&lt;Hoje,"✖ Atrasada",IF(F221=Hoje,"▲ Vence hoje",IF(F221-Hoje&lt;=7,"▲ Próximos 7 dias","○ No prazo")))))))</f>
        <v/>
      </c>
      <c r="L221" s="138" t="str">
        <f>IF(OR(B221="",G221="Concluída",G221="Cancelada"),"",IF(E221="Alta",IF(AND(F221&lt;&gt;"",F221-Hoje&lt;=3),"1 · Fazer já","2 · Agendar"),IF(AND(F221&lt;&gt;"",F221-Hoje&lt;=3),"3 · Resolver rápido","4 · Depois")))</f>
        <v/>
      </c>
      <c r="M221" s="129" t="n"/>
      <c r="N221" t="str">
        <f>IF(AND(B221&lt;&gt;"",G221&lt;&gt;"Concluída",G221&lt;&gt;"Cancelada",F221&lt;&gt;""),F221+ROW()/100000,"")</f>
        <v/>
      </c>
    </row>
    <row r="222">
      <c r="B222" s="129" t="n"/>
      <c r="C222" s="129" t="n"/>
      <c r="D222" s="129" t="n"/>
      <c r="E222" s="129" t="n"/>
      <c r="F222" s="130" t="n"/>
      <c r="G222" s="129" t="n"/>
      <c r="H222" s="130" t="n"/>
      <c r="I222" s="129" t="n"/>
      <c r="J222" s="134" t="str">
        <f>IF(OR(B222="",F222="",G222="Concluída",G222="Cancelada"),"",F222-Hoje)</f>
        <v/>
      </c>
      <c r="K222" s="138" t="str">
        <f>IF(B222="","",IF(G222="Concluída","✔ Feita",IF(G222="Cancelada","– Cancelada",IF(F222="","○ Sem prazo",IF(F222&lt;Hoje,"✖ Atrasada",IF(F222=Hoje,"▲ Vence hoje",IF(F222-Hoje&lt;=7,"▲ Próximos 7 dias","○ No prazo")))))))</f>
        <v/>
      </c>
      <c r="L222" s="138" t="str">
        <f>IF(OR(B222="",G222="Concluída",G222="Cancelada"),"",IF(E222="Alta",IF(AND(F222&lt;&gt;"",F222-Hoje&lt;=3),"1 · Fazer já","2 · Agendar"),IF(AND(F222&lt;&gt;"",F222-Hoje&lt;=3),"3 · Resolver rápido","4 · Depois")))</f>
        <v/>
      </c>
      <c r="M222" s="129" t="n"/>
      <c r="N222" t="str">
        <f>IF(AND(B222&lt;&gt;"",G222&lt;&gt;"Concluída",G222&lt;&gt;"Cancelada",F222&lt;&gt;""),F222+ROW()/100000,"")</f>
        <v/>
      </c>
    </row>
    <row r="223">
      <c r="B223" s="129" t="n"/>
      <c r="C223" s="129" t="n"/>
      <c r="D223" s="129" t="n"/>
      <c r="E223" s="129" t="n"/>
      <c r="F223" s="130" t="n"/>
      <c r="G223" s="129" t="n"/>
      <c r="H223" s="130" t="n"/>
      <c r="I223" s="129" t="n"/>
      <c r="J223" s="134" t="str">
        <f>IF(OR(B223="",F223="",G223="Concluída",G223="Cancelada"),"",F223-Hoje)</f>
        <v/>
      </c>
      <c r="K223" s="138" t="str">
        <f>IF(B223="","",IF(G223="Concluída","✔ Feita",IF(G223="Cancelada","– Cancelada",IF(F223="","○ Sem prazo",IF(F223&lt;Hoje,"✖ Atrasada",IF(F223=Hoje,"▲ Vence hoje",IF(F223-Hoje&lt;=7,"▲ Próximos 7 dias","○ No prazo")))))))</f>
        <v/>
      </c>
      <c r="L223" s="138" t="str">
        <f>IF(OR(B223="",G223="Concluída",G223="Cancelada"),"",IF(E223="Alta",IF(AND(F223&lt;&gt;"",F223-Hoje&lt;=3),"1 · Fazer já","2 · Agendar"),IF(AND(F223&lt;&gt;"",F223-Hoje&lt;=3),"3 · Resolver rápido","4 · Depois")))</f>
        <v/>
      </c>
      <c r="M223" s="129" t="n"/>
      <c r="N223" t="str">
        <f>IF(AND(B223&lt;&gt;"",G223&lt;&gt;"Concluída",G223&lt;&gt;"Cancelada",F223&lt;&gt;""),F223+ROW()/100000,"")</f>
        <v/>
      </c>
    </row>
    <row r="224">
      <c r="B224" s="129" t="n"/>
      <c r="C224" s="129" t="n"/>
      <c r="D224" s="129" t="n"/>
      <c r="E224" s="129" t="n"/>
      <c r="F224" s="130" t="n"/>
      <c r="G224" s="129" t="n"/>
      <c r="H224" s="130" t="n"/>
      <c r="I224" s="129" t="n"/>
      <c r="J224" s="134" t="str">
        <f>IF(OR(B224="",F224="",G224="Concluída",G224="Cancelada"),"",F224-Hoje)</f>
        <v/>
      </c>
      <c r="K224" s="138" t="str">
        <f>IF(B224="","",IF(G224="Concluída","✔ Feita",IF(G224="Cancelada","– Cancelada",IF(F224="","○ Sem prazo",IF(F224&lt;Hoje,"✖ Atrasada",IF(F224=Hoje,"▲ Vence hoje",IF(F224-Hoje&lt;=7,"▲ Próximos 7 dias","○ No prazo")))))))</f>
        <v/>
      </c>
      <c r="L224" s="138" t="str">
        <f>IF(OR(B224="",G224="Concluída",G224="Cancelada"),"",IF(E224="Alta",IF(AND(F224&lt;&gt;"",F224-Hoje&lt;=3),"1 · Fazer já","2 · Agendar"),IF(AND(F224&lt;&gt;"",F224-Hoje&lt;=3),"3 · Resolver rápido","4 · Depois")))</f>
        <v/>
      </c>
      <c r="M224" s="129" t="n"/>
      <c r="N224" t="str">
        <f>IF(AND(B224&lt;&gt;"",G224&lt;&gt;"Concluída",G224&lt;&gt;"Cancelada",F224&lt;&gt;""),F224+ROW()/100000,"")</f>
        <v/>
      </c>
    </row>
    <row r="225">
      <c r="B225" s="129" t="n"/>
      <c r="C225" s="129" t="n"/>
      <c r="D225" s="129" t="n"/>
      <c r="E225" s="129" t="n"/>
      <c r="F225" s="130" t="n"/>
      <c r="G225" s="129" t="n"/>
      <c r="H225" s="130" t="n"/>
      <c r="I225" s="129" t="n"/>
      <c r="J225" s="134" t="str">
        <f>IF(OR(B225="",F225="",G225="Concluída",G225="Cancelada"),"",F225-Hoje)</f>
        <v/>
      </c>
      <c r="K225" s="138" t="str">
        <f>IF(B225="","",IF(G225="Concluída","✔ Feita",IF(G225="Cancelada","– Cancelada",IF(F225="","○ Sem prazo",IF(F225&lt;Hoje,"✖ Atrasada",IF(F225=Hoje,"▲ Vence hoje",IF(F225-Hoje&lt;=7,"▲ Próximos 7 dias","○ No prazo")))))))</f>
        <v/>
      </c>
      <c r="L225" s="138" t="str">
        <f>IF(OR(B225="",G225="Concluída",G225="Cancelada"),"",IF(E225="Alta",IF(AND(F225&lt;&gt;"",F225-Hoje&lt;=3),"1 · Fazer já","2 · Agendar"),IF(AND(F225&lt;&gt;"",F225-Hoje&lt;=3),"3 · Resolver rápido","4 · Depois")))</f>
        <v/>
      </c>
      <c r="M225" s="129" t="n"/>
      <c r="N225" t="str">
        <f>IF(AND(B225&lt;&gt;"",G225&lt;&gt;"Concluída",G225&lt;&gt;"Cancelada",F225&lt;&gt;""),F225+ROW()/100000,"")</f>
        <v/>
      </c>
    </row>
    <row r="226">
      <c r="B226" s="129" t="n"/>
      <c r="C226" s="129" t="n"/>
      <c r="D226" s="129" t="n"/>
      <c r="E226" s="129" t="n"/>
      <c r="F226" s="130" t="n"/>
      <c r="G226" s="129" t="n"/>
      <c r="H226" s="130" t="n"/>
      <c r="I226" s="129" t="n"/>
      <c r="J226" s="134" t="str">
        <f>IF(OR(B226="",F226="",G226="Concluída",G226="Cancelada"),"",F226-Hoje)</f>
        <v/>
      </c>
      <c r="K226" s="138" t="str">
        <f>IF(B226="","",IF(G226="Concluída","✔ Feita",IF(G226="Cancelada","– Cancelada",IF(F226="","○ Sem prazo",IF(F226&lt;Hoje,"✖ Atrasada",IF(F226=Hoje,"▲ Vence hoje",IF(F226-Hoje&lt;=7,"▲ Próximos 7 dias","○ No prazo")))))))</f>
        <v/>
      </c>
      <c r="L226" s="138" t="str">
        <f>IF(OR(B226="",G226="Concluída",G226="Cancelada"),"",IF(E226="Alta",IF(AND(F226&lt;&gt;"",F226-Hoje&lt;=3),"1 · Fazer já","2 · Agendar"),IF(AND(F226&lt;&gt;"",F226-Hoje&lt;=3),"3 · Resolver rápido","4 · Depois")))</f>
        <v/>
      </c>
      <c r="M226" s="129" t="n"/>
      <c r="N226" t="str">
        <f>IF(AND(B226&lt;&gt;"",G226&lt;&gt;"Concluída",G226&lt;&gt;"Cancelada",F226&lt;&gt;""),F226+ROW()/100000,"")</f>
        <v/>
      </c>
    </row>
    <row r="227">
      <c r="B227" s="129" t="n"/>
      <c r="C227" s="129" t="n"/>
      <c r="D227" s="129" t="n"/>
      <c r="E227" s="129" t="n"/>
      <c r="F227" s="130" t="n"/>
      <c r="G227" s="129" t="n"/>
      <c r="H227" s="130" t="n"/>
      <c r="I227" s="129" t="n"/>
      <c r="J227" s="134" t="str">
        <f>IF(OR(B227="",F227="",G227="Concluída",G227="Cancelada"),"",F227-Hoje)</f>
        <v/>
      </c>
      <c r="K227" s="138" t="str">
        <f>IF(B227="","",IF(G227="Concluída","✔ Feita",IF(G227="Cancelada","– Cancelada",IF(F227="","○ Sem prazo",IF(F227&lt;Hoje,"✖ Atrasada",IF(F227=Hoje,"▲ Vence hoje",IF(F227-Hoje&lt;=7,"▲ Próximos 7 dias","○ No prazo")))))))</f>
        <v/>
      </c>
      <c r="L227" s="138" t="str">
        <f>IF(OR(B227="",G227="Concluída",G227="Cancelada"),"",IF(E227="Alta",IF(AND(F227&lt;&gt;"",F227-Hoje&lt;=3),"1 · Fazer já","2 · Agendar"),IF(AND(F227&lt;&gt;"",F227-Hoje&lt;=3),"3 · Resolver rápido","4 · Depois")))</f>
        <v/>
      </c>
      <c r="M227" s="129" t="n"/>
      <c r="N227" t="str">
        <f>IF(AND(B227&lt;&gt;"",G227&lt;&gt;"Concluída",G227&lt;&gt;"Cancelada",F227&lt;&gt;""),F227+ROW()/100000,"")</f>
        <v/>
      </c>
    </row>
    <row r="228">
      <c r="B228" s="129" t="n"/>
      <c r="C228" s="129" t="n"/>
      <c r="D228" s="129" t="n"/>
      <c r="E228" s="129" t="n"/>
      <c r="F228" s="130" t="n"/>
      <c r="G228" s="129" t="n"/>
      <c r="H228" s="130" t="n"/>
      <c r="I228" s="129" t="n"/>
      <c r="J228" s="134" t="str">
        <f>IF(OR(B228="",F228="",G228="Concluída",G228="Cancelada"),"",F228-Hoje)</f>
        <v/>
      </c>
      <c r="K228" s="138" t="str">
        <f>IF(B228="","",IF(G228="Concluída","✔ Feita",IF(G228="Cancelada","– Cancelada",IF(F228="","○ Sem prazo",IF(F228&lt;Hoje,"✖ Atrasada",IF(F228=Hoje,"▲ Vence hoje",IF(F228-Hoje&lt;=7,"▲ Próximos 7 dias","○ No prazo")))))))</f>
        <v/>
      </c>
      <c r="L228" s="138" t="str">
        <f>IF(OR(B228="",G228="Concluída",G228="Cancelada"),"",IF(E228="Alta",IF(AND(F228&lt;&gt;"",F228-Hoje&lt;=3),"1 · Fazer já","2 · Agendar"),IF(AND(F228&lt;&gt;"",F228-Hoje&lt;=3),"3 · Resolver rápido","4 · Depois")))</f>
        <v/>
      </c>
      <c r="M228" s="129" t="n"/>
      <c r="N228" t="str">
        <f>IF(AND(B228&lt;&gt;"",G228&lt;&gt;"Concluída",G228&lt;&gt;"Cancelada",F228&lt;&gt;""),F228+ROW()/100000,"")</f>
        <v/>
      </c>
    </row>
    <row r="229">
      <c r="B229" s="129" t="n"/>
      <c r="C229" s="129" t="n"/>
      <c r="D229" s="129" t="n"/>
      <c r="E229" s="129" t="n"/>
      <c r="F229" s="130" t="n"/>
      <c r="G229" s="129" t="n"/>
      <c r="H229" s="130" t="n"/>
      <c r="I229" s="129" t="n"/>
      <c r="J229" s="134" t="str">
        <f>IF(OR(B229="",F229="",G229="Concluída",G229="Cancelada"),"",F229-Hoje)</f>
        <v/>
      </c>
      <c r="K229" s="138" t="str">
        <f>IF(B229="","",IF(G229="Concluída","✔ Feita",IF(G229="Cancelada","– Cancelada",IF(F229="","○ Sem prazo",IF(F229&lt;Hoje,"✖ Atrasada",IF(F229=Hoje,"▲ Vence hoje",IF(F229-Hoje&lt;=7,"▲ Próximos 7 dias","○ No prazo")))))))</f>
        <v/>
      </c>
      <c r="L229" s="138" t="str">
        <f>IF(OR(B229="",G229="Concluída",G229="Cancelada"),"",IF(E229="Alta",IF(AND(F229&lt;&gt;"",F229-Hoje&lt;=3),"1 · Fazer já","2 · Agendar"),IF(AND(F229&lt;&gt;"",F229-Hoje&lt;=3),"3 · Resolver rápido","4 · Depois")))</f>
        <v/>
      </c>
      <c r="M229" s="129" t="n"/>
      <c r="N229" t="str">
        <f>IF(AND(B229&lt;&gt;"",G229&lt;&gt;"Concluída",G229&lt;&gt;"Cancelada",F229&lt;&gt;""),F229+ROW()/100000,"")</f>
        <v/>
      </c>
    </row>
    <row r="230">
      <c r="B230" s="129" t="n"/>
      <c r="C230" s="129" t="n"/>
      <c r="D230" s="129" t="n"/>
      <c r="E230" s="129" t="n"/>
      <c r="F230" s="130" t="n"/>
      <c r="G230" s="129" t="n"/>
      <c r="H230" s="130" t="n"/>
      <c r="I230" s="129" t="n"/>
      <c r="J230" s="134" t="str">
        <f>IF(OR(B230="",F230="",G230="Concluída",G230="Cancelada"),"",F230-Hoje)</f>
        <v/>
      </c>
      <c r="K230" s="138" t="str">
        <f>IF(B230="","",IF(G230="Concluída","✔ Feita",IF(G230="Cancelada","– Cancelada",IF(F230="","○ Sem prazo",IF(F230&lt;Hoje,"✖ Atrasada",IF(F230=Hoje,"▲ Vence hoje",IF(F230-Hoje&lt;=7,"▲ Próximos 7 dias","○ No prazo")))))))</f>
        <v/>
      </c>
      <c r="L230" s="138" t="str">
        <f>IF(OR(B230="",G230="Concluída",G230="Cancelada"),"",IF(E230="Alta",IF(AND(F230&lt;&gt;"",F230-Hoje&lt;=3),"1 · Fazer já","2 · Agendar"),IF(AND(F230&lt;&gt;"",F230-Hoje&lt;=3),"3 · Resolver rápido","4 · Depois")))</f>
        <v/>
      </c>
      <c r="M230" s="129" t="n"/>
      <c r="N230" t="str">
        <f>IF(AND(B230&lt;&gt;"",G230&lt;&gt;"Concluída",G230&lt;&gt;"Cancelada",F230&lt;&gt;""),F230+ROW()/100000,"")</f>
        <v/>
      </c>
    </row>
    <row r="231">
      <c r="B231" s="129" t="n"/>
      <c r="C231" s="129" t="n"/>
      <c r="D231" s="129" t="n"/>
      <c r="E231" s="129" t="n"/>
      <c r="F231" s="130" t="n"/>
      <c r="G231" s="129" t="n"/>
      <c r="H231" s="130" t="n"/>
      <c r="I231" s="129" t="n"/>
      <c r="J231" s="134" t="str">
        <f>IF(OR(B231="",F231="",G231="Concluída",G231="Cancelada"),"",F231-Hoje)</f>
        <v/>
      </c>
      <c r="K231" s="138" t="str">
        <f>IF(B231="","",IF(G231="Concluída","✔ Feita",IF(G231="Cancelada","– Cancelada",IF(F231="","○ Sem prazo",IF(F231&lt;Hoje,"✖ Atrasada",IF(F231=Hoje,"▲ Vence hoje",IF(F231-Hoje&lt;=7,"▲ Próximos 7 dias","○ No prazo")))))))</f>
        <v/>
      </c>
      <c r="L231" s="138" t="str">
        <f>IF(OR(B231="",G231="Concluída",G231="Cancelada"),"",IF(E231="Alta",IF(AND(F231&lt;&gt;"",F231-Hoje&lt;=3),"1 · Fazer já","2 · Agendar"),IF(AND(F231&lt;&gt;"",F231-Hoje&lt;=3),"3 · Resolver rápido","4 · Depois")))</f>
        <v/>
      </c>
      <c r="M231" s="129" t="n"/>
      <c r="N231" t="str">
        <f>IF(AND(B231&lt;&gt;"",G231&lt;&gt;"Concluída",G231&lt;&gt;"Cancelada",F231&lt;&gt;""),F231+ROW()/100000,"")</f>
        <v/>
      </c>
    </row>
    <row r="232">
      <c r="B232" s="129" t="n"/>
      <c r="C232" s="129" t="n"/>
      <c r="D232" s="129" t="n"/>
      <c r="E232" s="129" t="n"/>
      <c r="F232" s="130" t="n"/>
      <c r="G232" s="129" t="n"/>
      <c r="H232" s="130" t="n"/>
      <c r="I232" s="129" t="n"/>
      <c r="J232" s="134" t="str">
        <f>IF(OR(B232="",F232="",G232="Concluída",G232="Cancelada"),"",F232-Hoje)</f>
        <v/>
      </c>
      <c r="K232" s="138" t="str">
        <f>IF(B232="","",IF(G232="Concluída","✔ Feita",IF(G232="Cancelada","– Cancelada",IF(F232="","○ Sem prazo",IF(F232&lt;Hoje,"✖ Atrasada",IF(F232=Hoje,"▲ Vence hoje",IF(F232-Hoje&lt;=7,"▲ Próximos 7 dias","○ No prazo")))))))</f>
        <v/>
      </c>
      <c r="L232" s="138" t="str">
        <f>IF(OR(B232="",G232="Concluída",G232="Cancelada"),"",IF(E232="Alta",IF(AND(F232&lt;&gt;"",F232-Hoje&lt;=3),"1 · Fazer já","2 · Agendar"),IF(AND(F232&lt;&gt;"",F232-Hoje&lt;=3),"3 · Resolver rápido","4 · Depois")))</f>
        <v/>
      </c>
      <c r="M232" s="129" t="n"/>
      <c r="N232" t="str">
        <f>IF(AND(B232&lt;&gt;"",G232&lt;&gt;"Concluída",G232&lt;&gt;"Cancelada",F232&lt;&gt;""),F232+ROW()/100000,"")</f>
        <v/>
      </c>
    </row>
    <row r="233">
      <c r="B233" s="129" t="n"/>
      <c r="C233" s="129" t="n"/>
      <c r="D233" s="129" t="n"/>
      <c r="E233" s="129" t="n"/>
      <c r="F233" s="130" t="n"/>
      <c r="G233" s="129" t="n"/>
      <c r="H233" s="130" t="n"/>
      <c r="I233" s="129" t="n"/>
      <c r="J233" s="134" t="str">
        <f>IF(OR(B233="",F233="",G233="Concluída",G233="Cancelada"),"",F233-Hoje)</f>
        <v/>
      </c>
      <c r="K233" s="138" t="str">
        <f>IF(B233="","",IF(G233="Concluída","✔ Feita",IF(G233="Cancelada","– Cancelada",IF(F233="","○ Sem prazo",IF(F233&lt;Hoje,"✖ Atrasada",IF(F233=Hoje,"▲ Vence hoje",IF(F233-Hoje&lt;=7,"▲ Próximos 7 dias","○ No prazo")))))))</f>
        <v/>
      </c>
      <c r="L233" s="138" t="str">
        <f>IF(OR(B233="",G233="Concluída",G233="Cancelada"),"",IF(E233="Alta",IF(AND(F233&lt;&gt;"",F233-Hoje&lt;=3),"1 · Fazer já","2 · Agendar"),IF(AND(F233&lt;&gt;"",F233-Hoje&lt;=3),"3 · Resolver rápido","4 · Depois")))</f>
        <v/>
      </c>
      <c r="M233" s="129" t="n"/>
      <c r="N233" t="str">
        <f>IF(AND(B233&lt;&gt;"",G233&lt;&gt;"Concluída",G233&lt;&gt;"Cancelada",F233&lt;&gt;""),F233+ROW()/100000,"")</f>
        <v/>
      </c>
    </row>
    <row r="234">
      <c r="B234" s="129" t="n"/>
      <c r="C234" s="129" t="n"/>
      <c r="D234" s="129" t="n"/>
      <c r="E234" s="129" t="n"/>
      <c r="F234" s="130" t="n"/>
      <c r="G234" s="129" t="n"/>
      <c r="H234" s="130" t="n"/>
      <c r="I234" s="129" t="n"/>
      <c r="J234" s="134" t="str">
        <f>IF(OR(B234="",F234="",G234="Concluída",G234="Cancelada"),"",F234-Hoje)</f>
        <v/>
      </c>
      <c r="K234" s="138" t="str">
        <f>IF(B234="","",IF(G234="Concluída","✔ Feita",IF(G234="Cancelada","– Cancelada",IF(F234="","○ Sem prazo",IF(F234&lt;Hoje,"✖ Atrasada",IF(F234=Hoje,"▲ Vence hoje",IF(F234-Hoje&lt;=7,"▲ Próximos 7 dias","○ No prazo")))))))</f>
        <v/>
      </c>
      <c r="L234" s="138" t="str">
        <f>IF(OR(B234="",G234="Concluída",G234="Cancelada"),"",IF(E234="Alta",IF(AND(F234&lt;&gt;"",F234-Hoje&lt;=3),"1 · Fazer já","2 · Agendar"),IF(AND(F234&lt;&gt;"",F234-Hoje&lt;=3),"3 · Resolver rápido","4 · Depois")))</f>
        <v/>
      </c>
      <c r="M234" s="129" t="n"/>
      <c r="N234" t="str">
        <f>IF(AND(B234&lt;&gt;"",G234&lt;&gt;"Concluída",G234&lt;&gt;"Cancelada",F234&lt;&gt;""),F234+ROW()/100000,"")</f>
        <v/>
      </c>
    </row>
    <row r="235">
      <c r="B235" s="129" t="n"/>
      <c r="C235" s="129" t="n"/>
      <c r="D235" s="129" t="n"/>
      <c r="E235" s="129" t="n"/>
      <c r="F235" s="130" t="n"/>
      <c r="G235" s="129" t="n"/>
      <c r="H235" s="130" t="n"/>
      <c r="I235" s="129" t="n"/>
      <c r="J235" s="134" t="str">
        <f>IF(OR(B235="",F235="",G235="Concluída",G235="Cancelada"),"",F235-Hoje)</f>
        <v/>
      </c>
      <c r="K235" s="138" t="str">
        <f>IF(B235="","",IF(G235="Concluída","✔ Feita",IF(G235="Cancelada","– Cancelada",IF(F235="","○ Sem prazo",IF(F235&lt;Hoje,"✖ Atrasada",IF(F235=Hoje,"▲ Vence hoje",IF(F235-Hoje&lt;=7,"▲ Próximos 7 dias","○ No prazo")))))))</f>
        <v/>
      </c>
      <c r="L235" s="138" t="str">
        <f>IF(OR(B235="",G235="Concluída",G235="Cancelada"),"",IF(E235="Alta",IF(AND(F235&lt;&gt;"",F235-Hoje&lt;=3),"1 · Fazer já","2 · Agendar"),IF(AND(F235&lt;&gt;"",F235-Hoje&lt;=3),"3 · Resolver rápido","4 · Depois")))</f>
        <v/>
      </c>
      <c r="M235" s="129" t="n"/>
      <c r="N235" t="str">
        <f>IF(AND(B235&lt;&gt;"",G235&lt;&gt;"Concluída",G235&lt;&gt;"Cancelada",F235&lt;&gt;""),F235+ROW()/100000,"")</f>
        <v/>
      </c>
    </row>
    <row r="236">
      <c r="B236" s="129" t="n"/>
      <c r="C236" s="129" t="n"/>
      <c r="D236" s="129" t="n"/>
      <c r="E236" s="129" t="n"/>
      <c r="F236" s="130" t="n"/>
      <c r="G236" s="129" t="n"/>
      <c r="H236" s="130" t="n"/>
      <c r="I236" s="129" t="n"/>
      <c r="J236" s="134" t="str">
        <f>IF(OR(B236="",F236="",G236="Concluída",G236="Cancelada"),"",F236-Hoje)</f>
        <v/>
      </c>
      <c r="K236" s="138" t="str">
        <f>IF(B236="","",IF(G236="Concluída","✔ Feita",IF(G236="Cancelada","– Cancelada",IF(F236="","○ Sem prazo",IF(F236&lt;Hoje,"✖ Atrasada",IF(F236=Hoje,"▲ Vence hoje",IF(F236-Hoje&lt;=7,"▲ Próximos 7 dias","○ No prazo")))))))</f>
        <v/>
      </c>
      <c r="L236" s="138" t="str">
        <f>IF(OR(B236="",G236="Concluída",G236="Cancelada"),"",IF(E236="Alta",IF(AND(F236&lt;&gt;"",F236-Hoje&lt;=3),"1 · Fazer já","2 · Agendar"),IF(AND(F236&lt;&gt;"",F236-Hoje&lt;=3),"3 · Resolver rápido","4 · Depois")))</f>
        <v/>
      </c>
      <c r="M236" s="129" t="n"/>
      <c r="N236" t="str">
        <f>IF(AND(B236&lt;&gt;"",G236&lt;&gt;"Concluída",G236&lt;&gt;"Cancelada",F236&lt;&gt;""),F236+ROW()/100000,"")</f>
        <v/>
      </c>
    </row>
    <row r="237">
      <c r="B237" s="129" t="n"/>
      <c r="C237" s="129" t="n"/>
      <c r="D237" s="129" t="n"/>
      <c r="E237" s="129" t="n"/>
      <c r="F237" s="130" t="n"/>
      <c r="G237" s="129" t="n"/>
      <c r="H237" s="130" t="n"/>
      <c r="I237" s="129" t="n"/>
      <c r="J237" s="134" t="str">
        <f>IF(OR(B237="",F237="",G237="Concluída",G237="Cancelada"),"",F237-Hoje)</f>
        <v/>
      </c>
      <c r="K237" s="138" t="str">
        <f>IF(B237="","",IF(G237="Concluída","✔ Feita",IF(G237="Cancelada","– Cancelada",IF(F237="","○ Sem prazo",IF(F237&lt;Hoje,"✖ Atrasada",IF(F237=Hoje,"▲ Vence hoje",IF(F237-Hoje&lt;=7,"▲ Próximos 7 dias","○ No prazo")))))))</f>
        <v/>
      </c>
      <c r="L237" s="138" t="str">
        <f>IF(OR(B237="",G237="Concluída",G237="Cancelada"),"",IF(E237="Alta",IF(AND(F237&lt;&gt;"",F237-Hoje&lt;=3),"1 · Fazer já","2 · Agendar"),IF(AND(F237&lt;&gt;"",F237-Hoje&lt;=3),"3 · Resolver rápido","4 · Depois")))</f>
        <v/>
      </c>
      <c r="M237" s="129" t="n"/>
      <c r="N237" t="str">
        <f>IF(AND(B237&lt;&gt;"",G237&lt;&gt;"Concluída",G237&lt;&gt;"Cancelada",F237&lt;&gt;""),F237+ROW()/100000,"")</f>
        <v/>
      </c>
    </row>
    <row r="238">
      <c r="B238" s="129" t="n"/>
      <c r="C238" s="129" t="n"/>
      <c r="D238" s="129" t="n"/>
      <c r="E238" s="129" t="n"/>
      <c r="F238" s="130" t="n"/>
      <c r="G238" s="129" t="n"/>
      <c r="H238" s="130" t="n"/>
      <c r="I238" s="129" t="n"/>
      <c r="J238" s="134" t="str">
        <f>IF(OR(B238="",F238="",G238="Concluída",G238="Cancelada"),"",F238-Hoje)</f>
        <v/>
      </c>
      <c r="K238" s="138" t="str">
        <f>IF(B238="","",IF(G238="Concluída","✔ Feita",IF(G238="Cancelada","– Cancelada",IF(F238="","○ Sem prazo",IF(F238&lt;Hoje,"✖ Atrasada",IF(F238=Hoje,"▲ Vence hoje",IF(F238-Hoje&lt;=7,"▲ Próximos 7 dias","○ No prazo")))))))</f>
        <v/>
      </c>
      <c r="L238" s="138" t="str">
        <f>IF(OR(B238="",G238="Concluída",G238="Cancelada"),"",IF(E238="Alta",IF(AND(F238&lt;&gt;"",F238-Hoje&lt;=3),"1 · Fazer já","2 · Agendar"),IF(AND(F238&lt;&gt;"",F238-Hoje&lt;=3),"3 · Resolver rápido","4 · Depois")))</f>
        <v/>
      </c>
      <c r="M238" s="129" t="n"/>
      <c r="N238" t="str">
        <f>IF(AND(B238&lt;&gt;"",G238&lt;&gt;"Concluída",G238&lt;&gt;"Cancelada",F238&lt;&gt;""),F238+ROW()/100000,"")</f>
        <v/>
      </c>
    </row>
    <row r="239">
      <c r="B239" s="129" t="n"/>
      <c r="C239" s="129" t="n"/>
      <c r="D239" s="129" t="n"/>
      <c r="E239" s="129" t="n"/>
      <c r="F239" s="130" t="n"/>
      <c r="G239" s="129" t="n"/>
      <c r="H239" s="130" t="n"/>
      <c r="I239" s="129" t="n"/>
      <c r="J239" s="134" t="str">
        <f>IF(OR(B239="",F239="",G239="Concluída",G239="Cancelada"),"",F239-Hoje)</f>
        <v/>
      </c>
      <c r="K239" s="138" t="str">
        <f>IF(B239="","",IF(G239="Concluída","✔ Feita",IF(G239="Cancelada","– Cancelada",IF(F239="","○ Sem prazo",IF(F239&lt;Hoje,"✖ Atrasada",IF(F239=Hoje,"▲ Vence hoje",IF(F239-Hoje&lt;=7,"▲ Próximos 7 dias","○ No prazo")))))))</f>
        <v/>
      </c>
      <c r="L239" s="138" t="str">
        <f>IF(OR(B239="",G239="Concluída",G239="Cancelada"),"",IF(E239="Alta",IF(AND(F239&lt;&gt;"",F239-Hoje&lt;=3),"1 · Fazer já","2 · Agendar"),IF(AND(F239&lt;&gt;"",F239-Hoje&lt;=3),"3 · Resolver rápido","4 · Depois")))</f>
        <v/>
      </c>
      <c r="M239" s="129" t="n"/>
      <c r="N239" t="str">
        <f>IF(AND(B239&lt;&gt;"",G239&lt;&gt;"Concluída",G239&lt;&gt;"Cancelada",F239&lt;&gt;""),F239+ROW()/100000,"")</f>
        <v/>
      </c>
    </row>
    <row r="240">
      <c r="B240" s="129" t="n"/>
      <c r="C240" s="129" t="n"/>
      <c r="D240" s="129" t="n"/>
      <c r="E240" s="129" t="n"/>
      <c r="F240" s="130" t="n"/>
      <c r="G240" s="129" t="n"/>
      <c r="H240" s="130" t="n"/>
      <c r="I240" s="129" t="n"/>
      <c r="J240" s="134" t="str">
        <f>IF(OR(B240="",F240="",G240="Concluída",G240="Cancelada"),"",F240-Hoje)</f>
        <v/>
      </c>
      <c r="K240" s="138" t="str">
        <f>IF(B240="","",IF(G240="Concluída","✔ Feita",IF(G240="Cancelada","– Cancelada",IF(F240="","○ Sem prazo",IF(F240&lt;Hoje,"✖ Atrasada",IF(F240=Hoje,"▲ Vence hoje",IF(F240-Hoje&lt;=7,"▲ Próximos 7 dias","○ No prazo")))))))</f>
        <v/>
      </c>
      <c r="L240" s="138" t="str">
        <f>IF(OR(B240="",G240="Concluída",G240="Cancelada"),"",IF(E240="Alta",IF(AND(F240&lt;&gt;"",F240-Hoje&lt;=3),"1 · Fazer já","2 · Agendar"),IF(AND(F240&lt;&gt;"",F240-Hoje&lt;=3),"3 · Resolver rápido","4 · Depois")))</f>
        <v/>
      </c>
      <c r="M240" s="129" t="n"/>
      <c r="N240" t="str">
        <f>IF(AND(B240&lt;&gt;"",G240&lt;&gt;"Concluída",G240&lt;&gt;"Cancelada",F240&lt;&gt;""),F240+ROW()/100000,"")</f>
        <v/>
      </c>
    </row>
    <row r="241">
      <c r="B241" s="129" t="n"/>
      <c r="C241" s="129" t="n"/>
      <c r="D241" s="129" t="n"/>
      <c r="E241" s="129" t="n"/>
      <c r="F241" s="130" t="n"/>
      <c r="G241" s="129" t="n"/>
      <c r="H241" s="130" t="n"/>
      <c r="I241" s="129" t="n"/>
      <c r="J241" s="134" t="str">
        <f>IF(OR(B241="",F241="",G241="Concluída",G241="Cancelada"),"",F241-Hoje)</f>
        <v/>
      </c>
      <c r="K241" s="138" t="str">
        <f>IF(B241="","",IF(G241="Concluída","✔ Feita",IF(G241="Cancelada","– Cancelada",IF(F241="","○ Sem prazo",IF(F241&lt;Hoje,"✖ Atrasada",IF(F241=Hoje,"▲ Vence hoje",IF(F241-Hoje&lt;=7,"▲ Próximos 7 dias","○ No prazo")))))))</f>
        <v/>
      </c>
      <c r="L241" s="138" t="str">
        <f>IF(OR(B241="",G241="Concluída",G241="Cancelada"),"",IF(E241="Alta",IF(AND(F241&lt;&gt;"",F241-Hoje&lt;=3),"1 · Fazer já","2 · Agendar"),IF(AND(F241&lt;&gt;"",F241-Hoje&lt;=3),"3 · Resolver rápido","4 · Depois")))</f>
        <v/>
      </c>
      <c r="M241" s="129" t="n"/>
      <c r="N241" t="str">
        <f>IF(AND(B241&lt;&gt;"",G241&lt;&gt;"Concluída",G241&lt;&gt;"Cancelada",F241&lt;&gt;""),F241+ROW()/100000,"")</f>
        <v/>
      </c>
    </row>
    <row r="242">
      <c r="B242" s="129" t="n"/>
      <c r="C242" s="129" t="n"/>
      <c r="D242" s="129" t="n"/>
      <c r="E242" s="129" t="n"/>
      <c r="F242" s="130" t="n"/>
      <c r="G242" s="129" t="n"/>
      <c r="H242" s="130" t="n"/>
      <c r="I242" s="129" t="n"/>
      <c r="J242" s="134" t="str">
        <f>IF(OR(B242="",F242="",G242="Concluída",G242="Cancelada"),"",F242-Hoje)</f>
        <v/>
      </c>
      <c r="K242" s="138" t="str">
        <f>IF(B242="","",IF(G242="Concluída","✔ Feita",IF(G242="Cancelada","– Cancelada",IF(F242="","○ Sem prazo",IF(F242&lt;Hoje,"✖ Atrasada",IF(F242=Hoje,"▲ Vence hoje",IF(F242-Hoje&lt;=7,"▲ Próximos 7 dias","○ No prazo")))))))</f>
        <v/>
      </c>
      <c r="L242" s="138" t="str">
        <f>IF(OR(B242="",G242="Concluída",G242="Cancelada"),"",IF(E242="Alta",IF(AND(F242&lt;&gt;"",F242-Hoje&lt;=3),"1 · Fazer já","2 · Agendar"),IF(AND(F242&lt;&gt;"",F242-Hoje&lt;=3),"3 · Resolver rápido","4 · Depois")))</f>
        <v/>
      </c>
      <c r="M242" s="129" t="n"/>
      <c r="N242" t="str">
        <f>IF(AND(B242&lt;&gt;"",G242&lt;&gt;"Concluída",G242&lt;&gt;"Cancelada",F242&lt;&gt;""),F242+ROW()/100000,"")</f>
        <v/>
      </c>
    </row>
    <row r="243">
      <c r="B243" s="129" t="n"/>
      <c r="C243" s="129" t="n"/>
      <c r="D243" s="129" t="n"/>
      <c r="E243" s="129" t="n"/>
      <c r="F243" s="130" t="n"/>
      <c r="G243" s="129" t="n"/>
      <c r="H243" s="130" t="n"/>
      <c r="I243" s="129" t="n"/>
      <c r="J243" s="134" t="str">
        <f>IF(OR(B243="",F243="",G243="Concluída",G243="Cancelada"),"",F243-Hoje)</f>
        <v/>
      </c>
      <c r="K243" s="138" t="str">
        <f>IF(B243="","",IF(G243="Concluída","✔ Feita",IF(G243="Cancelada","– Cancelada",IF(F243="","○ Sem prazo",IF(F243&lt;Hoje,"✖ Atrasada",IF(F243=Hoje,"▲ Vence hoje",IF(F243-Hoje&lt;=7,"▲ Próximos 7 dias","○ No prazo")))))))</f>
        <v/>
      </c>
      <c r="L243" s="138" t="str">
        <f>IF(OR(B243="",G243="Concluída",G243="Cancelada"),"",IF(E243="Alta",IF(AND(F243&lt;&gt;"",F243-Hoje&lt;=3),"1 · Fazer já","2 · Agendar"),IF(AND(F243&lt;&gt;"",F243-Hoje&lt;=3),"3 · Resolver rápido","4 · Depois")))</f>
        <v/>
      </c>
      <c r="M243" s="129" t="n"/>
      <c r="N243" t="str">
        <f>IF(AND(B243&lt;&gt;"",G243&lt;&gt;"Concluída",G243&lt;&gt;"Cancelada",F243&lt;&gt;""),F243+ROW()/100000,"")</f>
        <v/>
      </c>
    </row>
    <row r="244">
      <c r="B244" s="129" t="n"/>
      <c r="C244" s="129" t="n"/>
      <c r="D244" s="129" t="n"/>
      <c r="E244" s="129" t="n"/>
      <c r="F244" s="130" t="n"/>
      <c r="G244" s="129" t="n"/>
      <c r="H244" s="130" t="n"/>
      <c r="I244" s="129" t="n"/>
      <c r="J244" s="134" t="str">
        <f>IF(OR(B244="",F244="",G244="Concluída",G244="Cancelada"),"",F244-Hoje)</f>
        <v/>
      </c>
      <c r="K244" s="138" t="str">
        <f>IF(B244="","",IF(G244="Concluída","✔ Feita",IF(G244="Cancelada","– Cancelada",IF(F244="","○ Sem prazo",IF(F244&lt;Hoje,"✖ Atrasada",IF(F244=Hoje,"▲ Vence hoje",IF(F244-Hoje&lt;=7,"▲ Próximos 7 dias","○ No prazo")))))))</f>
        <v/>
      </c>
      <c r="L244" s="138" t="str">
        <f>IF(OR(B244="",G244="Concluída",G244="Cancelada"),"",IF(E244="Alta",IF(AND(F244&lt;&gt;"",F244-Hoje&lt;=3),"1 · Fazer já","2 · Agendar"),IF(AND(F244&lt;&gt;"",F244-Hoje&lt;=3),"3 · Resolver rápido","4 · Depois")))</f>
        <v/>
      </c>
      <c r="M244" s="129" t="n"/>
      <c r="N244" t="str">
        <f>IF(AND(B244&lt;&gt;"",G244&lt;&gt;"Concluída",G244&lt;&gt;"Cancelada",F244&lt;&gt;""),F244+ROW()/100000,"")</f>
        <v/>
      </c>
    </row>
    <row r="245">
      <c r="B245" s="129" t="n"/>
      <c r="C245" s="129" t="n"/>
      <c r="D245" s="129" t="n"/>
      <c r="E245" s="129" t="n"/>
      <c r="F245" s="130" t="n"/>
      <c r="G245" s="129" t="n"/>
      <c r="H245" s="130" t="n"/>
      <c r="I245" s="129" t="n"/>
      <c r="J245" s="134" t="str">
        <f>IF(OR(B245="",F245="",G245="Concluída",G245="Cancelada"),"",F245-Hoje)</f>
        <v/>
      </c>
      <c r="K245" s="138" t="str">
        <f>IF(B245="","",IF(G245="Concluída","✔ Feita",IF(G245="Cancelada","– Cancelada",IF(F245="","○ Sem prazo",IF(F245&lt;Hoje,"✖ Atrasada",IF(F245=Hoje,"▲ Vence hoje",IF(F245-Hoje&lt;=7,"▲ Próximos 7 dias","○ No prazo")))))))</f>
        <v/>
      </c>
      <c r="L245" s="138" t="str">
        <f>IF(OR(B245="",G245="Concluída",G245="Cancelada"),"",IF(E245="Alta",IF(AND(F245&lt;&gt;"",F245-Hoje&lt;=3),"1 · Fazer já","2 · Agendar"),IF(AND(F245&lt;&gt;"",F245-Hoje&lt;=3),"3 · Resolver rápido","4 · Depois")))</f>
        <v/>
      </c>
      <c r="M245" s="129" t="n"/>
      <c r="N245" t="str">
        <f>IF(AND(B245&lt;&gt;"",G245&lt;&gt;"Concluída",G245&lt;&gt;"Cancelada",F245&lt;&gt;""),F245+ROW()/100000,"")</f>
        <v/>
      </c>
    </row>
    <row r="246">
      <c r="B246" s="129" t="n"/>
      <c r="C246" s="129" t="n"/>
      <c r="D246" s="129" t="n"/>
      <c r="E246" s="129" t="n"/>
      <c r="F246" s="130" t="n"/>
      <c r="G246" s="129" t="n"/>
      <c r="H246" s="130" t="n"/>
      <c r="I246" s="129" t="n"/>
      <c r="J246" s="134" t="str">
        <f>IF(OR(B246="",F246="",G246="Concluída",G246="Cancelada"),"",F246-Hoje)</f>
        <v/>
      </c>
      <c r="K246" s="138" t="str">
        <f>IF(B246="","",IF(G246="Concluída","✔ Feita",IF(G246="Cancelada","– Cancelada",IF(F246="","○ Sem prazo",IF(F246&lt;Hoje,"✖ Atrasada",IF(F246=Hoje,"▲ Vence hoje",IF(F246-Hoje&lt;=7,"▲ Próximos 7 dias","○ No prazo")))))))</f>
        <v/>
      </c>
      <c r="L246" s="138" t="str">
        <f>IF(OR(B246="",G246="Concluída",G246="Cancelada"),"",IF(E246="Alta",IF(AND(F246&lt;&gt;"",F246-Hoje&lt;=3),"1 · Fazer já","2 · Agendar"),IF(AND(F246&lt;&gt;"",F246-Hoje&lt;=3),"3 · Resolver rápido","4 · Depois")))</f>
        <v/>
      </c>
      <c r="M246" s="129" t="n"/>
      <c r="N246" t="str">
        <f>IF(AND(B246&lt;&gt;"",G246&lt;&gt;"Concluída",G246&lt;&gt;"Cancelada",F246&lt;&gt;""),F246+ROW()/100000,"")</f>
        <v/>
      </c>
    </row>
    <row r="247">
      <c r="B247" s="129" t="n"/>
      <c r="C247" s="129" t="n"/>
      <c r="D247" s="129" t="n"/>
      <c r="E247" s="129" t="n"/>
      <c r="F247" s="130" t="n"/>
      <c r="G247" s="129" t="n"/>
      <c r="H247" s="130" t="n"/>
      <c r="I247" s="129" t="n"/>
      <c r="J247" s="134" t="str">
        <f>IF(OR(B247="",F247="",G247="Concluída",G247="Cancelada"),"",F247-Hoje)</f>
        <v/>
      </c>
      <c r="K247" s="138" t="str">
        <f>IF(B247="","",IF(G247="Concluída","✔ Feita",IF(G247="Cancelada","– Cancelada",IF(F247="","○ Sem prazo",IF(F247&lt;Hoje,"✖ Atrasada",IF(F247=Hoje,"▲ Vence hoje",IF(F247-Hoje&lt;=7,"▲ Próximos 7 dias","○ No prazo")))))))</f>
        <v/>
      </c>
      <c r="L247" s="138" t="str">
        <f>IF(OR(B247="",G247="Concluída",G247="Cancelada"),"",IF(E247="Alta",IF(AND(F247&lt;&gt;"",F247-Hoje&lt;=3),"1 · Fazer já","2 · Agendar"),IF(AND(F247&lt;&gt;"",F247-Hoje&lt;=3),"3 · Resolver rápido","4 · Depois")))</f>
        <v/>
      </c>
      <c r="M247" s="129" t="n"/>
      <c r="N247" t="str">
        <f>IF(AND(B247&lt;&gt;"",G247&lt;&gt;"Concluída",G247&lt;&gt;"Cancelada",F247&lt;&gt;""),F247+ROW()/100000,"")</f>
        <v/>
      </c>
    </row>
    <row r="248">
      <c r="B248" s="129" t="n"/>
      <c r="C248" s="129" t="n"/>
      <c r="D248" s="129" t="n"/>
      <c r="E248" s="129" t="n"/>
      <c r="F248" s="130" t="n"/>
      <c r="G248" s="129" t="n"/>
      <c r="H248" s="130" t="n"/>
      <c r="I248" s="129" t="n"/>
      <c r="J248" s="134" t="str">
        <f>IF(OR(B248="",F248="",G248="Concluída",G248="Cancelada"),"",F248-Hoje)</f>
        <v/>
      </c>
      <c r="K248" s="138" t="str">
        <f>IF(B248="","",IF(G248="Concluída","✔ Feita",IF(G248="Cancelada","– Cancelada",IF(F248="","○ Sem prazo",IF(F248&lt;Hoje,"✖ Atrasada",IF(F248=Hoje,"▲ Vence hoje",IF(F248-Hoje&lt;=7,"▲ Próximos 7 dias","○ No prazo")))))))</f>
        <v/>
      </c>
      <c r="L248" s="138" t="str">
        <f>IF(OR(B248="",G248="Concluída",G248="Cancelada"),"",IF(E248="Alta",IF(AND(F248&lt;&gt;"",F248-Hoje&lt;=3),"1 · Fazer já","2 · Agendar"),IF(AND(F248&lt;&gt;"",F248-Hoje&lt;=3),"3 · Resolver rápido","4 · Depois")))</f>
        <v/>
      </c>
      <c r="M248" s="129" t="n"/>
      <c r="N248" t="str">
        <f>IF(AND(B248&lt;&gt;"",G248&lt;&gt;"Concluída",G248&lt;&gt;"Cancelada",F248&lt;&gt;""),F248+ROW()/100000,"")</f>
        <v/>
      </c>
    </row>
    <row r="249">
      <c r="B249" s="129" t="n"/>
      <c r="C249" s="129" t="n"/>
      <c r="D249" s="129" t="n"/>
      <c r="E249" s="129" t="n"/>
      <c r="F249" s="130" t="n"/>
      <c r="G249" s="129" t="n"/>
      <c r="H249" s="130" t="n"/>
      <c r="I249" s="129" t="n"/>
      <c r="J249" s="134" t="str">
        <f>IF(OR(B249="",F249="",G249="Concluída",G249="Cancelada"),"",F249-Hoje)</f>
        <v/>
      </c>
      <c r="K249" s="138" t="str">
        <f>IF(B249="","",IF(G249="Concluída","✔ Feita",IF(G249="Cancelada","– Cancelada",IF(F249="","○ Sem prazo",IF(F249&lt;Hoje,"✖ Atrasada",IF(F249=Hoje,"▲ Vence hoje",IF(F249-Hoje&lt;=7,"▲ Próximos 7 dias","○ No prazo")))))))</f>
        <v/>
      </c>
      <c r="L249" s="138" t="str">
        <f>IF(OR(B249="",G249="Concluída",G249="Cancelada"),"",IF(E249="Alta",IF(AND(F249&lt;&gt;"",F249-Hoje&lt;=3),"1 · Fazer já","2 · Agendar"),IF(AND(F249&lt;&gt;"",F249-Hoje&lt;=3),"3 · Resolver rápido","4 · Depois")))</f>
        <v/>
      </c>
      <c r="M249" s="129" t="n"/>
      <c r="N249" t="str">
        <f>IF(AND(B249&lt;&gt;"",G249&lt;&gt;"Concluída",G249&lt;&gt;"Cancelada",F249&lt;&gt;""),F249+ROW()/100000,"")</f>
        <v/>
      </c>
    </row>
    <row r="250">
      <c r="B250" s="129" t="n"/>
      <c r="C250" s="129" t="n"/>
      <c r="D250" s="129" t="n"/>
      <c r="E250" s="129" t="n"/>
      <c r="F250" s="130" t="n"/>
      <c r="G250" s="129" t="n"/>
      <c r="H250" s="130" t="n"/>
      <c r="I250" s="129" t="n"/>
      <c r="J250" s="134" t="str">
        <f>IF(OR(B250="",F250="",G250="Concluída",G250="Cancelada"),"",F250-Hoje)</f>
        <v/>
      </c>
      <c r="K250" s="138" t="str">
        <f>IF(B250="","",IF(G250="Concluída","✔ Feita",IF(G250="Cancelada","– Cancelada",IF(F250="","○ Sem prazo",IF(F250&lt;Hoje,"✖ Atrasada",IF(F250=Hoje,"▲ Vence hoje",IF(F250-Hoje&lt;=7,"▲ Próximos 7 dias","○ No prazo")))))))</f>
        <v/>
      </c>
      <c r="L250" s="138" t="str">
        <f>IF(OR(B250="",G250="Concluída",G250="Cancelada"),"",IF(E250="Alta",IF(AND(F250&lt;&gt;"",F250-Hoje&lt;=3),"1 · Fazer já","2 · Agendar"),IF(AND(F250&lt;&gt;"",F250-Hoje&lt;=3),"3 · Resolver rápido","4 · Depois")))</f>
        <v/>
      </c>
      <c r="M250" s="129" t="n"/>
      <c r="N250" t="str">
        <f>IF(AND(B250&lt;&gt;"",G250&lt;&gt;"Concluída",G250&lt;&gt;"Cancelada",F250&lt;&gt;""),F250+ROW()/100000,"")</f>
        <v/>
      </c>
    </row>
    <row r="251">
      <c r="B251" s="129" t="n"/>
      <c r="C251" s="129" t="n"/>
      <c r="D251" s="129" t="n"/>
      <c r="E251" s="129" t="n"/>
      <c r="F251" s="130" t="n"/>
      <c r="G251" s="129" t="n"/>
      <c r="H251" s="130" t="n"/>
      <c r="I251" s="129" t="n"/>
      <c r="J251" s="134" t="str">
        <f>IF(OR(B251="",F251="",G251="Concluída",G251="Cancelada"),"",F251-Hoje)</f>
        <v/>
      </c>
      <c r="K251" s="138" t="str">
        <f>IF(B251="","",IF(G251="Concluída","✔ Feita",IF(G251="Cancelada","– Cancelada",IF(F251="","○ Sem prazo",IF(F251&lt;Hoje,"✖ Atrasada",IF(F251=Hoje,"▲ Vence hoje",IF(F251-Hoje&lt;=7,"▲ Próximos 7 dias","○ No prazo")))))))</f>
        <v/>
      </c>
      <c r="L251" s="138" t="str">
        <f>IF(OR(B251="",G251="Concluída",G251="Cancelada"),"",IF(E251="Alta",IF(AND(F251&lt;&gt;"",F251-Hoje&lt;=3),"1 · Fazer já","2 · Agendar"),IF(AND(F251&lt;&gt;"",F251-Hoje&lt;=3),"3 · Resolver rápido","4 · Depois")))</f>
        <v/>
      </c>
      <c r="M251" s="129" t="n"/>
      <c r="N251" t="str">
        <f>IF(AND(B251&lt;&gt;"",G251&lt;&gt;"Concluída",G251&lt;&gt;"Cancelada",F251&lt;&gt;""),F251+ROW()/100000,"")</f>
        <v/>
      </c>
    </row>
    <row r="252">
      <c r="B252" s="129" t="n"/>
      <c r="C252" s="129" t="n"/>
      <c r="D252" s="129" t="n"/>
      <c r="E252" s="129" t="n"/>
      <c r="F252" s="130" t="n"/>
      <c r="G252" s="129" t="n"/>
      <c r="H252" s="130" t="n"/>
      <c r="I252" s="129" t="n"/>
      <c r="J252" s="134" t="str">
        <f>IF(OR(B252="",F252="",G252="Concluída",G252="Cancelada"),"",F252-Hoje)</f>
        <v/>
      </c>
      <c r="K252" s="138" t="str">
        <f>IF(B252="","",IF(G252="Concluída","✔ Feita",IF(G252="Cancelada","– Cancelada",IF(F252="","○ Sem prazo",IF(F252&lt;Hoje,"✖ Atrasada",IF(F252=Hoje,"▲ Vence hoje",IF(F252-Hoje&lt;=7,"▲ Próximos 7 dias","○ No prazo")))))))</f>
        <v/>
      </c>
      <c r="L252" s="138" t="str">
        <f>IF(OR(B252="",G252="Concluída",G252="Cancelada"),"",IF(E252="Alta",IF(AND(F252&lt;&gt;"",F252-Hoje&lt;=3),"1 · Fazer já","2 · Agendar"),IF(AND(F252&lt;&gt;"",F252-Hoje&lt;=3),"3 · Resolver rápido","4 · Depois")))</f>
        <v/>
      </c>
      <c r="M252" s="129" t="n"/>
      <c r="N252" t="str">
        <f>IF(AND(B252&lt;&gt;"",G252&lt;&gt;"Concluída",G252&lt;&gt;"Cancelada",F252&lt;&gt;""),F252+ROW()/100000,"")</f>
        <v/>
      </c>
    </row>
    <row r="253">
      <c r="B253" s="129" t="n"/>
      <c r="C253" s="129" t="n"/>
      <c r="D253" s="129" t="n"/>
      <c r="E253" s="129" t="n"/>
      <c r="F253" s="130" t="n"/>
      <c r="G253" s="129" t="n"/>
      <c r="H253" s="130" t="n"/>
      <c r="I253" s="129" t="n"/>
      <c r="J253" s="134" t="str">
        <f>IF(OR(B253="",F253="",G253="Concluída",G253="Cancelada"),"",F253-Hoje)</f>
        <v/>
      </c>
      <c r="K253" s="138" t="str">
        <f>IF(B253="","",IF(G253="Concluída","✔ Feita",IF(G253="Cancelada","– Cancelada",IF(F253="","○ Sem prazo",IF(F253&lt;Hoje,"✖ Atrasada",IF(F253=Hoje,"▲ Vence hoje",IF(F253-Hoje&lt;=7,"▲ Próximos 7 dias","○ No prazo")))))))</f>
        <v/>
      </c>
      <c r="L253" s="138" t="str">
        <f>IF(OR(B253="",G253="Concluída",G253="Cancelada"),"",IF(E253="Alta",IF(AND(F253&lt;&gt;"",F253-Hoje&lt;=3),"1 · Fazer já","2 · Agendar"),IF(AND(F253&lt;&gt;"",F253-Hoje&lt;=3),"3 · Resolver rápido","4 · Depois")))</f>
        <v/>
      </c>
      <c r="M253" s="129" t="n"/>
      <c r="N253" t="str">
        <f>IF(AND(B253&lt;&gt;"",G253&lt;&gt;"Concluída",G253&lt;&gt;"Cancelada",F253&lt;&gt;""),F253+ROW()/100000,"")</f>
        <v/>
      </c>
    </row>
    <row r="254">
      <c r="B254" s="129" t="n"/>
      <c r="C254" s="129" t="n"/>
      <c r="D254" s="129" t="n"/>
      <c r="E254" s="129" t="n"/>
      <c r="F254" s="130" t="n"/>
      <c r="G254" s="129" t="n"/>
      <c r="H254" s="130" t="n"/>
      <c r="I254" s="129" t="n"/>
      <c r="J254" s="134" t="str">
        <f>IF(OR(B254="",F254="",G254="Concluída",G254="Cancelada"),"",F254-Hoje)</f>
        <v/>
      </c>
      <c r="K254" s="138" t="str">
        <f>IF(B254="","",IF(G254="Concluída","✔ Feita",IF(G254="Cancelada","– Cancelada",IF(F254="","○ Sem prazo",IF(F254&lt;Hoje,"✖ Atrasada",IF(F254=Hoje,"▲ Vence hoje",IF(F254-Hoje&lt;=7,"▲ Próximos 7 dias","○ No prazo")))))))</f>
        <v/>
      </c>
      <c r="L254" s="138" t="str">
        <f>IF(OR(B254="",G254="Concluída",G254="Cancelada"),"",IF(E254="Alta",IF(AND(F254&lt;&gt;"",F254-Hoje&lt;=3),"1 · Fazer já","2 · Agendar"),IF(AND(F254&lt;&gt;"",F254-Hoje&lt;=3),"3 · Resolver rápido","4 · Depois")))</f>
        <v/>
      </c>
      <c r="M254" s="129" t="n"/>
      <c r="N254" t="str">
        <f>IF(AND(B254&lt;&gt;"",G254&lt;&gt;"Concluída",G254&lt;&gt;"Cancelada",F254&lt;&gt;""),F254+ROW()/100000,"")</f>
        <v/>
      </c>
    </row>
    <row r="255">
      <c r="B255" s="129" t="n"/>
      <c r="C255" s="129" t="n"/>
      <c r="D255" s="129" t="n"/>
      <c r="E255" s="129" t="n"/>
      <c r="F255" s="130" t="n"/>
      <c r="G255" s="129" t="n"/>
      <c r="H255" s="130" t="n"/>
      <c r="I255" s="129" t="n"/>
      <c r="J255" s="134" t="str">
        <f>IF(OR(B255="",F255="",G255="Concluída",G255="Cancelada"),"",F255-Hoje)</f>
        <v/>
      </c>
      <c r="K255" s="138" t="str">
        <f>IF(B255="","",IF(G255="Concluída","✔ Feita",IF(G255="Cancelada","– Cancelada",IF(F255="","○ Sem prazo",IF(F255&lt;Hoje,"✖ Atrasada",IF(F255=Hoje,"▲ Vence hoje",IF(F255-Hoje&lt;=7,"▲ Próximos 7 dias","○ No prazo")))))))</f>
        <v/>
      </c>
      <c r="L255" s="138" t="str">
        <f>IF(OR(B255="",G255="Concluída",G255="Cancelada"),"",IF(E255="Alta",IF(AND(F255&lt;&gt;"",F255-Hoje&lt;=3),"1 · Fazer já","2 · Agendar"),IF(AND(F255&lt;&gt;"",F255-Hoje&lt;=3),"3 · Resolver rápido","4 · Depois")))</f>
        <v/>
      </c>
      <c r="M255" s="129" t="n"/>
      <c r="N255" t="str">
        <f>IF(AND(B255&lt;&gt;"",G255&lt;&gt;"Concluída",G255&lt;&gt;"Cancelada",F255&lt;&gt;""),F255+ROW()/100000,"")</f>
        <v/>
      </c>
    </row>
    <row r="256">
      <c r="B256" s="129" t="n"/>
      <c r="C256" s="129" t="n"/>
      <c r="D256" s="129" t="n"/>
      <c r="E256" s="129" t="n"/>
      <c r="F256" s="130" t="n"/>
      <c r="G256" s="129" t="n"/>
      <c r="H256" s="130" t="n"/>
      <c r="I256" s="129" t="n"/>
      <c r="J256" s="134" t="str">
        <f>IF(OR(B256="",F256="",G256="Concluída",G256="Cancelada"),"",F256-Hoje)</f>
        <v/>
      </c>
      <c r="K256" s="138" t="str">
        <f>IF(B256="","",IF(G256="Concluída","✔ Feita",IF(G256="Cancelada","– Cancelada",IF(F256="","○ Sem prazo",IF(F256&lt;Hoje,"✖ Atrasada",IF(F256=Hoje,"▲ Vence hoje",IF(F256-Hoje&lt;=7,"▲ Próximos 7 dias","○ No prazo")))))))</f>
        <v/>
      </c>
      <c r="L256" s="138" t="str">
        <f>IF(OR(B256="",G256="Concluída",G256="Cancelada"),"",IF(E256="Alta",IF(AND(F256&lt;&gt;"",F256-Hoje&lt;=3),"1 · Fazer já","2 · Agendar"),IF(AND(F256&lt;&gt;"",F256-Hoje&lt;=3),"3 · Resolver rápido","4 · Depois")))</f>
        <v/>
      </c>
      <c r="M256" s="129" t="n"/>
      <c r="N256" t="str">
        <f>IF(AND(B256&lt;&gt;"",G256&lt;&gt;"Concluída",G256&lt;&gt;"Cancelada",F256&lt;&gt;""),F256+ROW()/100000,"")</f>
        <v/>
      </c>
    </row>
    <row r="257">
      <c r="B257" s="129" t="n"/>
      <c r="C257" s="129" t="n"/>
      <c r="D257" s="129" t="n"/>
      <c r="E257" s="129" t="n"/>
      <c r="F257" s="130" t="n"/>
      <c r="G257" s="129" t="n"/>
      <c r="H257" s="130" t="n"/>
      <c r="I257" s="129" t="n"/>
      <c r="J257" s="134" t="str">
        <f>IF(OR(B257="",F257="",G257="Concluída",G257="Cancelada"),"",F257-Hoje)</f>
        <v/>
      </c>
      <c r="K257" s="138" t="str">
        <f>IF(B257="","",IF(G257="Concluída","✔ Feita",IF(G257="Cancelada","– Cancelada",IF(F257="","○ Sem prazo",IF(F257&lt;Hoje,"✖ Atrasada",IF(F257=Hoje,"▲ Vence hoje",IF(F257-Hoje&lt;=7,"▲ Próximos 7 dias","○ No prazo")))))))</f>
        <v/>
      </c>
      <c r="L257" s="138" t="str">
        <f>IF(OR(B257="",G257="Concluída",G257="Cancelada"),"",IF(E257="Alta",IF(AND(F257&lt;&gt;"",F257-Hoje&lt;=3),"1 · Fazer já","2 · Agendar"),IF(AND(F257&lt;&gt;"",F257-Hoje&lt;=3),"3 · Resolver rápido","4 · Depois")))</f>
        <v/>
      </c>
      <c r="M257" s="129" t="n"/>
      <c r="N257" t="str">
        <f>IF(AND(B257&lt;&gt;"",G257&lt;&gt;"Concluída",G257&lt;&gt;"Cancelada",F257&lt;&gt;""),F257+ROW()/100000,"")</f>
        <v/>
      </c>
    </row>
    <row r="258">
      <c r="B258" s="129" t="n"/>
      <c r="C258" s="129" t="n"/>
      <c r="D258" s="129" t="n"/>
      <c r="E258" s="129" t="n"/>
      <c r="F258" s="130" t="n"/>
      <c r="G258" s="129" t="n"/>
      <c r="H258" s="130" t="n"/>
      <c r="I258" s="129" t="n"/>
      <c r="J258" s="134" t="str">
        <f>IF(OR(B258="",F258="",G258="Concluída",G258="Cancelada"),"",F258-Hoje)</f>
        <v/>
      </c>
      <c r="K258" s="138" t="str">
        <f>IF(B258="","",IF(G258="Concluída","✔ Feita",IF(G258="Cancelada","– Cancelada",IF(F258="","○ Sem prazo",IF(F258&lt;Hoje,"✖ Atrasada",IF(F258=Hoje,"▲ Vence hoje",IF(F258-Hoje&lt;=7,"▲ Próximos 7 dias","○ No prazo")))))))</f>
        <v/>
      </c>
      <c r="L258" s="138" t="str">
        <f>IF(OR(B258="",G258="Concluída",G258="Cancelada"),"",IF(E258="Alta",IF(AND(F258&lt;&gt;"",F258-Hoje&lt;=3),"1 · Fazer já","2 · Agendar"),IF(AND(F258&lt;&gt;"",F258-Hoje&lt;=3),"3 · Resolver rápido","4 · Depois")))</f>
        <v/>
      </c>
      <c r="M258" s="129" t="n"/>
      <c r="N258" t="str">
        <f>IF(AND(B258&lt;&gt;"",G258&lt;&gt;"Concluída",G258&lt;&gt;"Cancelada",F258&lt;&gt;""),F258+ROW()/100000,"")</f>
        <v/>
      </c>
    </row>
    <row r="259">
      <c r="B259" s="129" t="n"/>
      <c r="C259" s="129" t="n"/>
      <c r="D259" s="129" t="n"/>
      <c r="E259" s="129" t="n"/>
      <c r="F259" s="130" t="n"/>
      <c r="G259" s="129" t="n"/>
      <c r="H259" s="130" t="n"/>
      <c r="I259" s="129" t="n"/>
      <c r="J259" s="134" t="str">
        <f>IF(OR(B259="",F259="",G259="Concluída",G259="Cancelada"),"",F259-Hoje)</f>
        <v/>
      </c>
      <c r="K259" s="138" t="str">
        <f>IF(B259="","",IF(G259="Concluída","✔ Feita",IF(G259="Cancelada","– Cancelada",IF(F259="","○ Sem prazo",IF(F259&lt;Hoje,"✖ Atrasada",IF(F259=Hoje,"▲ Vence hoje",IF(F259-Hoje&lt;=7,"▲ Próximos 7 dias","○ No prazo")))))))</f>
        <v/>
      </c>
      <c r="L259" s="138" t="str">
        <f>IF(OR(B259="",G259="Concluída",G259="Cancelada"),"",IF(E259="Alta",IF(AND(F259&lt;&gt;"",F259-Hoje&lt;=3),"1 · Fazer já","2 · Agendar"),IF(AND(F259&lt;&gt;"",F259-Hoje&lt;=3),"3 · Resolver rápido","4 · Depois")))</f>
        <v/>
      </c>
      <c r="M259" s="129" t="n"/>
      <c r="N259" t="str">
        <f>IF(AND(B259&lt;&gt;"",G259&lt;&gt;"Concluída",G259&lt;&gt;"Cancelada",F259&lt;&gt;""),F259+ROW()/100000,"")</f>
        <v/>
      </c>
    </row>
    <row r="260">
      <c r="B260" s="129" t="n"/>
      <c r="C260" s="129" t="n"/>
      <c r="D260" s="129" t="n"/>
      <c r="E260" s="129" t="n"/>
      <c r="F260" s="130" t="n"/>
      <c r="G260" s="129" t="n"/>
      <c r="H260" s="130" t="n"/>
      <c r="I260" s="129" t="n"/>
      <c r="J260" s="134" t="str">
        <f>IF(OR(B260="",F260="",G260="Concluída",G260="Cancelada"),"",F260-Hoje)</f>
        <v/>
      </c>
      <c r="K260" s="138" t="str">
        <f>IF(B260="","",IF(G260="Concluída","✔ Feita",IF(G260="Cancelada","– Cancelada",IF(F260="","○ Sem prazo",IF(F260&lt;Hoje,"✖ Atrasada",IF(F260=Hoje,"▲ Vence hoje",IF(F260-Hoje&lt;=7,"▲ Próximos 7 dias","○ No prazo")))))))</f>
        <v/>
      </c>
      <c r="L260" s="138" t="str">
        <f>IF(OR(B260="",G260="Concluída",G260="Cancelada"),"",IF(E260="Alta",IF(AND(F260&lt;&gt;"",F260-Hoje&lt;=3),"1 · Fazer já","2 · Agendar"),IF(AND(F260&lt;&gt;"",F260-Hoje&lt;=3),"3 · Resolver rápido","4 · Depois")))</f>
        <v/>
      </c>
      <c r="M260" s="129" t="n"/>
      <c r="N260" t="str">
        <f>IF(AND(B260&lt;&gt;"",G260&lt;&gt;"Concluída",G260&lt;&gt;"Cancelada",F260&lt;&gt;""),F260+ROW()/100000,"")</f>
        <v/>
      </c>
    </row>
    <row r="261">
      <c r="B261" s="129" t="n"/>
      <c r="C261" s="129" t="n"/>
      <c r="D261" s="129" t="n"/>
      <c r="E261" s="129" t="n"/>
      <c r="F261" s="130" t="n"/>
      <c r="G261" s="129" t="n"/>
      <c r="H261" s="130" t="n"/>
      <c r="I261" s="129" t="n"/>
      <c r="J261" s="134" t="str">
        <f>IF(OR(B261="",F261="",G261="Concluída",G261="Cancelada"),"",F261-Hoje)</f>
        <v/>
      </c>
      <c r="K261" s="138" t="str">
        <f>IF(B261="","",IF(G261="Concluída","✔ Feita",IF(G261="Cancelada","– Cancelada",IF(F261="","○ Sem prazo",IF(F261&lt;Hoje,"✖ Atrasada",IF(F261=Hoje,"▲ Vence hoje",IF(F261-Hoje&lt;=7,"▲ Próximos 7 dias","○ No prazo")))))))</f>
        <v/>
      </c>
      <c r="L261" s="138" t="str">
        <f>IF(OR(B261="",G261="Concluída",G261="Cancelada"),"",IF(E261="Alta",IF(AND(F261&lt;&gt;"",F261-Hoje&lt;=3),"1 · Fazer já","2 · Agendar"),IF(AND(F261&lt;&gt;"",F261-Hoje&lt;=3),"3 · Resolver rápido","4 · Depois")))</f>
        <v/>
      </c>
      <c r="M261" s="129" t="n"/>
      <c r="N261" t="str">
        <f>IF(AND(B261&lt;&gt;"",G261&lt;&gt;"Concluída",G261&lt;&gt;"Cancelada",F261&lt;&gt;""),F261+ROW()/100000,"")</f>
        <v/>
      </c>
    </row>
    <row r="262">
      <c r="B262" s="129" t="n"/>
      <c r="C262" s="129" t="n"/>
      <c r="D262" s="129" t="n"/>
      <c r="E262" s="129" t="n"/>
      <c r="F262" s="130" t="n"/>
      <c r="G262" s="129" t="n"/>
      <c r="H262" s="130" t="n"/>
      <c r="I262" s="129" t="n"/>
      <c r="J262" s="134" t="str">
        <f>IF(OR(B262="",F262="",G262="Concluída",G262="Cancelada"),"",F262-Hoje)</f>
        <v/>
      </c>
      <c r="K262" s="138" t="str">
        <f>IF(B262="","",IF(G262="Concluída","✔ Feita",IF(G262="Cancelada","– Cancelada",IF(F262="","○ Sem prazo",IF(F262&lt;Hoje,"✖ Atrasada",IF(F262=Hoje,"▲ Vence hoje",IF(F262-Hoje&lt;=7,"▲ Próximos 7 dias","○ No prazo")))))))</f>
        <v/>
      </c>
      <c r="L262" s="138" t="str">
        <f>IF(OR(B262="",G262="Concluída",G262="Cancelada"),"",IF(E262="Alta",IF(AND(F262&lt;&gt;"",F262-Hoje&lt;=3),"1 · Fazer já","2 · Agendar"),IF(AND(F262&lt;&gt;"",F262-Hoje&lt;=3),"3 · Resolver rápido","4 · Depois")))</f>
        <v/>
      </c>
      <c r="M262" s="129" t="n"/>
      <c r="N262" t="str">
        <f>IF(AND(B262&lt;&gt;"",G262&lt;&gt;"Concluída",G262&lt;&gt;"Cancelada",F262&lt;&gt;""),F262+ROW()/100000,"")</f>
        <v/>
      </c>
    </row>
    <row r="263">
      <c r="B263" s="129" t="n"/>
      <c r="C263" s="129" t="n"/>
      <c r="D263" s="129" t="n"/>
      <c r="E263" s="129" t="n"/>
      <c r="F263" s="130" t="n"/>
      <c r="G263" s="129" t="n"/>
      <c r="H263" s="130" t="n"/>
      <c r="I263" s="129" t="n"/>
      <c r="J263" s="134" t="str">
        <f>IF(OR(B263="",F263="",G263="Concluída",G263="Cancelada"),"",F263-Hoje)</f>
        <v/>
      </c>
      <c r="K263" s="138" t="str">
        <f>IF(B263="","",IF(G263="Concluída","✔ Feita",IF(G263="Cancelada","– Cancelada",IF(F263="","○ Sem prazo",IF(F263&lt;Hoje,"✖ Atrasada",IF(F263=Hoje,"▲ Vence hoje",IF(F263-Hoje&lt;=7,"▲ Próximos 7 dias","○ No prazo")))))))</f>
        <v/>
      </c>
      <c r="L263" s="138" t="str">
        <f>IF(OR(B263="",G263="Concluída",G263="Cancelada"),"",IF(E263="Alta",IF(AND(F263&lt;&gt;"",F263-Hoje&lt;=3),"1 · Fazer já","2 · Agendar"),IF(AND(F263&lt;&gt;"",F263-Hoje&lt;=3),"3 · Resolver rápido","4 · Depois")))</f>
        <v/>
      </c>
      <c r="M263" s="129" t="n"/>
      <c r="N263" t="str">
        <f>IF(AND(B263&lt;&gt;"",G263&lt;&gt;"Concluída",G263&lt;&gt;"Cancelada",F263&lt;&gt;""),F263+ROW()/100000,"")</f>
        <v/>
      </c>
    </row>
    <row r="264">
      <c r="B264" s="129" t="n"/>
      <c r="C264" s="129" t="n"/>
      <c r="D264" s="129" t="n"/>
      <c r="E264" s="129" t="n"/>
      <c r="F264" s="130" t="n"/>
      <c r="G264" s="129" t="n"/>
      <c r="H264" s="130" t="n"/>
      <c r="I264" s="129" t="n"/>
      <c r="J264" s="134" t="str">
        <f>IF(OR(B264="",F264="",G264="Concluída",G264="Cancelada"),"",F264-Hoje)</f>
        <v/>
      </c>
      <c r="K264" s="138" t="str">
        <f>IF(B264="","",IF(G264="Concluída","✔ Feita",IF(G264="Cancelada","– Cancelada",IF(F264="","○ Sem prazo",IF(F264&lt;Hoje,"✖ Atrasada",IF(F264=Hoje,"▲ Vence hoje",IF(F264-Hoje&lt;=7,"▲ Próximos 7 dias","○ No prazo")))))))</f>
        <v/>
      </c>
      <c r="L264" s="138" t="str">
        <f>IF(OR(B264="",G264="Concluída",G264="Cancelada"),"",IF(E264="Alta",IF(AND(F264&lt;&gt;"",F264-Hoje&lt;=3),"1 · Fazer já","2 · Agendar"),IF(AND(F264&lt;&gt;"",F264-Hoje&lt;=3),"3 · Resolver rápido","4 · Depois")))</f>
        <v/>
      </c>
      <c r="M264" s="129" t="n"/>
      <c r="N264" t="str">
        <f>IF(AND(B264&lt;&gt;"",G264&lt;&gt;"Concluída",G264&lt;&gt;"Cancelada",F264&lt;&gt;""),F264+ROW()/100000,"")</f>
        <v/>
      </c>
    </row>
    <row r="265">
      <c r="B265" s="129" t="n"/>
      <c r="C265" s="129" t="n"/>
      <c r="D265" s="129" t="n"/>
      <c r="E265" s="129" t="n"/>
      <c r="F265" s="130" t="n"/>
      <c r="G265" s="129" t="n"/>
      <c r="H265" s="130" t="n"/>
      <c r="I265" s="129" t="n"/>
      <c r="J265" s="134" t="str">
        <f>IF(OR(B265="",F265="",G265="Concluída",G265="Cancelada"),"",F265-Hoje)</f>
        <v/>
      </c>
      <c r="K265" s="138" t="str">
        <f>IF(B265="","",IF(G265="Concluída","✔ Feita",IF(G265="Cancelada","– Cancelada",IF(F265="","○ Sem prazo",IF(F265&lt;Hoje,"✖ Atrasada",IF(F265=Hoje,"▲ Vence hoje",IF(F265-Hoje&lt;=7,"▲ Próximos 7 dias","○ No prazo")))))))</f>
        <v/>
      </c>
      <c r="L265" s="138" t="str">
        <f>IF(OR(B265="",G265="Concluída",G265="Cancelada"),"",IF(E265="Alta",IF(AND(F265&lt;&gt;"",F265-Hoje&lt;=3),"1 · Fazer já","2 · Agendar"),IF(AND(F265&lt;&gt;"",F265-Hoje&lt;=3),"3 · Resolver rápido","4 · Depois")))</f>
        <v/>
      </c>
      <c r="M265" s="129" t="n"/>
      <c r="N265" t="str">
        <f>IF(AND(B265&lt;&gt;"",G265&lt;&gt;"Concluída",G265&lt;&gt;"Cancelada",F265&lt;&gt;""),F265+ROW()/100000,"")</f>
        <v/>
      </c>
    </row>
    <row r="266">
      <c r="B266" s="129" t="n"/>
      <c r="C266" s="129" t="n"/>
      <c r="D266" s="129" t="n"/>
      <c r="E266" s="129" t="n"/>
      <c r="F266" s="130" t="n"/>
      <c r="G266" s="129" t="n"/>
      <c r="H266" s="130" t="n"/>
      <c r="I266" s="129" t="n"/>
      <c r="J266" s="134" t="str">
        <f>IF(OR(B266="",F266="",G266="Concluída",G266="Cancelada"),"",F266-Hoje)</f>
        <v/>
      </c>
      <c r="K266" s="138" t="str">
        <f>IF(B266="","",IF(G266="Concluída","✔ Feita",IF(G266="Cancelada","– Cancelada",IF(F266="","○ Sem prazo",IF(F266&lt;Hoje,"✖ Atrasada",IF(F266=Hoje,"▲ Vence hoje",IF(F266-Hoje&lt;=7,"▲ Próximos 7 dias","○ No prazo")))))))</f>
        <v/>
      </c>
      <c r="L266" s="138" t="str">
        <f>IF(OR(B266="",G266="Concluída",G266="Cancelada"),"",IF(E266="Alta",IF(AND(F266&lt;&gt;"",F266-Hoje&lt;=3),"1 · Fazer já","2 · Agendar"),IF(AND(F266&lt;&gt;"",F266-Hoje&lt;=3),"3 · Resolver rápido","4 · Depois")))</f>
        <v/>
      </c>
      <c r="M266" s="129" t="n"/>
      <c r="N266" t="str">
        <f>IF(AND(B266&lt;&gt;"",G266&lt;&gt;"Concluída",G266&lt;&gt;"Cancelada",F266&lt;&gt;""),F266+ROW()/100000,"")</f>
        <v/>
      </c>
    </row>
    <row r="267">
      <c r="B267" s="129" t="n"/>
      <c r="C267" s="129" t="n"/>
      <c r="D267" s="129" t="n"/>
      <c r="E267" s="129" t="n"/>
      <c r="F267" s="130" t="n"/>
      <c r="G267" s="129" t="n"/>
      <c r="H267" s="130" t="n"/>
      <c r="I267" s="129" t="n"/>
      <c r="J267" s="134" t="str">
        <f>IF(OR(B267="",F267="",G267="Concluída",G267="Cancelada"),"",F267-Hoje)</f>
        <v/>
      </c>
      <c r="K267" s="138" t="str">
        <f>IF(B267="","",IF(G267="Concluída","✔ Feita",IF(G267="Cancelada","– Cancelada",IF(F267="","○ Sem prazo",IF(F267&lt;Hoje,"✖ Atrasada",IF(F267=Hoje,"▲ Vence hoje",IF(F267-Hoje&lt;=7,"▲ Próximos 7 dias","○ No prazo")))))))</f>
        <v/>
      </c>
      <c r="L267" s="138" t="str">
        <f>IF(OR(B267="",G267="Concluída",G267="Cancelada"),"",IF(E267="Alta",IF(AND(F267&lt;&gt;"",F267-Hoje&lt;=3),"1 · Fazer já","2 · Agendar"),IF(AND(F267&lt;&gt;"",F267-Hoje&lt;=3),"3 · Resolver rápido","4 · Depois")))</f>
        <v/>
      </c>
      <c r="M267" s="129" t="n"/>
      <c r="N267" t="str">
        <f>IF(AND(B267&lt;&gt;"",G267&lt;&gt;"Concluída",G267&lt;&gt;"Cancelada",F267&lt;&gt;""),F267+ROW()/100000,"")</f>
        <v/>
      </c>
    </row>
    <row r="268">
      <c r="B268" s="129" t="n"/>
      <c r="C268" s="129" t="n"/>
      <c r="D268" s="129" t="n"/>
      <c r="E268" s="129" t="n"/>
      <c r="F268" s="130" t="n"/>
      <c r="G268" s="129" t="n"/>
      <c r="H268" s="130" t="n"/>
      <c r="I268" s="129" t="n"/>
      <c r="J268" s="134" t="str">
        <f>IF(OR(B268="",F268="",G268="Concluída",G268="Cancelada"),"",F268-Hoje)</f>
        <v/>
      </c>
      <c r="K268" s="138" t="str">
        <f>IF(B268="","",IF(G268="Concluída","✔ Feita",IF(G268="Cancelada","– Cancelada",IF(F268="","○ Sem prazo",IF(F268&lt;Hoje,"✖ Atrasada",IF(F268=Hoje,"▲ Vence hoje",IF(F268-Hoje&lt;=7,"▲ Próximos 7 dias","○ No prazo")))))))</f>
        <v/>
      </c>
      <c r="L268" s="138" t="str">
        <f>IF(OR(B268="",G268="Concluída",G268="Cancelada"),"",IF(E268="Alta",IF(AND(F268&lt;&gt;"",F268-Hoje&lt;=3),"1 · Fazer já","2 · Agendar"),IF(AND(F268&lt;&gt;"",F268-Hoje&lt;=3),"3 · Resolver rápido","4 · Depois")))</f>
        <v/>
      </c>
      <c r="M268" s="129" t="n"/>
      <c r="N268" t="str">
        <f>IF(AND(B268&lt;&gt;"",G268&lt;&gt;"Concluída",G268&lt;&gt;"Cancelada",F268&lt;&gt;""),F268+ROW()/100000,"")</f>
        <v/>
      </c>
    </row>
    <row r="269">
      <c r="B269" s="129" t="n"/>
      <c r="C269" s="129" t="n"/>
      <c r="D269" s="129" t="n"/>
      <c r="E269" s="129" t="n"/>
      <c r="F269" s="130" t="n"/>
      <c r="G269" s="129" t="n"/>
      <c r="H269" s="130" t="n"/>
      <c r="I269" s="129" t="n"/>
      <c r="J269" s="134" t="str">
        <f>IF(OR(B269="",F269="",G269="Concluída",G269="Cancelada"),"",F269-Hoje)</f>
        <v/>
      </c>
      <c r="K269" s="138" t="str">
        <f>IF(B269="","",IF(G269="Concluída","✔ Feita",IF(G269="Cancelada","– Cancelada",IF(F269="","○ Sem prazo",IF(F269&lt;Hoje,"✖ Atrasada",IF(F269=Hoje,"▲ Vence hoje",IF(F269-Hoje&lt;=7,"▲ Próximos 7 dias","○ No prazo")))))))</f>
        <v/>
      </c>
      <c r="L269" s="138" t="str">
        <f>IF(OR(B269="",G269="Concluída",G269="Cancelada"),"",IF(E269="Alta",IF(AND(F269&lt;&gt;"",F269-Hoje&lt;=3),"1 · Fazer já","2 · Agendar"),IF(AND(F269&lt;&gt;"",F269-Hoje&lt;=3),"3 · Resolver rápido","4 · Depois")))</f>
        <v/>
      </c>
      <c r="M269" s="129" t="n"/>
      <c r="N269" t="str">
        <f>IF(AND(B269&lt;&gt;"",G269&lt;&gt;"Concluída",G269&lt;&gt;"Cancelada",F269&lt;&gt;""),F269+ROW()/100000,"")</f>
        <v/>
      </c>
    </row>
    <row r="270">
      <c r="B270" s="129" t="n"/>
      <c r="C270" s="129" t="n"/>
      <c r="D270" s="129" t="n"/>
      <c r="E270" s="129" t="n"/>
      <c r="F270" s="130" t="n"/>
      <c r="G270" s="129" t="n"/>
      <c r="H270" s="130" t="n"/>
      <c r="I270" s="129" t="n"/>
      <c r="J270" s="134" t="str">
        <f>IF(OR(B270="",F270="",G270="Concluída",G270="Cancelada"),"",F270-Hoje)</f>
        <v/>
      </c>
      <c r="K270" s="138" t="str">
        <f>IF(B270="","",IF(G270="Concluída","✔ Feita",IF(G270="Cancelada","– Cancelada",IF(F270="","○ Sem prazo",IF(F270&lt;Hoje,"✖ Atrasada",IF(F270=Hoje,"▲ Vence hoje",IF(F270-Hoje&lt;=7,"▲ Próximos 7 dias","○ No prazo")))))))</f>
        <v/>
      </c>
      <c r="L270" s="138" t="str">
        <f>IF(OR(B270="",G270="Concluída",G270="Cancelada"),"",IF(E270="Alta",IF(AND(F270&lt;&gt;"",F270-Hoje&lt;=3),"1 · Fazer já","2 · Agendar"),IF(AND(F270&lt;&gt;"",F270-Hoje&lt;=3),"3 · Resolver rápido","4 · Depois")))</f>
        <v/>
      </c>
      <c r="M270" s="129" t="n"/>
      <c r="N270" t="str">
        <f>IF(AND(B270&lt;&gt;"",G270&lt;&gt;"Concluída",G270&lt;&gt;"Cancelada",F270&lt;&gt;""),F270+ROW()/100000,"")</f>
        <v/>
      </c>
    </row>
    <row r="271">
      <c r="B271" s="129" t="n"/>
      <c r="C271" s="129" t="n"/>
      <c r="D271" s="129" t="n"/>
      <c r="E271" s="129" t="n"/>
      <c r="F271" s="130" t="n"/>
      <c r="G271" s="129" t="n"/>
      <c r="H271" s="130" t="n"/>
      <c r="I271" s="129" t="n"/>
      <c r="J271" s="134" t="str">
        <f>IF(OR(B271="",F271="",G271="Concluída",G271="Cancelada"),"",F271-Hoje)</f>
        <v/>
      </c>
      <c r="K271" s="138" t="str">
        <f>IF(B271="","",IF(G271="Concluída","✔ Feita",IF(G271="Cancelada","– Cancelada",IF(F271="","○ Sem prazo",IF(F271&lt;Hoje,"✖ Atrasada",IF(F271=Hoje,"▲ Vence hoje",IF(F271-Hoje&lt;=7,"▲ Próximos 7 dias","○ No prazo")))))))</f>
        <v/>
      </c>
      <c r="L271" s="138" t="str">
        <f>IF(OR(B271="",G271="Concluída",G271="Cancelada"),"",IF(E271="Alta",IF(AND(F271&lt;&gt;"",F271-Hoje&lt;=3),"1 · Fazer já","2 · Agendar"),IF(AND(F271&lt;&gt;"",F271-Hoje&lt;=3),"3 · Resolver rápido","4 · Depois")))</f>
        <v/>
      </c>
      <c r="M271" s="129" t="n"/>
      <c r="N271" t="str">
        <f>IF(AND(B271&lt;&gt;"",G271&lt;&gt;"Concluída",G271&lt;&gt;"Cancelada",F271&lt;&gt;""),F271+ROW()/100000,"")</f>
        <v/>
      </c>
    </row>
    <row r="272">
      <c r="B272" s="129" t="n"/>
      <c r="C272" s="129" t="n"/>
      <c r="D272" s="129" t="n"/>
      <c r="E272" s="129" t="n"/>
      <c r="F272" s="130" t="n"/>
      <c r="G272" s="129" t="n"/>
      <c r="H272" s="130" t="n"/>
      <c r="I272" s="129" t="n"/>
      <c r="J272" s="134" t="str">
        <f>IF(OR(B272="",F272="",G272="Concluída",G272="Cancelada"),"",F272-Hoje)</f>
        <v/>
      </c>
      <c r="K272" s="138" t="str">
        <f>IF(B272="","",IF(G272="Concluída","✔ Feita",IF(G272="Cancelada","– Cancelada",IF(F272="","○ Sem prazo",IF(F272&lt;Hoje,"✖ Atrasada",IF(F272=Hoje,"▲ Vence hoje",IF(F272-Hoje&lt;=7,"▲ Próximos 7 dias","○ No prazo")))))))</f>
        <v/>
      </c>
      <c r="L272" s="138" t="str">
        <f>IF(OR(B272="",G272="Concluída",G272="Cancelada"),"",IF(E272="Alta",IF(AND(F272&lt;&gt;"",F272-Hoje&lt;=3),"1 · Fazer já","2 · Agendar"),IF(AND(F272&lt;&gt;"",F272-Hoje&lt;=3),"3 · Resolver rápido","4 · Depois")))</f>
        <v/>
      </c>
      <c r="M272" s="129" t="n"/>
      <c r="N272" t="str">
        <f>IF(AND(B272&lt;&gt;"",G272&lt;&gt;"Concluída",G272&lt;&gt;"Cancelada",F272&lt;&gt;""),F272+ROW()/100000,"")</f>
        <v/>
      </c>
    </row>
    <row r="273">
      <c r="B273" s="129" t="n"/>
      <c r="C273" s="129" t="n"/>
      <c r="D273" s="129" t="n"/>
      <c r="E273" s="129" t="n"/>
      <c r="F273" s="130" t="n"/>
      <c r="G273" s="129" t="n"/>
      <c r="H273" s="130" t="n"/>
      <c r="I273" s="129" t="n"/>
      <c r="J273" s="134" t="str">
        <f>IF(OR(B273="",F273="",G273="Concluída",G273="Cancelada"),"",F273-Hoje)</f>
        <v/>
      </c>
      <c r="K273" s="138" t="str">
        <f>IF(B273="","",IF(G273="Concluída","✔ Feita",IF(G273="Cancelada","– Cancelada",IF(F273="","○ Sem prazo",IF(F273&lt;Hoje,"✖ Atrasada",IF(F273=Hoje,"▲ Vence hoje",IF(F273-Hoje&lt;=7,"▲ Próximos 7 dias","○ No prazo")))))))</f>
        <v/>
      </c>
      <c r="L273" s="138" t="str">
        <f>IF(OR(B273="",G273="Concluída",G273="Cancelada"),"",IF(E273="Alta",IF(AND(F273&lt;&gt;"",F273-Hoje&lt;=3),"1 · Fazer já","2 · Agendar"),IF(AND(F273&lt;&gt;"",F273-Hoje&lt;=3),"3 · Resolver rápido","4 · Depois")))</f>
        <v/>
      </c>
      <c r="M273" s="129" t="n"/>
      <c r="N273" t="str">
        <f>IF(AND(B273&lt;&gt;"",G273&lt;&gt;"Concluída",G273&lt;&gt;"Cancelada",F273&lt;&gt;""),F273+ROW()/100000,"")</f>
        <v/>
      </c>
    </row>
    <row r="274">
      <c r="B274" s="129" t="n"/>
      <c r="C274" s="129" t="n"/>
      <c r="D274" s="129" t="n"/>
      <c r="E274" s="129" t="n"/>
      <c r="F274" s="130" t="n"/>
      <c r="G274" s="129" t="n"/>
      <c r="H274" s="130" t="n"/>
      <c r="I274" s="129" t="n"/>
      <c r="J274" s="134" t="str">
        <f>IF(OR(B274="",F274="",G274="Concluída",G274="Cancelada"),"",F274-Hoje)</f>
        <v/>
      </c>
      <c r="K274" s="138" t="str">
        <f>IF(B274="","",IF(G274="Concluída","✔ Feita",IF(G274="Cancelada","– Cancelada",IF(F274="","○ Sem prazo",IF(F274&lt;Hoje,"✖ Atrasada",IF(F274=Hoje,"▲ Vence hoje",IF(F274-Hoje&lt;=7,"▲ Próximos 7 dias","○ No prazo")))))))</f>
        <v/>
      </c>
      <c r="L274" s="138" t="str">
        <f>IF(OR(B274="",G274="Concluída",G274="Cancelada"),"",IF(E274="Alta",IF(AND(F274&lt;&gt;"",F274-Hoje&lt;=3),"1 · Fazer já","2 · Agendar"),IF(AND(F274&lt;&gt;"",F274-Hoje&lt;=3),"3 · Resolver rápido","4 · Depois")))</f>
        <v/>
      </c>
      <c r="M274" s="129" t="n"/>
      <c r="N274" t="str">
        <f>IF(AND(B274&lt;&gt;"",G274&lt;&gt;"Concluída",G274&lt;&gt;"Cancelada",F274&lt;&gt;""),F274+ROW()/100000,"")</f>
        <v/>
      </c>
    </row>
    <row r="275">
      <c r="B275" s="129" t="n"/>
      <c r="C275" s="129" t="n"/>
      <c r="D275" s="129" t="n"/>
      <c r="E275" s="129" t="n"/>
      <c r="F275" s="130" t="n"/>
      <c r="G275" s="129" t="n"/>
      <c r="H275" s="130" t="n"/>
      <c r="I275" s="129" t="n"/>
      <c r="J275" s="134" t="str">
        <f>IF(OR(B275="",F275="",G275="Concluída",G275="Cancelada"),"",F275-Hoje)</f>
        <v/>
      </c>
      <c r="K275" s="138" t="str">
        <f>IF(B275="","",IF(G275="Concluída","✔ Feita",IF(G275="Cancelada","– Cancelada",IF(F275="","○ Sem prazo",IF(F275&lt;Hoje,"✖ Atrasada",IF(F275=Hoje,"▲ Vence hoje",IF(F275-Hoje&lt;=7,"▲ Próximos 7 dias","○ No prazo")))))))</f>
        <v/>
      </c>
      <c r="L275" s="138" t="str">
        <f>IF(OR(B275="",G275="Concluída",G275="Cancelada"),"",IF(E275="Alta",IF(AND(F275&lt;&gt;"",F275-Hoje&lt;=3),"1 · Fazer já","2 · Agendar"),IF(AND(F275&lt;&gt;"",F275-Hoje&lt;=3),"3 · Resolver rápido","4 · Depois")))</f>
        <v/>
      </c>
      <c r="M275" s="129" t="n"/>
      <c r="N275" t="str">
        <f>IF(AND(B275&lt;&gt;"",G275&lt;&gt;"Concluída",G275&lt;&gt;"Cancelada",F275&lt;&gt;""),F275+ROW()/100000,"")</f>
        <v/>
      </c>
    </row>
    <row r="276">
      <c r="B276" s="129" t="n"/>
      <c r="C276" s="129" t="n"/>
      <c r="D276" s="129" t="n"/>
      <c r="E276" s="129" t="n"/>
      <c r="F276" s="130" t="n"/>
      <c r="G276" s="129" t="n"/>
      <c r="H276" s="130" t="n"/>
      <c r="I276" s="129" t="n"/>
      <c r="J276" s="134" t="str">
        <f>IF(OR(B276="",F276="",G276="Concluída",G276="Cancelada"),"",F276-Hoje)</f>
        <v/>
      </c>
      <c r="K276" s="138" t="str">
        <f>IF(B276="","",IF(G276="Concluída","✔ Feita",IF(G276="Cancelada","– Cancelada",IF(F276="","○ Sem prazo",IF(F276&lt;Hoje,"✖ Atrasada",IF(F276=Hoje,"▲ Vence hoje",IF(F276-Hoje&lt;=7,"▲ Próximos 7 dias","○ No prazo")))))))</f>
        <v/>
      </c>
      <c r="L276" s="138" t="str">
        <f>IF(OR(B276="",G276="Concluída",G276="Cancelada"),"",IF(E276="Alta",IF(AND(F276&lt;&gt;"",F276-Hoje&lt;=3),"1 · Fazer já","2 · Agendar"),IF(AND(F276&lt;&gt;"",F276-Hoje&lt;=3),"3 · Resolver rápido","4 · Depois")))</f>
        <v/>
      </c>
      <c r="M276" s="129" t="n"/>
      <c r="N276" t="str">
        <f>IF(AND(B276&lt;&gt;"",G276&lt;&gt;"Concluída",G276&lt;&gt;"Cancelada",F276&lt;&gt;""),F276+ROW()/100000,"")</f>
        <v/>
      </c>
    </row>
    <row r="277">
      <c r="B277" s="129" t="n"/>
      <c r="C277" s="129" t="n"/>
      <c r="D277" s="129" t="n"/>
      <c r="E277" s="129" t="n"/>
      <c r="F277" s="130" t="n"/>
      <c r="G277" s="129" t="n"/>
      <c r="H277" s="130" t="n"/>
      <c r="I277" s="129" t="n"/>
      <c r="J277" s="134" t="str">
        <f>IF(OR(B277="",F277="",G277="Concluída",G277="Cancelada"),"",F277-Hoje)</f>
        <v/>
      </c>
      <c r="K277" s="138" t="str">
        <f>IF(B277="","",IF(G277="Concluída","✔ Feita",IF(G277="Cancelada","– Cancelada",IF(F277="","○ Sem prazo",IF(F277&lt;Hoje,"✖ Atrasada",IF(F277=Hoje,"▲ Vence hoje",IF(F277-Hoje&lt;=7,"▲ Próximos 7 dias","○ No prazo")))))))</f>
        <v/>
      </c>
      <c r="L277" s="138" t="str">
        <f>IF(OR(B277="",G277="Concluída",G277="Cancelada"),"",IF(E277="Alta",IF(AND(F277&lt;&gt;"",F277-Hoje&lt;=3),"1 · Fazer já","2 · Agendar"),IF(AND(F277&lt;&gt;"",F277-Hoje&lt;=3),"3 · Resolver rápido","4 · Depois")))</f>
        <v/>
      </c>
      <c r="M277" s="129" t="n"/>
      <c r="N277" t="str">
        <f>IF(AND(B277&lt;&gt;"",G277&lt;&gt;"Concluída",G277&lt;&gt;"Cancelada",F277&lt;&gt;""),F277+ROW()/100000,"")</f>
        <v/>
      </c>
    </row>
    <row r="278">
      <c r="B278" s="129" t="n"/>
      <c r="C278" s="129" t="n"/>
      <c r="D278" s="129" t="n"/>
      <c r="E278" s="129" t="n"/>
      <c r="F278" s="130" t="n"/>
      <c r="G278" s="129" t="n"/>
      <c r="H278" s="130" t="n"/>
      <c r="I278" s="129" t="n"/>
      <c r="J278" s="134" t="str">
        <f>IF(OR(B278="",F278="",G278="Concluída",G278="Cancelada"),"",F278-Hoje)</f>
        <v/>
      </c>
      <c r="K278" s="138" t="str">
        <f>IF(B278="","",IF(G278="Concluída","✔ Feita",IF(G278="Cancelada","– Cancelada",IF(F278="","○ Sem prazo",IF(F278&lt;Hoje,"✖ Atrasada",IF(F278=Hoje,"▲ Vence hoje",IF(F278-Hoje&lt;=7,"▲ Próximos 7 dias","○ No prazo")))))))</f>
        <v/>
      </c>
      <c r="L278" s="138" t="str">
        <f>IF(OR(B278="",G278="Concluída",G278="Cancelada"),"",IF(E278="Alta",IF(AND(F278&lt;&gt;"",F278-Hoje&lt;=3),"1 · Fazer já","2 · Agendar"),IF(AND(F278&lt;&gt;"",F278-Hoje&lt;=3),"3 · Resolver rápido","4 · Depois")))</f>
        <v/>
      </c>
      <c r="M278" s="129" t="n"/>
      <c r="N278" t="str">
        <f>IF(AND(B278&lt;&gt;"",G278&lt;&gt;"Concluída",G278&lt;&gt;"Cancelada",F278&lt;&gt;""),F278+ROW()/100000,"")</f>
        <v/>
      </c>
    </row>
    <row r="279">
      <c r="B279" s="129" t="n"/>
      <c r="C279" s="129" t="n"/>
      <c r="D279" s="129" t="n"/>
      <c r="E279" s="129" t="n"/>
      <c r="F279" s="130" t="n"/>
      <c r="G279" s="129" t="n"/>
      <c r="H279" s="130" t="n"/>
      <c r="I279" s="129" t="n"/>
      <c r="J279" s="134" t="str">
        <f>IF(OR(B279="",F279="",G279="Concluída",G279="Cancelada"),"",F279-Hoje)</f>
        <v/>
      </c>
      <c r="K279" s="138" t="str">
        <f>IF(B279="","",IF(G279="Concluída","✔ Feita",IF(G279="Cancelada","– Cancelada",IF(F279="","○ Sem prazo",IF(F279&lt;Hoje,"✖ Atrasada",IF(F279=Hoje,"▲ Vence hoje",IF(F279-Hoje&lt;=7,"▲ Próximos 7 dias","○ No prazo")))))))</f>
        <v/>
      </c>
      <c r="L279" s="138" t="str">
        <f>IF(OR(B279="",G279="Concluída",G279="Cancelada"),"",IF(E279="Alta",IF(AND(F279&lt;&gt;"",F279-Hoje&lt;=3),"1 · Fazer já","2 · Agendar"),IF(AND(F279&lt;&gt;"",F279-Hoje&lt;=3),"3 · Resolver rápido","4 · Depois")))</f>
        <v/>
      </c>
      <c r="M279" s="129" t="n"/>
      <c r="N279" t="str">
        <f>IF(AND(B279&lt;&gt;"",G279&lt;&gt;"Concluída",G279&lt;&gt;"Cancelada",F279&lt;&gt;""),F279+ROW()/100000,"")</f>
        <v/>
      </c>
    </row>
    <row r="280">
      <c r="B280" s="129" t="n"/>
      <c r="C280" s="129" t="n"/>
      <c r="D280" s="129" t="n"/>
      <c r="E280" s="129" t="n"/>
      <c r="F280" s="130" t="n"/>
      <c r="G280" s="129" t="n"/>
      <c r="H280" s="130" t="n"/>
      <c r="I280" s="129" t="n"/>
      <c r="J280" s="134" t="str">
        <f>IF(OR(B280="",F280="",G280="Concluída",G280="Cancelada"),"",F280-Hoje)</f>
        <v/>
      </c>
      <c r="K280" s="138" t="str">
        <f>IF(B280="","",IF(G280="Concluída","✔ Feita",IF(G280="Cancelada","– Cancelada",IF(F280="","○ Sem prazo",IF(F280&lt;Hoje,"✖ Atrasada",IF(F280=Hoje,"▲ Vence hoje",IF(F280-Hoje&lt;=7,"▲ Próximos 7 dias","○ No prazo")))))))</f>
        <v/>
      </c>
      <c r="L280" s="138" t="str">
        <f>IF(OR(B280="",G280="Concluída",G280="Cancelada"),"",IF(E280="Alta",IF(AND(F280&lt;&gt;"",F280-Hoje&lt;=3),"1 · Fazer já","2 · Agendar"),IF(AND(F280&lt;&gt;"",F280-Hoje&lt;=3),"3 · Resolver rápido","4 · Depois")))</f>
        <v/>
      </c>
      <c r="M280" s="129" t="n"/>
      <c r="N280" t="str">
        <f>IF(AND(B280&lt;&gt;"",G280&lt;&gt;"Concluída",G280&lt;&gt;"Cancelada",F280&lt;&gt;""),F280+ROW()/100000,"")</f>
        <v/>
      </c>
    </row>
    <row r="281">
      <c r="B281" s="129" t="n"/>
      <c r="C281" s="129" t="n"/>
      <c r="D281" s="129" t="n"/>
      <c r="E281" s="129" t="n"/>
      <c r="F281" s="130" t="n"/>
      <c r="G281" s="129" t="n"/>
      <c r="H281" s="130" t="n"/>
      <c r="I281" s="129" t="n"/>
      <c r="J281" s="134" t="str">
        <f>IF(OR(B281="",F281="",G281="Concluída",G281="Cancelada"),"",F281-Hoje)</f>
        <v/>
      </c>
      <c r="K281" s="138" t="str">
        <f>IF(B281="","",IF(G281="Concluída","✔ Feita",IF(G281="Cancelada","– Cancelada",IF(F281="","○ Sem prazo",IF(F281&lt;Hoje,"✖ Atrasada",IF(F281=Hoje,"▲ Vence hoje",IF(F281-Hoje&lt;=7,"▲ Próximos 7 dias","○ No prazo")))))))</f>
        <v/>
      </c>
      <c r="L281" s="138" t="str">
        <f>IF(OR(B281="",G281="Concluída",G281="Cancelada"),"",IF(E281="Alta",IF(AND(F281&lt;&gt;"",F281-Hoje&lt;=3),"1 · Fazer já","2 · Agendar"),IF(AND(F281&lt;&gt;"",F281-Hoje&lt;=3),"3 · Resolver rápido","4 · Depois")))</f>
        <v/>
      </c>
      <c r="M281" s="129" t="n"/>
      <c r="N281" t="str">
        <f>IF(AND(B281&lt;&gt;"",G281&lt;&gt;"Concluída",G281&lt;&gt;"Cancelada",F281&lt;&gt;""),F281+ROW()/100000,"")</f>
        <v/>
      </c>
    </row>
    <row r="282">
      <c r="B282" s="129" t="n"/>
      <c r="C282" s="129" t="n"/>
      <c r="D282" s="129" t="n"/>
      <c r="E282" s="129" t="n"/>
      <c r="F282" s="130" t="n"/>
      <c r="G282" s="129" t="n"/>
      <c r="H282" s="130" t="n"/>
      <c r="I282" s="129" t="n"/>
      <c r="J282" s="134" t="str">
        <f>IF(OR(B282="",F282="",G282="Concluída",G282="Cancelada"),"",F282-Hoje)</f>
        <v/>
      </c>
      <c r="K282" s="138" t="str">
        <f>IF(B282="","",IF(G282="Concluída","✔ Feita",IF(G282="Cancelada","– Cancelada",IF(F282="","○ Sem prazo",IF(F282&lt;Hoje,"✖ Atrasada",IF(F282=Hoje,"▲ Vence hoje",IF(F282-Hoje&lt;=7,"▲ Próximos 7 dias","○ No prazo")))))))</f>
        <v/>
      </c>
      <c r="L282" s="138" t="str">
        <f>IF(OR(B282="",G282="Concluída",G282="Cancelada"),"",IF(E282="Alta",IF(AND(F282&lt;&gt;"",F282-Hoje&lt;=3),"1 · Fazer já","2 · Agendar"),IF(AND(F282&lt;&gt;"",F282-Hoje&lt;=3),"3 · Resolver rápido","4 · Depois")))</f>
        <v/>
      </c>
      <c r="M282" s="129" t="n"/>
      <c r="N282" t="str">
        <f>IF(AND(B282&lt;&gt;"",G282&lt;&gt;"Concluída",G282&lt;&gt;"Cancelada",F282&lt;&gt;""),F282+ROW()/100000,"")</f>
        <v/>
      </c>
    </row>
    <row r="283">
      <c r="B283" s="129" t="n"/>
      <c r="C283" s="129" t="n"/>
      <c r="D283" s="129" t="n"/>
      <c r="E283" s="129" t="n"/>
      <c r="F283" s="130" t="n"/>
      <c r="G283" s="129" t="n"/>
      <c r="H283" s="130" t="n"/>
      <c r="I283" s="129" t="n"/>
      <c r="J283" s="134" t="str">
        <f>IF(OR(B283="",F283="",G283="Concluída",G283="Cancelada"),"",F283-Hoje)</f>
        <v/>
      </c>
      <c r="K283" s="138" t="str">
        <f>IF(B283="","",IF(G283="Concluída","✔ Feita",IF(G283="Cancelada","– Cancelada",IF(F283="","○ Sem prazo",IF(F283&lt;Hoje,"✖ Atrasada",IF(F283=Hoje,"▲ Vence hoje",IF(F283-Hoje&lt;=7,"▲ Próximos 7 dias","○ No prazo")))))))</f>
        <v/>
      </c>
      <c r="L283" s="138" t="str">
        <f>IF(OR(B283="",G283="Concluída",G283="Cancelada"),"",IF(E283="Alta",IF(AND(F283&lt;&gt;"",F283-Hoje&lt;=3),"1 · Fazer já","2 · Agendar"),IF(AND(F283&lt;&gt;"",F283-Hoje&lt;=3),"3 · Resolver rápido","4 · Depois")))</f>
        <v/>
      </c>
      <c r="M283" s="129" t="n"/>
      <c r="N283" t="str">
        <f>IF(AND(B283&lt;&gt;"",G283&lt;&gt;"Concluída",G283&lt;&gt;"Cancelada",F283&lt;&gt;""),F283+ROW()/100000,"")</f>
        <v/>
      </c>
    </row>
    <row r="284">
      <c r="B284" s="129" t="n"/>
      <c r="C284" s="129" t="n"/>
      <c r="D284" s="129" t="n"/>
      <c r="E284" s="129" t="n"/>
      <c r="F284" s="130" t="n"/>
      <c r="G284" s="129" t="n"/>
      <c r="H284" s="130" t="n"/>
      <c r="I284" s="129" t="n"/>
      <c r="J284" s="134" t="str">
        <f>IF(OR(B284="",F284="",G284="Concluída",G284="Cancelada"),"",F284-Hoje)</f>
        <v/>
      </c>
      <c r="K284" s="138" t="str">
        <f>IF(B284="","",IF(G284="Concluída","✔ Feita",IF(G284="Cancelada","– Cancelada",IF(F284="","○ Sem prazo",IF(F284&lt;Hoje,"✖ Atrasada",IF(F284=Hoje,"▲ Vence hoje",IF(F284-Hoje&lt;=7,"▲ Próximos 7 dias","○ No prazo")))))))</f>
        <v/>
      </c>
      <c r="L284" s="138" t="str">
        <f>IF(OR(B284="",G284="Concluída",G284="Cancelada"),"",IF(E284="Alta",IF(AND(F284&lt;&gt;"",F284-Hoje&lt;=3),"1 · Fazer já","2 · Agendar"),IF(AND(F284&lt;&gt;"",F284-Hoje&lt;=3),"3 · Resolver rápido","4 · Depois")))</f>
        <v/>
      </c>
      <c r="M284" s="129" t="n"/>
      <c r="N284" t="str">
        <f>IF(AND(B284&lt;&gt;"",G284&lt;&gt;"Concluída",G284&lt;&gt;"Cancelada",F284&lt;&gt;""),F284+ROW()/100000,"")</f>
        <v/>
      </c>
    </row>
    <row r="285">
      <c r="B285" s="129" t="n"/>
      <c r="C285" s="129" t="n"/>
      <c r="D285" s="129" t="n"/>
      <c r="E285" s="129" t="n"/>
      <c r="F285" s="130" t="n"/>
      <c r="G285" s="129" t="n"/>
      <c r="H285" s="130" t="n"/>
      <c r="I285" s="129" t="n"/>
      <c r="J285" s="134" t="str">
        <f>IF(OR(B285="",F285="",G285="Concluída",G285="Cancelada"),"",F285-Hoje)</f>
        <v/>
      </c>
      <c r="K285" s="138" t="str">
        <f>IF(B285="","",IF(G285="Concluída","✔ Feita",IF(G285="Cancelada","– Cancelada",IF(F285="","○ Sem prazo",IF(F285&lt;Hoje,"✖ Atrasada",IF(F285=Hoje,"▲ Vence hoje",IF(F285-Hoje&lt;=7,"▲ Próximos 7 dias","○ No prazo")))))))</f>
        <v/>
      </c>
      <c r="L285" s="138" t="str">
        <f>IF(OR(B285="",G285="Concluída",G285="Cancelada"),"",IF(E285="Alta",IF(AND(F285&lt;&gt;"",F285-Hoje&lt;=3),"1 · Fazer já","2 · Agendar"),IF(AND(F285&lt;&gt;"",F285-Hoje&lt;=3),"3 · Resolver rápido","4 · Depois")))</f>
        <v/>
      </c>
      <c r="M285" s="129" t="n"/>
      <c r="N285" t="str">
        <f>IF(AND(B285&lt;&gt;"",G285&lt;&gt;"Concluída",G285&lt;&gt;"Cancelada",F285&lt;&gt;""),F285+ROW()/100000,"")</f>
        <v/>
      </c>
    </row>
    <row r="286">
      <c r="B286" s="129" t="n"/>
      <c r="C286" s="129" t="n"/>
      <c r="D286" s="129" t="n"/>
      <c r="E286" s="129" t="n"/>
      <c r="F286" s="130" t="n"/>
      <c r="G286" s="129" t="n"/>
      <c r="H286" s="130" t="n"/>
      <c r="I286" s="129" t="n"/>
      <c r="J286" s="134" t="str">
        <f>IF(OR(B286="",F286="",G286="Concluída",G286="Cancelada"),"",F286-Hoje)</f>
        <v/>
      </c>
      <c r="K286" s="138" t="str">
        <f>IF(B286="","",IF(G286="Concluída","✔ Feita",IF(G286="Cancelada","– Cancelada",IF(F286="","○ Sem prazo",IF(F286&lt;Hoje,"✖ Atrasada",IF(F286=Hoje,"▲ Vence hoje",IF(F286-Hoje&lt;=7,"▲ Próximos 7 dias","○ No prazo")))))))</f>
        <v/>
      </c>
      <c r="L286" s="138" t="str">
        <f>IF(OR(B286="",G286="Concluída",G286="Cancelada"),"",IF(E286="Alta",IF(AND(F286&lt;&gt;"",F286-Hoje&lt;=3),"1 · Fazer já","2 · Agendar"),IF(AND(F286&lt;&gt;"",F286-Hoje&lt;=3),"3 · Resolver rápido","4 · Depois")))</f>
        <v/>
      </c>
      <c r="M286" s="129" t="n"/>
      <c r="N286" t="str">
        <f>IF(AND(B286&lt;&gt;"",G286&lt;&gt;"Concluída",G286&lt;&gt;"Cancelada",F286&lt;&gt;""),F286+ROW()/100000,"")</f>
        <v/>
      </c>
    </row>
    <row r="287">
      <c r="B287" s="129" t="n"/>
      <c r="C287" s="129" t="n"/>
      <c r="D287" s="129" t="n"/>
      <c r="E287" s="129" t="n"/>
      <c r="F287" s="130" t="n"/>
      <c r="G287" s="129" t="n"/>
      <c r="H287" s="130" t="n"/>
      <c r="I287" s="129" t="n"/>
      <c r="J287" s="134" t="str">
        <f>IF(OR(B287="",F287="",G287="Concluída",G287="Cancelada"),"",F287-Hoje)</f>
        <v/>
      </c>
      <c r="K287" s="138" t="str">
        <f>IF(B287="","",IF(G287="Concluída","✔ Feita",IF(G287="Cancelada","– Cancelada",IF(F287="","○ Sem prazo",IF(F287&lt;Hoje,"✖ Atrasada",IF(F287=Hoje,"▲ Vence hoje",IF(F287-Hoje&lt;=7,"▲ Próximos 7 dias","○ No prazo")))))))</f>
        <v/>
      </c>
      <c r="L287" s="138" t="str">
        <f>IF(OR(B287="",G287="Concluída",G287="Cancelada"),"",IF(E287="Alta",IF(AND(F287&lt;&gt;"",F287-Hoje&lt;=3),"1 · Fazer já","2 · Agendar"),IF(AND(F287&lt;&gt;"",F287-Hoje&lt;=3),"3 · Resolver rápido","4 · Depois")))</f>
        <v/>
      </c>
      <c r="M287" s="129" t="n"/>
      <c r="N287" t="str">
        <f>IF(AND(B287&lt;&gt;"",G287&lt;&gt;"Concluída",G287&lt;&gt;"Cancelada",F287&lt;&gt;""),F287+ROW()/100000,"")</f>
        <v/>
      </c>
    </row>
    <row r="288">
      <c r="B288" s="129" t="n"/>
      <c r="C288" s="129" t="n"/>
      <c r="D288" s="129" t="n"/>
      <c r="E288" s="129" t="n"/>
      <c r="F288" s="130" t="n"/>
      <c r="G288" s="129" t="n"/>
      <c r="H288" s="130" t="n"/>
      <c r="I288" s="129" t="n"/>
      <c r="J288" s="134" t="str">
        <f>IF(OR(B288="",F288="",G288="Concluída",G288="Cancelada"),"",F288-Hoje)</f>
        <v/>
      </c>
      <c r="K288" s="138" t="str">
        <f>IF(B288="","",IF(G288="Concluída","✔ Feita",IF(G288="Cancelada","– Cancelada",IF(F288="","○ Sem prazo",IF(F288&lt;Hoje,"✖ Atrasada",IF(F288=Hoje,"▲ Vence hoje",IF(F288-Hoje&lt;=7,"▲ Próximos 7 dias","○ No prazo")))))))</f>
        <v/>
      </c>
      <c r="L288" s="138" t="str">
        <f>IF(OR(B288="",G288="Concluída",G288="Cancelada"),"",IF(E288="Alta",IF(AND(F288&lt;&gt;"",F288-Hoje&lt;=3),"1 · Fazer já","2 · Agendar"),IF(AND(F288&lt;&gt;"",F288-Hoje&lt;=3),"3 · Resolver rápido","4 · Depois")))</f>
        <v/>
      </c>
      <c r="M288" s="129" t="n"/>
      <c r="N288" t="str">
        <f>IF(AND(B288&lt;&gt;"",G288&lt;&gt;"Concluída",G288&lt;&gt;"Cancelada",F288&lt;&gt;""),F288+ROW()/100000,"")</f>
        <v/>
      </c>
    </row>
    <row r="289">
      <c r="B289" s="129" t="n"/>
      <c r="C289" s="129" t="n"/>
      <c r="D289" s="129" t="n"/>
      <c r="E289" s="129" t="n"/>
      <c r="F289" s="130" t="n"/>
      <c r="G289" s="129" t="n"/>
      <c r="H289" s="130" t="n"/>
      <c r="I289" s="129" t="n"/>
      <c r="J289" s="134" t="str">
        <f>IF(OR(B289="",F289="",G289="Concluída",G289="Cancelada"),"",F289-Hoje)</f>
        <v/>
      </c>
      <c r="K289" s="138" t="str">
        <f>IF(B289="","",IF(G289="Concluída","✔ Feita",IF(G289="Cancelada","– Cancelada",IF(F289="","○ Sem prazo",IF(F289&lt;Hoje,"✖ Atrasada",IF(F289=Hoje,"▲ Vence hoje",IF(F289-Hoje&lt;=7,"▲ Próximos 7 dias","○ No prazo")))))))</f>
        <v/>
      </c>
      <c r="L289" s="138" t="str">
        <f>IF(OR(B289="",G289="Concluída",G289="Cancelada"),"",IF(E289="Alta",IF(AND(F289&lt;&gt;"",F289-Hoje&lt;=3),"1 · Fazer já","2 · Agendar"),IF(AND(F289&lt;&gt;"",F289-Hoje&lt;=3),"3 · Resolver rápido","4 · Depois")))</f>
        <v/>
      </c>
      <c r="M289" s="129" t="n"/>
      <c r="N289" t="str">
        <f>IF(AND(B289&lt;&gt;"",G289&lt;&gt;"Concluída",G289&lt;&gt;"Cancelada",F289&lt;&gt;""),F289+ROW()/100000,"")</f>
        <v/>
      </c>
    </row>
    <row r="290">
      <c r="B290" s="129" t="n"/>
      <c r="C290" s="129" t="n"/>
      <c r="D290" s="129" t="n"/>
      <c r="E290" s="129" t="n"/>
      <c r="F290" s="130" t="n"/>
      <c r="G290" s="129" t="n"/>
      <c r="H290" s="130" t="n"/>
      <c r="I290" s="129" t="n"/>
      <c r="J290" s="134" t="str">
        <f>IF(OR(B290="",F290="",G290="Concluída",G290="Cancelada"),"",F290-Hoje)</f>
        <v/>
      </c>
      <c r="K290" s="138" t="str">
        <f>IF(B290="","",IF(G290="Concluída","✔ Feita",IF(G290="Cancelada","– Cancelada",IF(F290="","○ Sem prazo",IF(F290&lt;Hoje,"✖ Atrasada",IF(F290=Hoje,"▲ Vence hoje",IF(F290-Hoje&lt;=7,"▲ Próximos 7 dias","○ No prazo")))))))</f>
        <v/>
      </c>
      <c r="L290" s="138" t="str">
        <f>IF(OR(B290="",G290="Concluída",G290="Cancelada"),"",IF(E290="Alta",IF(AND(F290&lt;&gt;"",F290-Hoje&lt;=3),"1 · Fazer já","2 · Agendar"),IF(AND(F290&lt;&gt;"",F290-Hoje&lt;=3),"3 · Resolver rápido","4 · Depois")))</f>
        <v/>
      </c>
      <c r="M290" s="129" t="n"/>
      <c r="N290" t="str">
        <f>IF(AND(B290&lt;&gt;"",G290&lt;&gt;"Concluída",G290&lt;&gt;"Cancelada",F290&lt;&gt;""),F290+ROW()/100000,"")</f>
        <v/>
      </c>
    </row>
    <row r="291">
      <c r="B291" s="129" t="n"/>
      <c r="C291" s="129" t="n"/>
      <c r="D291" s="129" t="n"/>
      <c r="E291" s="129" t="n"/>
      <c r="F291" s="130" t="n"/>
      <c r="G291" s="129" t="n"/>
      <c r="H291" s="130" t="n"/>
      <c r="I291" s="129" t="n"/>
      <c r="J291" s="134" t="str">
        <f>IF(OR(B291="",F291="",G291="Concluída",G291="Cancelada"),"",F291-Hoje)</f>
        <v/>
      </c>
      <c r="K291" s="138" t="str">
        <f>IF(B291="","",IF(G291="Concluída","✔ Feita",IF(G291="Cancelada","– Cancelada",IF(F291="","○ Sem prazo",IF(F291&lt;Hoje,"✖ Atrasada",IF(F291=Hoje,"▲ Vence hoje",IF(F291-Hoje&lt;=7,"▲ Próximos 7 dias","○ No prazo")))))))</f>
        <v/>
      </c>
      <c r="L291" s="138" t="str">
        <f>IF(OR(B291="",G291="Concluída",G291="Cancelada"),"",IF(E291="Alta",IF(AND(F291&lt;&gt;"",F291-Hoje&lt;=3),"1 · Fazer já","2 · Agendar"),IF(AND(F291&lt;&gt;"",F291-Hoje&lt;=3),"3 · Resolver rápido","4 · Depois")))</f>
        <v/>
      </c>
      <c r="M291" s="129" t="n"/>
      <c r="N291" t="str">
        <f>IF(AND(B291&lt;&gt;"",G291&lt;&gt;"Concluída",G291&lt;&gt;"Cancelada",F291&lt;&gt;""),F291+ROW()/100000,"")</f>
        <v/>
      </c>
    </row>
    <row r="292">
      <c r="B292" s="129" t="n"/>
      <c r="C292" s="129" t="n"/>
      <c r="D292" s="129" t="n"/>
      <c r="E292" s="129" t="n"/>
      <c r="F292" s="130" t="n"/>
      <c r="G292" s="129" t="n"/>
      <c r="H292" s="130" t="n"/>
      <c r="I292" s="129" t="n"/>
      <c r="J292" s="134" t="str">
        <f>IF(OR(B292="",F292="",G292="Concluída",G292="Cancelada"),"",F292-Hoje)</f>
        <v/>
      </c>
      <c r="K292" s="138" t="str">
        <f>IF(B292="","",IF(G292="Concluída","✔ Feita",IF(G292="Cancelada","– Cancelada",IF(F292="","○ Sem prazo",IF(F292&lt;Hoje,"✖ Atrasada",IF(F292=Hoje,"▲ Vence hoje",IF(F292-Hoje&lt;=7,"▲ Próximos 7 dias","○ No prazo")))))))</f>
        <v/>
      </c>
      <c r="L292" s="138" t="str">
        <f>IF(OR(B292="",G292="Concluída",G292="Cancelada"),"",IF(E292="Alta",IF(AND(F292&lt;&gt;"",F292-Hoje&lt;=3),"1 · Fazer já","2 · Agendar"),IF(AND(F292&lt;&gt;"",F292-Hoje&lt;=3),"3 · Resolver rápido","4 · Depois")))</f>
        <v/>
      </c>
      <c r="M292" s="129" t="n"/>
      <c r="N292" t="str">
        <f>IF(AND(B292&lt;&gt;"",G292&lt;&gt;"Concluída",G292&lt;&gt;"Cancelada",F292&lt;&gt;""),F292+ROW()/100000,"")</f>
        <v/>
      </c>
    </row>
    <row r="293">
      <c r="B293" s="129" t="n"/>
      <c r="C293" s="129" t="n"/>
      <c r="D293" s="129" t="n"/>
      <c r="E293" s="129" t="n"/>
      <c r="F293" s="130" t="n"/>
      <c r="G293" s="129" t="n"/>
      <c r="H293" s="130" t="n"/>
      <c r="I293" s="129" t="n"/>
      <c r="J293" s="134" t="str">
        <f>IF(OR(B293="",F293="",G293="Concluída",G293="Cancelada"),"",F293-Hoje)</f>
        <v/>
      </c>
      <c r="K293" s="138" t="str">
        <f>IF(B293="","",IF(G293="Concluída","✔ Feita",IF(G293="Cancelada","– Cancelada",IF(F293="","○ Sem prazo",IF(F293&lt;Hoje,"✖ Atrasada",IF(F293=Hoje,"▲ Vence hoje",IF(F293-Hoje&lt;=7,"▲ Próximos 7 dias","○ No prazo")))))))</f>
        <v/>
      </c>
      <c r="L293" s="138" t="str">
        <f>IF(OR(B293="",G293="Concluída",G293="Cancelada"),"",IF(E293="Alta",IF(AND(F293&lt;&gt;"",F293-Hoje&lt;=3),"1 · Fazer já","2 · Agendar"),IF(AND(F293&lt;&gt;"",F293-Hoje&lt;=3),"3 · Resolver rápido","4 · Depois")))</f>
        <v/>
      </c>
      <c r="M293" s="129" t="n"/>
      <c r="N293" t="str">
        <f>IF(AND(B293&lt;&gt;"",G293&lt;&gt;"Concluída",G293&lt;&gt;"Cancelada",F293&lt;&gt;""),F293+ROW()/100000,"")</f>
        <v/>
      </c>
    </row>
    <row r="294">
      <c r="B294" s="129" t="n"/>
      <c r="C294" s="129" t="n"/>
      <c r="D294" s="129" t="n"/>
      <c r="E294" s="129" t="n"/>
      <c r="F294" s="130" t="n"/>
      <c r="G294" s="129" t="n"/>
      <c r="H294" s="130" t="n"/>
      <c r="I294" s="129" t="n"/>
      <c r="J294" s="134" t="str">
        <f>IF(OR(B294="",F294="",G294="Concluída",G294="Cancelada"),"",F294-Hoje)</f>
        <v/>
      </c>
      <c r="K294" s="138" t="str">
        <f>IF(B294="","",IF(G294="Concluída","✔ Feita",IF(G294="Cancelada","– Cancelada",IF(F294="","○ Sem prazo",IF(F294&lt;Hoje,"✖ Atrasada",IF(F294=Hoje,"▲ Vence hoje",IF(F294-Hoje&lt;=7,"▲ Próximos 7 dias","○ No prazo")))))))</f>
        <v/>
      </c>
      <c r="L294" s="138" t="str">
        <f>IF(OR(B294="",G294="Concluída",G294="Cancelada"),"",IF(E294="Alta",IF(AND(F294&lt;&gt;"",F294-Hoje&lt;=3),"1 · Fazer já","2 · Agendar"),IF(AND(F294&lt;&gt;"",F294-Hoje&lt;=3),"3 · Resolver rápido","4 · Depois")))</f>
        <v/>
      </c>
      <c r="M294" s="129" t="n"/>
      <c r="N294" t="str">
        <f>IF(AND(B294&lt;&gt;"",G294&lt;&gt;"Concluída",G294&lt;&gt;"Cancelada",F294&lt;&gt;""),F294+ROW()/100000,"")</f>
        <v/>
      </c>
    </row>
    <row r="295">
      <c r="B295" s="129" t="n"/>
      <c r="C295" s="129" t="n"/>
      <c r="D295" s="129" t="n"/>
      <c r="E295" s="129" t="n"/>
      <c r="F295" s="130" t="n"/>
      <c r="G295" s="129" t="n"/>
      <c r="H295" s="130" t="n"/>
      <c r="I295" s="129" t="n"/>
      <c r="J295" s="134" t="str">
        <f>IF(OR(B295="",F295="",G295="Concluída",G295="Cancelada"),"",F295-Hoje)</f>
        <v/>
      </c>
      <c r="K295" s="138" t="str">
        <f>IF(B295="","",IF(G295="Concluída","✔ Feita",IF(G295="Cancelada","– Cancelada",IF(F295="","○ Sem prazo",IF(F295&lt;Hoje,"✖ Atrasada",IF(F295=Hoje,"▲ Vence hoje",IF(F295-Hoje&lt;=7,"▲ Próximos 7 dias","○ No prazo")))))))</f>
        <v/>
      </c>
      <c r="L295" s="138" t="str">
        <f>IF(OR(B295="",G295="Concluída",G295="Cancelada"),"",IF(E295="Alta",IF(AND(F295&lt;&gt;"",F295-Hoje&lt;=3),"1 · Fazer já","2 · Agendar"),IF(AND(F295&lt;&gt;"",F295-Hoje&lt;=3),"3 · Resolver rápido","4 · Depois")))</f>
        <v/>
      </c>
      <c r="M295" s="129" t="n"/>
      <c r="N295" t="str">
        <f>IF(AND(B295&lt;&gt;"",G295&lt;&gt;"Concluída",G295&lt;&gt;"Cancelada",F295&lt;&gt;""),F295+ROW()/100000,"")</f>
        <v/>
      </c>
    </row>
    <row r="296">
      <c r="B296" s="129" t="n"/>
      <c r="C296" s="129" t="n"/>
      <c r="D296" s="129" t="n"/>
      <c r="E296" s="129" t="n"/>
      <c r="F296" s="130" t="n"/>
      <c r="G296" s="129" t="n"/>
      <c r="H296" s="130" t="n"/>
      <c r="I296" s="129" t="n"/>
      <c r="J296" s="134" t="str">
        <f>IF(OR(B296="",F296="",G296="Concluída",G296="Cancelada"),"",F296-Hoje)</f>
        <v/>
      </c>
      <c r="K296" s="138" t="str">
        <f>IF(B296="","",IF(G296="Concluída","✔ Feita",IF(G296="Cancelada","– Cancelada",IF(F296="","○ Sem prazo",IF(F296&lt;Hoje,"✖ Atrasada",IF(F296=Hoje,"▲ Vence hoje",IF(F296-Hoje&lt;=7,"▲ Próximos 7 dias","○ No prazo")))))))</f>
        <v/>
      </c>
      <c r="L296" s="138" t="str">
        <f>IF(OR(B296="",G296="Concluída",G296="Cancelada"),"",IF(E296="Alta",IF(AND(F296&lt;&gt;"",F296-Hoje&lt;=3),"1 · Fazer já","2 · Agendar"),IF(AND(F296&lt;&gt;"",F296-Hoje&lt;=3),"3 · Resolver rápido","4 · Depois")))</f>
        <v/>
      </c>
      <c r="M296" s="129" t="n"/>
      <c r="N296" t="str">
        <f>IF(AND(B296&lt;&gt;"",G296&lt;&gt;"Concluída",G296&lt;&gt;"Cancelada",F296&lt;&gt;""),F296+ROW()/100000,"")</f>
        <v/>
      </c>
    </row>
    <row r="297">
      <c r="B297" s="129" t="n"/>
      <c r="C297" s="129" t="n"/>
      <c r="D297" s="129" t="n"/>
      <c r="E297" s="129" t="n"/>
      <c r="F297" s="130" t="n"/>
      <c r="G297" s="129" t="n"/>
      <c r="H297" s="130" t="n"/>
      <c r="I297" s="129" t="n"/>
      <c r="J297" s="134" t="str">
        <f>IF(OR(B297="",F297="",G297="Concluída",G297="Cancelada"),"",F297-Hoje)</f>
        <v/>
      </c>
      <c r="K297" s="138" t="str">
        <f>IF(B297="","",IF(G297="Concluída","✔ Feita",IF(G297="Cancelada","– Cancelada",IF(F297="","○ Sem prazo",IF(F297&lt;Hoje,"✖ Atrasada",IF(F297=Hoje,"▲ Vence hoje",IF(F297-Hoje&lt;=7,"▲ Próximos 7 dias","○ No prazo")))))))</f>
        <v/>
      </c>
      <c r="L297" s="138" t="str">
        <f>IF(OR(B297="",G297="Concluída",G297="Cancelada"),"",IF(E297="Alta",IF(AND(F297&lt;&gt;"",F297-Hoje&lt;=3),"1 · Fazer já","2 · Agendar"),IF(AND(F297&lt;&gt;"",F297-Hoje&lt;=3),"3 · Resolver rápido","4 · Depois")))</f>
        <v/>
      </c>
      <c r="M297" s="129" t="n"/>
      <c r="N297" t="str">
        <f>IF(AND(B297&lt;&gt;"",G297&lt;&gt;"Concluída",G297&lt;&gt;"Cancelada",F297&lt;&gt;""),F297+ROW()/100000,"")</f>
        <v/>
      </c>
    </row>
    <row r="298">
      <c r="B298" s="129" t="n"/>
      <c r="C298" s="129" t="n"/>
      <c r="D298" s="129" t="n"/>
      <c r="E298" s="129" t="n"/>
      <c r="F298" s="130" t="n"/>
      <c r="G298" s="129" t="n"/>
      <c r="H298" s="130" t="n"/>
      <c r="I298" s="129" t="n"/>
      <c r="J298" s="134" t="str">
        <f>IF(OR(B298="",F298="",G298="Concluída",G298="Cancelada"),"",F298-Hoje)</f>
        <v/>
      </c>
      <c r="K298" s="138" t="str">
        <f>IF(B298="","",IF(G298="Concluída","✔ Feita",IF(G298="Cancelada","– Cancelada",IF(F298="","○ Sem prazo",IF(F298&lt;Hoje,"✖ Atrasada",IF(F298=Hoje,"▲ Vence hoje",IF(F298-Hoje&lt;=7,"▲ Próximos 7 dias","○ No prazo")))))))</f>
        <v/>
      </c>
      <c r="L298" s="138" t="str">
        <f>IF(OR(B298="",G298="Concluída",G298="Cancelada"),"",IF(E298="Alta",IF(AND(F298&lt;&gt;"",F298-Hoje&lt;=3),"1 · Fazer já","2 · Agendar"),IF(AND(F298&lt;&gt;"",F298-Hoje&lt;=3),"3 · Resolver rápido","4 · Depois")))</f>
        <v/>
      </c>
      <c r="M298" s="129" t="n"/>
      <c r="N298" t="str">
        <f>IF(AND(B298&lt;&gt;"",G298&lt;&gt;"Concluída",G298&lt;&gt;"Cancelada",F298&lt;&gt;""),F298+ROW()/100000,"")</f>
        <v/>
      </c>
    </row>
    <row r="299">
      <c r="B299" s="129" t="n"/>
      <c r="C299" s="129" t="n"/>
      <c r="D299" s="129" t="n"/>
      <c r="E299" s="129" t="n"/>
      <c r="F299" s="130" t="n"/>
      <c r="G299" s="129" t="n"/>
      <c r="H299" s="130" t="n"/>
      <c r="I299" s="129" t="n"/>
      <c r="J299" s="134" t="str">
        <f>IF(OR(B299="",F299="",G299="Concluída",G299="Cancelada"),"",F299-Hoje)</f>
        <v/>
      </c>
      <c r="K299" s="138" t="str">
        <f>IF(B299="","",IF(G299="Concluída","✔ Feita",IF(G299="Cancelada","– Cancelada",IF(F299="","○ Sem prazo",IF(F299&lt;Hoje,"✖ Atrasada",IF(F299=Hoje,"▲ Vence hoje",IF(F299-Hoje&lt;=7,"▲ Próximos 7 dias","○ No prazo")))))))</f>
        <v/>
      </c>
      <c r="L299" s="138" t="str">
        <f>IF(OR(B299="",G299="Concluída",G299="Cancelada"),"",IF(E299="Alta",IF(AND(F299&lt;&gt;"",F299-Hoje&lt;=3),"1 · Fazer já","2 · Agendar"),IF(AND(F299&lt;&gt;"",F299-Hoje&lt;=3),"3 · Resolver rápido","4 · Depois")))</f>
        <v/>
      </c>
      <c r="M299" s="129" t="n"/>
      <c r="N299" t="str">
        <f>IF(AND(B299&lt;&gt;"",G299&lt;&gt;"Concluída",G299&lt;&gt;"Cancelada",F299&lt;&gt;""),F299+ROW()/100000,"")</f>
        <v/>
      </c>
    </row>
    <row r="300">
      <c r="B300" s="129" t="n"/>
      <c r="C300" s="129" t="n"/>
      <c r="D300" s="129" t="n"/>
      <c r="E300" s="129" t="n"/>
      <c r="F300" s="130" t="n"/>
      <c r="G300" s="129" t="n"/>
      <c r="H300" s="130" t="n"/>
      <c r="I300" s="129" t="n"/>
      <c r="J300" s="134" t="str">
        <f>IF(OR(B300="",F300="",G300="Concluída",G300="Cancelada"),"",F300-Hoje)</f>
        <v/>
      </c>
      <c r="K300" s="138" t="str">
        <f>IF(B300="","",IF(G300="Concluída","✔ Feita",IF(G300="Cancelada","– Cancelada",IF(F300="","○ Sem prazo",IF(F300&lt;Hoje,"✖ Atrasada",IF(F300=Hoje,"▲ Vence hoje",IF(F300-Hoje&lt;=7,"▲ Próximos 7 dias","○ No prazo")))))))</f>
        <v/>
      </c>
      <c r="L300" s="138" t="str">
        <f>IF(OR(B300="",G300="Concluída",G300="Cancelada"),"",IF(E300="Alta",IF(AND(F300&lt;&gt;"",F300-Hoje&lt;=3),"1 · Fazer já","2 · Agendar"),IF(AND(F300&lt;&gt;"",F300-Hoje&lt;=3),"3 · Resolver rápido","4 · Depois")))</f>
        <v/>
      </c>
      <c r="M300" s="129" t="n"/>
      <c r="N300" t="str">
        <f>IF(AND(B300&lt;&gt;"",G300&lt;&gt;"Concluída",G300&lt;&gt;"Cancelada",F300&lt;&gt;""),F300+ROW()/100000,"")</f>
        <v/>
      </c>
    </row>
    <row r="301">
      <c r="B301" s="129" t="n"/>
      <c r="C301" s="129" t="n"/>
      <c r="D301" s="129" t="n"/>
      <c r="E301" s="129" t="n"/>
      <c r="F301" s="130" t="n"/>
      <c r="G301" s="129" t="n"/>
      <c r="H301" s="130" t="n"/>
      <c r="I301" s="129" t="n"/>
      <c r="J301" s="134" t="str">
        <f>IF(OR(B301="",F301="",G301="Concluída",G301="Cancelada"),"",F301-Hoje)</f>
        <v/>
      </c>
      <c r="K301" s="138" t="str">
        <f>IF(B301="","",IF(G301="Concluída","✔ Feita",IF(G301="Cancelada","– Cancelada",IF(F301="","○ Sem prazo",IF(F301&lt;Hoje,"✖ Atrasada",IF(F301=Hoje,"▲ Vence hoje",IF(F301-Hoje&lt;=7,"▲ Próximos 7 dias","○ No prazo")))))))</f>
        <v/>
      </c>
      <c r="L301" s="138" t="str">
        <f>IF(OR(B301="",G301="Concluída",G301="Cancelada"),"",IF(E301="Alta",IF(AND(F301&lt;&gt;"",F301-Hoje&lt;=3),"1 · Fazer já","2 · Agendar"),IF(AND(F301&lt;&gt;"",F301-Hoje&lt;=3),"3 · Resolver rápido","4 · Depois")))</f>
        <v/>
      </c>
      <c r="M301" s="129" t="n"/>
      <c r="N301" t="str">
        <f>IF(AND(B301&lt;&gt;"",G301&lt;&gt;"Concluída",G301&lt;&gt;"Cancelada",F301&lt;&gt;""),F301+ROW()/100000,"")</f>
        <v/>
      </c>
    </row>
    <row r="302">
      <c r="B302" s="129" t="n"/>
      <c r="C302" s="129" t="n"/>
      <c r="D302" s="129" t="n"/>
      <c r="E302" s="129" t="n"/>
      <c r="F302" s="130" t="n"/>
      <c r="G302" s="129" t="n"/>
      <c r="H302" s="130" t="n"/>
      <c r="I302" s="129" t="n"/>
      <c r="J302" s="134" t="str">
        <f>IF(OR(B302="",F302="",G302="Concluída",G302="Cancelada"),"",F302-Hoje)</f>
        <v/>
      </c>
      <c r="K302" s="138" t="str">
        <f>IF(B302="","",IF(G302="Concluída","✔ Feita",IF(G302="Cancelada","– Cancelada",IF(F302="","○ Sem prazo",IF(F302&lt;Hoje,"✖ Atrasada",IF(F302=Hoje,"▲ Vence hoje",IF(F302-Hoje&lt;=7,"▲ Próximos 7 dias","○ No prazo")))))))</f>
        <v/>
      </c>
      <c r="L302" s="138" t="str">
        <f>IF(OR(B302="",G302="Concluída",G302="Cancelada"),"",IF(E302="Alta",IF(AND(F302&lt;&gt;"",F302-Hoje&lt;=3),"1 · Fazer já","2 · Agendar"),IF(AND(F302&lt;&gt;"",F302-Hoje&lt;=3),"3 · Resolver rápido","4 · Depois")))</f>
        <v/>
      </c>
      <c r="M302" s="129" t="n"/>
      <c r="N302" t="str">
        <f>IF(AND(B302&lt;&gt;"",G302&lt;&gt;"Concluída",G302&lt;&gt;"Cancelada",F302&lt;&gt;""),F302+ROW()/100000,"")</f>
        <v/>
      </c>
    </row>
    <row r="303">
      <c r="B303" s="129" t="n"/>
      <c r="C303" s="129" t="n"/>
      <c r="D303" s="129" t="n"/>
      <c r="E303" s="129" t="n"/>
      <c r="F303" s="130" t="n"/>
      <c r="G303" s="129" t="n"/>
      <c r="H303" s="130" t="n"/>
      <c r="I303" s="129" t="n"/>
      <c r="J303" s="134" t="str">
        <f>IF(OR(B303="",F303="",G303="Concluída",G303="Cancelada"),"",F303-Hoje)</f>
        <v/>
      </c>
      <c r="K303" s="138" t="str">
        <f>IF(B303="","",IF(G303="Concluída","✔ Feita",IF(G303="Cancelada","– Cancelada",IF(F303="","○ Sem prazo",IF(F303&lt;Hoje,"✖ Atrasada",IF(F303=Hoje,"▲ Vence hoje",IF(F303-Hoje&lt;=7,"▲ Próximos 7 dias","○ No prazo")))))))</f>
        <v/>
      </c>
      <c r="L303" s="138" t="str">
        <f>IF(OR(B303="",G303="Concluída",G303="Cancelada"),"",IF(E303="Alta",IF(AND(F303&lt;&gt;"",F303-Hoje&lt;=3),"1 · Fazer já","2 · Agendar"),IF(AND(F303&lt;&gt;"",F303-Hoje&lt;=3),"3 · Resolver rápido","4 · Depois")))</f>
        <v/>
      </c>
      <c r="M303" s="129" t="n"/>
      <c r="N303" t="str">
        <f>IF(AND(B303&lt;&gt;"",G303&lt;&gt;"Concluída",G303&lt;&gt;"Cancelada",F303&lt;&gt;""),F303+ROW()/100000,"")</f>
        <v/>
      </c>
    </row>
    <row r="304">
      <c r="B304" s="129" t="n"/>
      <c r="C304" s="129" t="n"/>
      <c r="D304" s="129" t="n"/>
      <c r="E304" s="129" t="n"/>
      <c r="F304" s="130" t="n"/>
      <c r="G304" s="129" t="n"/>
      <c r="H304" s="130" t="n"/>
      <c r="I304" s="129" t="n"/>
      <c r="J304" s="134" t="str">
        <f>IF(OR(B304="",F304="",G304="Concluída",G304="Cancelada"),"",F304-Hoje)</f>
        <v/>
      </c>
      <c r="K304" s="138" t="str">
        <f>IF(B304="","",IF(G304="Concluída","✔ Feita",IF(G304="Cancelada","– Cancelada",IF(F304="","○ Sem prazo",IF(F304&lt;Hoje,"✖ Atrasada",IF(F304=Hoje,"▲ Vence hoje",IF(F304-Hoje&lt;=7,"▲ Próximos 7 dias","○ No prazo")))))))</f>
        <v/>
      </c>
      <c r="L304" s="138" t="str">
        <f>IF(OR(B304="",G304="Concluída",G304="Cancelada"),"",IF(E304="Alta",IF(AND(F304&lt;&gt;"",F304-Hoje&lt;=3),"1 · Fazer já","2 · Agendar"),IF(AND(F304&lt;&gt;"",F304-Hoje&lt;=3),"3 · Resolver rápido","4 · Depois")))</f>
        <v/>
      </c>
      <c r="M304" s="129" t="n"/>
      <c r="N304" t="str">
        <f>IF(AND(B304&lt;&gt;"",G304&lt;&gt;"Concluída",G304&lt;&gt;"Cancelada",F304&lt;&gt;""),F304+ROW()/100000,"")</f>
        <v/>
      </c>
    </row>
    <row r="305">
      <c r="B305" s="129" t="n"/>
      <c r="C305" s="129" t="n"/>
      <c r="D305" s="129" t="n"/>
      <c r="E305" s="129" t="n"/>
      <c r="F305" s="130" t="n"/>
      <c r="G305" s="129" t="n"/>
      <c r="H305" s="130" t="n"/>
      <c r="I305" s="129" t="n"/>
      <c r="J305" s="134" t="str">
        <f>IF(OR(B305="",F305="",G305="Concluída",G305="Cancelada"),"",F305-Hoje)</f>
        <v/>
      </c>
      <c r="K305" s="138" t="str">
        <f>IF(B305="","",IF(G305="Concluída","✔ Feita",IF(G305="Cancelada","– Cancelada",IF(F305="","○ Sem prazo",IF(F305&lt;Hoje,"✖ Atrasada",IF(F305=Hoje,"▲ Vence hoje",IF(F305-Hoje&lt;=7,"▲ Próximos 7 dias","○ No prazo")))))))</f>
        <v/>
      </c>
      <c r="L305" s="138" t="str">
        <f>IF(OR(B305="",G305="Concluída",G305="Cancelada"),"",IF(E305="Alta",IF(AND(F305&lt;&gt;"",F305-Hoje&lt;=3),"1 · Fazer já","2 · Agendar"),IF(AND(F305&lt;&gt;"",F305-Hoje&lt;=3),"3 · Resolver rápido","4 · Depois")))</f>
        <v/>
      </c>
      <c r="M305" s="129" t="n"/>
      <c r="N305" t="str">
        <f>IF(AND(B305&lt;&gt;"",G305&lt;&gt;"Concluída",G305&lt;&gt;"Cancelada",F305&lt;&gt;""),F305+ROW()/100000,"")</f>
        <v/>
      </c>
    </row>
    <row r="306">
      <c r="B306" s="129" t="n"/>
      <c r="C306" s="129" t="n"/>
      <c r="D306" s="129" t="n"/>
      <c r="E306" s="129" t="n"/>
      <c r="F306" s="130" t="n"/>
      <c r="G306" s="129" t="n"/>
      <c r="H306" s="130" t="n"/>
      <c r="I306" s="129" t="n"/>
      <c r="J306" s="134" t="str">
        <f>IF(OR(B306="",F306="",G306="Concluída",G306="Cancelada"),"",F306-Hoje)</f>
        <v/>
      </c>
      <c r="K306" s="138" t="str">
        <f>IF(B306="","",IF(G306="Concluída","✔ Feita",IF(G306="Cancelada","– Cancelada",IF(F306="","○ Sem prazo",IF(F306&lt;Hoje,"✖ Atrasada",IF(F306=Hoje,"▲ Vence hoje",IF(F306-Hoje&lt;=7,"▲ Próximos 7 dias","○ No prazo")))))))</f>
        <v/>
      </c>
      <c r="L306" s="138" t="str">
        <f>IF(OR(B306="",G306="Concluída",G306="Cancelada"),"",IF(E306="Alta",IF(AND(F306&lt;&gt;"",F306-Hoje&lt;=3),"1 · Fazer já","2 · Agendar"),IF(AND(F306&lt;&gt;"",F306-Hoje&lt;=3),"3 · Resolver rápido","4 · Depois")))</f>
        <v/>
      </c>
      <c r="M306" s="129" t="n"/>
      <c r="N306" t="str">
        <f>IF(AND(B306&lt;&gt;"",G306&lt;&gt;"Concluída",G306&lt;&gt;"Cancelada",F306&lt;&gt;""),F306+ROW()/100000,"")</f>
        <v/>
      </c>
    </row>
    <row r="307">
      <c r="B307" s="129" t="n"/>
      <c r="C307" s="129" t="n"/>
      <c r="D307" s="129" t="n"/>
      <c r="E307" s="129" t="n"/>
      <c r="F307" s="130" t="n"/>
      <c r="G307" s="129" t="n"/>
      <c r="H307" s="130" t="n"/>
      <c r="I307" s="129" t="n"/>
      <c r="J307" s="134" t="str">
        <f>IF(OR(B307="",F307="",G307="Concluída",G307="Cancelada"),"",F307-Hoje)</f>
        <v/>
      </c>
      <c r="K307" s="138" t="str">
        <f>IF(B307="","",IF(G307="Concluída","✔ Feita",IF(G307="Cancelada","– Cancelada",IF(F307="","○ Sem prazo",IF(F307&lt;Hoje,"✖ Atrasada",IF(F307=Hoje,"▲ Vence hoje",IF(F307-Hoje&lt;=7,"▲ Próximos 7 dias","○ No prazo")))))))</f>
        <v/>
      </c>
      <c r="L307" s="138" t="str">
        <f>IF(OR(B307="",G307="Concluída",G307="Cancelada"),"",IF(E307="Alta",IF(AND(F307&lt;&gt;"",F307-Hoje&lt;=3),"1 · Fazer já","2 · Agendar"),IF(AND(F307&lt;&gt;"",F307-Hoje&lt;=3),"3 · Resolver rápido","4 · Depois")))</f>
        <v/>
      </c>
      <c r="M307" s="129" t="n"/>
      <c r="N307" t="str">
        <f>IF(AND(B307&lt;&gt;"",G307&lt;&gt;"Concluída",G307&lt;&gt;"Cancelada",F307&lt;&gt;""),F307+ROW()/100000,"")</f>
        <v/>
      </c>
    </row>
    <row r="308">
      <c r="B308" s="129" t="n"/>
      <c r="C308" s="129" t="n"/>
      <c r="D308" s="129" t="n"/>
      <c r="E308" s="129" t="n"/>
      <c r="F308" s="130" t="n"/>
      <c r="G308" s="129" t="n"/>
      <c r="H308" s="130" t="n"/>
      <c r="I308" s="129" t="n"/>
      <c r="J308" s="134" t="str">
        <f>IF(OR(B308="",F308="",G308="Concluída",G308="Cancelada"),"",F308-Hoje)</f>
        <v/>
      </c>
      <c r="K308" s="138" t="str">
        <f>IF(B308="","",IF(G308="Concluída","✔ Feita",IF(G308="Cancelada","– Cancelada",IF(F308="","○ Sem prazo",IF(F308&lt;Hoje,"✖ Atrasada",IF(F308=Hoje,"▲ Vence hoje",IF(F308-Hoje&lt;=7,"▲ Próximos 7 dias","○ No prazo")))))))</f>
        <v/>
      </c>
      <c r="L308" s="138" t="str">
        <f>IF(OR(B308="",G308="Concluída",G308="Cancelada"),"",IF(E308="Alta",IF(AND(F308&lt;&gt;"",F308-Hoje&lt;=3),"1 · Fazer já","2 · Agendar"),IF(AND(F308&lt;&gt;"",F308-Hoje&lt;=3),"3 · Resolver rápido","4 · Depois")))</f>
        <v/>
      </c>
      <c r="M308" s="129" t="n"/>
      <c r="N308" t="str">
        <f>IF(AND(B308&lt;&gt;"",G308&lt;&gt;"Concluída",G308&lt;&gt;"Cancelada",F308&lt;&gt;""),F308+ROW()/100000,"")</f>
        <v/>
      </c>
    </row>
    <row r="309">
      <c r="B309" s="129" t="n"/>
      <c r="C309" s="129" t="n"/>
      <c r="D309" s="129" t="n"/>
      <c r="E309" s="129" t="n"/>
      <c r="F309" s="130" t="n"/>
      <c r="G309" s="129" t="n"/>
      <c r="H309" s="130" t="n"/>
      <c r="I309" s="129" t="n"/>
      <c r="J309" s="134" t="str">
        <f>IF(OR(B309="",F309="",G309="Concluída",G309="Cancelada"),"",F309-Hoje)</f>
        <v/>
      </c>
      <c r="K309" s="138" t="str">
        <f>IF(B309="","",IF(G309="Concluída","✔ Feita",IF(G309="Cancelada","– Cancelada",IF(F309="","○ Sem prazo",IF(F309&lt;Hoje,"✖ Atrasada",IF(F309=Hoje,"▲ Vence hoje",IF(F309-Hoje&lt;=7,"▲ Próximos 7 dias","○ No prazo")))))))</f>
        <v/>
      </c>
      <c r="L309" s="138" t="str">
        <f>IF(OR(B309="",G309="Concluída",G309="Cancelada"),"",IF(E309="Alta",IF(AND(F309&lt;&gt;"",F309-Hoje&lt;=3),"1 · Fazer já","2 · Agendar"),IF(AND(F309&lt;&gt;"",F309-Hoje&lt;=3),"3 · Resolver rápido","4 · Depois")))</f>
        <v/>
      </c>
      <c r="M309" s="129" t="n"/>
      <c r="N309" t="str">
        <f>IF(AND(B309&lt;&gt;"",G309&lt;&gt;"Concluída",G309&lt;&gt;"Cancelada",F309&lt;&gt;""),F309+ROW()/100000,"")</f>
        <v/>
      </c>
    </row>
    <row r="310">
      <c r="B310" s="129" t="n"/>
      <c r="C310" s="129" t="n"/>
      <c r="D310" s="129" t="n"/>
      <c r="E310" s="129" t="n"/>
      <c r="F310" s="130" t="n"/>
      <c r="G310" s="129" t="n"/>
      <c r="H310" s="130" t="n"/>
      <c r="I310" s="129" t="n"/>
      <c r="J310" s="134" t="str">
        <f>IF(OR(B310="",F310="",G310="Concluída",G310="Cancelada"),"",F310-Hoje)</f>
        <v/>
      </c>
      <c r="K310" s="138" t="str">
        <f>IF(B310="","",IF(G310="Concluída","✔ Feita",IF(G310="Cancelada","– Cancelada",IF(F310="","○ Sem prazo",IF(F310&lt;Hoje,"✖ Atrasada",IF(F310=Hoje,"▲ Vence hoje",IF(F310-Hoje&lt;=7,"▲ Próximos 7 dias","○ No prazo")))))))</f>
        <v/>
      </c>
      <c r="L310" s="138" t="str">
        <f>IF(OR(B310="",G310="Concluída",G310="Cancelada"),"",IF(E310="Alta",IF(AND(F310&lt;&gt;"",F310-Hoje&lt;=3),"1 · Fazer já","2 · Agendar"),IF(AND(F310&lt;&gt;"",F310-Hoje&lt;=3),"3 · Resolver rápido","4 · Depois")))</f>
        <v/>
      </c>
      <c r="M310" s="129" t="n"/>
      <c r="N310" t="str">
        <f>IF(AND(B310&lt;&gt;"",G310&lt;&gt;"Concluída",G310&lt;&gt;"Cancelada",F310&lt;&gt;""),F310+ROW()/100000,"")</f>
        <v/>
      </c>
    </row>
    <row r="311">
      <c r="B311" s="129" t="n"/>
      <c r="C311" s="129" t="n"/>
      <c r="D311" s="129" t="n"/>
      <c r="E311" s="129" t="n"/>
      <c r="F311" s="130" t="n"/>
      <c r="G311" s="129" t="n"/>
      <c r="H311" s="130" t="n"/>
      <c r="I311" s="129" t="n"/>
      <c r="J311" s="134" t="str">
        <f>IF(OR(B311="",F311="",G311="Concluída",G311="Cancelada"),"",F311-Hoje)</f>
        <v/>
      </c>
      <c r="K311" s="138" t="str">
        <f>IF(B311="","",IF(G311="Concluída","✔ Feita",IF(G311="Cancelada","– Cancelada",IF(F311="","○ Sem prazo",IF(F311&lt;Hoje,"✖ Atrasada",IF(F311=Hoje,"▲ Vence hoje",IF(F311-Hoje&lt;=7,"▲ Próximos 7 dias","○ No prazo")))))))</f>
        <v/>
      </c>
      <c r="L311" s="138" t="str">
        <f>IF(OR(B311="",G311="Concluída",G311="Cancelada"),"",IF(E311="Alta",IF(AND(F311&lt;&gt;"",F311-Hoje&lt;=3),"1 · Fazer já","2 · Agendar"),IF(AND(F311&lt;&gt;"",F311-Hoje&lt;=3),"3 · Resolver rápido","4 · Depois")))</f>
        <v/>
      </c>
      <c r="M311" s="129" t="n"/>
      <c r="N311" t="str">
        <f>IF(AND(B311&lt;&gt;"",G311&lt;&gt;"Concluída",G311&lt;&gt;"Cancelada",F311&lt;&gt;""),F311+ROW()/100000,"")</f>
        <v/>
      </c>
    </row>
    <row r="312">
      <c r="B312" s="129" t="n"/>
      <c r="C312" s="129" t="n"/>
      <c r="D312" s="129" t="n"/>
      <c r="E312" s="129" t="n"/>
      <c r="F312" s="130" t="n"/>
      <c r="G312" s="129" t="n"/>
      <c r="H312" s="130" t="n"/>
      <c r="I312" s="129" t="n"/>
      <c r="J312" s="134" t="str">
        <f>IF(OR(B312="",F312="",G312="Concluída",G312="Cancelada"),"",F312-Hoje)</f>
        <v/>
      </c>
      <c r="K312" s="138" t="str">
        <f>IF(B312="","",IF(G312="Concluída","✔ Feita",IF(G312="Cancelada","– Cancelada",IF(F312="","○ Sem prazo",IF(F312&lt;Hoje,"✖ Atrasada",IF(F312=Hoje,"▲ Vence hoje",IF(F312-Hoje&lt;=7,"▲ Próximos 7 dias","○ No prazo")))))))</f>
        <v/>
      </c>
      <c r="L312" s="138" t="str">
        <f>IF(OR(B312="",G312="Concluída",G312="Cancelada"),"",IF(E312="Alta",IF(AND(F312&lt;&gt;"",F312-Hoje&lt;=3),"1 · Fazer já","2 · Agendar"),IF(AND(F312&lt;&gt;"",F312-Hoje&lt;=3),"3 · Resolver rápido","4 · Depois")))</f>
        <v/>
      </c>
      <c r="M312" s="129" t="n"/>
      <c r="N312" t="str">
        <f>IF(AND(B312&lt;&gt;"",G312&lt;&gt;"Concluída",G312&lt;&gt;"Cancelada",F312&lt;&gt;""),F312+ROW()/100000,"")</f>
        <v/>
      </c>
    </row>
    <row r="313">
      <c r="B313" s="129" t="n"/>
      <c r="C313" s="129" t="n"/>
      <c r="D313" s="129" t="n"/>
      <c r="E313" s="129" t="n"/>
      <c r="F313" s="130" t="n"/>
      <c r="G313" s="129" t="n"/>
      <c r="H313" s="130" t="n"/>
      <c r="I313" s="129" t="n"/>
      <c r="J313" s="134" t="str">
        <f>IF(OR(B313="",F313="",G313="Concluída",G313="Cancelada"),"",F313-Hoje)</f>
        <v/>
      </c>
      <c r="K313" s="138" t="str">
        <f>IF(B313="","",IF(G313="Concluída","✔ Feita",IF(G313="Cancelada","– Cancelada",IF(F313="","○ Sem prazo",IF(F313&lt;Hoje,"✖ Atrasada",IF(F313=Hoje,"▲ Vence hoje",IF(F313-Hoje&lt;=7,"▲ Próximos 7 dias","○ No prazo")))))))</f>
        <v/>
      </c>
      <c r="L313" s="138" t="str">
        <f>IF(OR(B313="",G313="Concluída",G313="Cancelada"),"",IF(E313="Alta",IF(AND(F313&lt;&gt;"",F313-Hoje&lt;=3),"1 · Fazer já","2 · Agendar"),IF(AND(F313&lt;&gt;"",F313-Hoje&lt;=3),"3 · Resolver rápido","4 · Depois")))</f>
        <v/>
      </c>
      <c r="M313" s="129" t="n"/>
      <c r="N313" t="str">
        <f>IF(AND(B313&lt;&gt;"",G313&lt;&gt;"Concluída",G313&lt;&gt;"Cancelada",F313&lt;&gt;""),F313+ROW()/100000,"")</f>
        <v/>
      </c>
    </row>
    <row r="314">
      <c r="B314" s="129" t="n"/>
      <c r="C314" s="129" t="n"/>
      <c r="D314" s="129" t="n"/>
      <c r="E314" s="129" t="n"/>
      <c r="F314" s="130" t="n"/>
      <c r="G314" s="129" t="n"/>
      <c r="H314" s="130" t="n"/>
      <c r="I314" s="129" t="n"/>
      <c r="J314" s="134" t="str">
        <f>IF(OR(B314="",F314="",G314="Concluída",G314="Cancelada"),"",F314-Hoje)</f>
        <v/>
      </c>
      <c r="K314" s="138" t="str">
        <f>IF(B314="","",IF(G314="Concluída","✔ Feita",IF(G314="Cancelada","– Cancelada",IF(F314="","○ Sem prazo",IF(F314&lt;Hoje,"✖ Atrasada",IF(F314=Hoje,"▲ Vence hoje",IF(F314-Hoje&lt;=7,"▲ Próximos 7 dias","○ No prazo")))))))</f>
        <v/>
      </c>
      <c r="L314" s="138" t="str">
        <f>IF(OR(B314="",G314="Concluída",G314="Cancelada"),"",IF(E314="Alta",IF(AND(F314&lt;&gt;"",F314-Hoje&lt;=3),"1 · Fazer já","2 · Agendar"),IF(AND(F314&lt;&gt;"",F314-Hoje&lt;=3),"3 · Resolver rápido","4 · Depois")))</f>
        <v/>
      </c>
      <c r="M314" s="129" t="n"/>
      <c r="N314" t="str">
        <f>IF(AND(B314&lt;&gt;"",G314&lt;&gt;"Concluída",G314&lt;&gt;"Cancelada",F314&lt;&gt;""),F314+ROW()/100000,"")</f>
        <v/>
      </c>
    </row>
    <row r="315">
      <c r="B315" s="129" t="n"/>
      <c r="C315" s="129" t="n"/>
      <c r="D315" s="129" t="n"/>
      <c r="E315" s="129" t="n"/>
      <c r="F315" s="130" t="n"/>
      <c r="G315" s="129" t="n"/>
      <c r="H315" s="130" t="n"/>
      <c r="I315" s="129" t="n"/>
      <c r="J315" s="134" t="str">
        <f>IF(OR(B315="",F315="",G315="Concluída",G315="Cancelada"),"",F315-Hoje)</f>
        <v/>
      </c>
      <c r="K315" s="138" t="str">
        <f>IF(B315="","",IF(G315="Concluída","✔ Feita",IF(G315="Cancelada","– Cancelada",IF(F315="","○ Sem prazo",IF(F315&lt;Hoje,"✖ Atrasada",IF(F315=Hoje,"▲ Vence hoje",IF(F315-Hoje&lt;=7,"▲ Próximos 7 dias","○ No prazo")))))))</f>
        <v/>
      </c>
      <c r="L315" s="138" t="str">
        <f>IF(OR(B315="",G315="Concluída",G315="Cancelada"),"",IF(E315="Alta",IF(AND(F315&lt;&gt;"",F315-Hoje&lt;=3),"1 · Fazer já","2 · Agendar"),IF(AND(F315&lt;&gt;"",F315-Hoje&lt;=3),"3 · Resolver rápido","4 · Depois")))</f>
        <v/>
      </c>
      <c r="M315" s="129" t="n"/>
      <c r="N315" t="str">
        <f>IF(AND(B315&lt;&gt;"",G315&lt;&gt;"Concluída",G315&lt;&gt;"Cancelada",F315&lt;&gt;""),F315+ROW()/100000,"")</f>
        <v/>
      </c>
    </row>
    <row r="316">
      <c r="B316" s="129" t="n"/>
      <c r="C316" s="129" t="n"/>
      <c r="D316" s="129" t="n"/>
      <c r="E316" s="129" t="n"/>
      <c r="F316" s="130" t="n"/>
      <c r="G316" s="129" t="n"/>
      <c r="H316" s="130" t="n"/>
      <c r="I316" s="129" t="n"/>
      <c r="J316" s="134" t="str">
        <f>IF(OR(B316="",F316="",G316="Concluída",G316="Cancelada"),"",F316-Hoje)</f>
        <v/>
      </c>
      <c r="K316" s="138" t="str">
        <f>IF(B316="","",IF(G316="Concluída","✔ Feita",IF(G316="Cancelada","– Cancelada",IF(F316="","○ Sem prazo",IF(F316&lt;Hoje,"✖ Atrasada",IF(F316=Hoje,"▲ Vence hoje",IF(F316-Hoje&lt;=7,"▲ Próximos 7 dias","○ No prazo")))))))</f>
        <v/>
      </c>
      <c r="L316" s="138" t="str">
        <f>IF(OR(B316="",G316="Concluída",G316="Cancelada"),"",IF(E316="Alta",IF(AND(F316&lt;&gt;"",F316-Hoje&lt;=3),"1 · Fazer já","2 · Agendar"),IF(AND(F316&lt;&gt;"",F316-Hoje&lt;=3),"3 · Resolver rápido","4 · Depois")))</f>
        <v/>
      </c>
      <c r="M316" s="129" t="n"/>
      <c r="N316" t="str">
        <f>IF(AND(B316&lt;&gt;"",G316&lt;&gt;"Concluída",G316&lt;&gt;"Cancelada",F316&lt;&gt;""),F316+ROW()/100000,"")</f>
        <v/>
      </c>
    </row>
    <row r="317">
      <c r="B317" s="129" t="n"/>
      <c r="C317" s="129" t="n"/>
      <c r="D317" s="129" t="n"/>
      <c r="E317" s="129" t="n"/>
      <c r="F317" s="130" t="n"/>
      <c r="G317" s="129" t="n"/>
      <c r="H317" s="130" t="n"/>
      <c r="I317" s="129" t="n"/>
      <c r="J317" s="134" t="str">
        <f>IF(OR(B317="",F317="",G317="Concluída",G317="Cancelada"),"",F317-Hoje)</f>
        <v/>
      </c>
      <c r="K317" s="138" t="str">
        <f>IF(B317="","",IF(G317="Concluída","✔ Feita",IF(G317="Cancelada","– Cancelada",IF(F317="","○ Sem prazo",IF(F317&lt;Hoje,"✖ Atrasada",IF(F317=Hoje,"▲ Vence hoje",IF(F317-Hoje&lt;=7,"▲ Próximos 7 dias","○ No prazo")))))))</f>
        <v/>
      </c>
      <c r="L317" s="138" t="str">
        <f>IF(OR(B317="",G317="Concluída",G317="Cancelada"),"",IF(E317="Alta",IF(AND(F317&lt;&gt;"",F317-Hoje&lt;=3),"1 · Fazer já","2 · Agendar"),IF(AND(F317&lt;&gt;"",F317-Hoje&lt;=3),"3 · Resolver rápido","4 · Depois")))</f>
        <v/>
      </c>
      <c r="M317" s="129" t="n"/>
      <c r="N317" t="str">
        <f>IF(AND(B317&lt;&gt;"",G317&lt;&gt;"Concluída",G317&lt;&gt;"Cancelada",F317&lt;&gt;""),F317+ROW()/100000,"")</f>
        <v/>
      </c>
    </row>
    <row r="318">
      <c r="B318" s="129" t="n"/>
      <c r="C318" s="129" t="n"/>
      <c r="D318" s="129" t="n"/>
      <c r="E318" s="129" t="n"/>
      <c r="F318" s="130" t="n"/>
      <c r="G318" s="129" t="n"/>
      <c r="H318" s="130" t="n"/>
      <c r="I318" s="129" t="n"/>
      <c r="J318" s="134" t="str">
        <f>IF(OR(B318="",F318="",G318="Concluída",G318="Cancelada"),"",F318-Hoje)</f>
        <v/>
      </c>
      <c r="K318" s="138" t="str">
        <f>IF(B318="","",IF(G318="Concluída","✔ Feita",IF(G318="Cancelada","– Cancelada",IF(F318="","○ Sem prazo",IF(F318&lt;Hoje,"✖ Atrasada",IF(F318=Hoje,"▲ Vence hoje",IF(F318-Hoje&lt;=7,"▲ Próximos 7 dias","○ No prazo")))))))</f>
        <v/>
      </c>
      <c r="L318" s="138" t="str">
        <f>IF(OR(B318="",G318="Concluída",G318="Cancelada"),"",IF(E318="Alta",IF(AND(F318&lt;&gt;"",F318-Hoje&lt;=3),"1 · Fazer já","2 · Agendar"),IF(AND(F318&lt;&gt;"",F318-Hoje&lt;=3),"3 · Resolver rápido","4 · Depois")))</f>
        <v/>
      </c>
      <c r="M318" s="129" t="n"/>
      <c r="N318" t="str">
        <f>IF(AND(B318&lt;&gt;"",G318&lt;&gt;"Concluída",G318&lt;&gt;"Cancelada",F318&lt;&gt;""),F318+ROW()/100000,"")</f>
        <v/>
      </c>
    </row>
    <row r="319">
      <c r="B319" s="129" t="n"/>
      <c r="C319" s="129" t="n"/>
      <c r="D319" s="129" t="n"/>
      <c r="E319" s="129" t="n"/>
      <c r="F319" s="130" t="n"/>
      <c r="G319" s="129" t="n"/>
      <c r="H319" s="130" t="n"/>
      <c r="I319" s="129" t="n"/>
      <c r="J319" s="134" t="str">
        <f>IF(OR(B319="",F319="",G319="Concluída",G319="Cancelada"),"",F319-Hoje)</f>
        <v/>
      </c>
      <c r="K319" s="138" t="str">
        <f>IF(B319="","",IF(G319="Concluída","✔ Feita",IF(G319="Cancelada","– Cancelada",IF(F319="","○ Sem prazo",IF(F319&lt;Hoje,"✖ Atrasada",IF(F319=Hoje,"▲ Vence hoje",IF(F319-Hoje&lt;=7,"▲ Próximos 7 dias","○ No prazo")))))))</f>
        <v/>
      </c>
      <c r="L319" s="138" t="str">
        <f>IF(OR(B319="",G319="Concluída",G319="Cancelada"),"",IF(E319="Alta",IF(AND(F319&lt;&gt;"",F319-Hoje&lt;=3),"1 · Fazer já","2 · Agendar"),IF(AND(F319&lt;&gt;"",F319-Hoje&lt;=3),"3 · Resolver rápido","4 · Depois")))</f>
        <v/>
      </c>
      <c r="M319" s="129" t="n"/>
      <c r="N319" t="str">
        <f>IF(AND(B319&lt;&gt;"",G319&lt;&gt;"Concluída",G319&lt;&gt;"Cancelada",F319&lt;&gt;""),F319+ROW()/100000,"")</f>
        <v/>
      </c>
    </row>
    <row r="320">
      <c r="B320" s="129" t="n"/>
      <c r="C320" s="129" t="n"/>
      <c r="D320" s="129" t="n"/>
      <c r="E320" s="129" t="n"/>
      <c r="F320" s="130" t="n"/>
      <c r="G320" s="129" t="n"/>
      <c r="H320" s="130" t="n"/>
      <c r="I320" s="129" t="n"/>
      <c r="J320" s="134" t="str">
        <f>IF(OR(B320="",F320="",G320="Concluída",G320="Cancelada"),"",F320-Hoje)</f>
        <v/>
      </c>
      <c r="K320" s="138" t="str">
        <f>IF(B320="","",IF(G320="Concluída","✔ Feita",IF(G320="Cancelada","– Cancelada",IF(F320="","○ Sem prazo",IF(F320&lt;Hoje,"✖ Atrasada",IF(F320=Hoje,"▲ Vence hoje",IF(F320-Hoje&lt;=7,"▲ Próximos 7 dias","○ No prazo")))))))</f>
        <v/>
      </c>
      <c r="L320" s="138" t="str">
        <f>IF(OR(B320="",G320="Concluída",G320="Cancelada"),"",IF(E320="Alta",IF(AND(F320&lt;&gt;"",F320-Hoje&lt;=3),"1 · Fazer já","2 · Agendar"),IF(AND(F320&lt;&gt;"",F320-Hoje&lt;=3),"3 · Resolver rápido","4 · Depois")))</f>
        <v/>
      </c>
      <c r="M320" s="129" t="n"/>
      <c r="N320" t="str">
        <f>IF(AND(B320&lt;&gt;"",G320&lt;&gt;"Concluída",G320&lt;&gt;"Cancelada",F320&lt;&gt;""),F320+ROW()/100000,"")</f>
        <v/>
      </c>
    </row>
    <row r="321">
      <c r="B321" s="129" t="n"/>
      <c r="C321" s="129" t="n"/>
      <c r="D321" s="129" t="n"/>
      <c r="E321" s="129" t="n"/>
      <c r="F321" s="130" t="n"/>
      <c r="G321" s="129" t="n"/>
      <c r="H321" s="130" t="n"/>
      <c r="I321" s="129" t="n"/>
      <c r="J321" s="134" t="str">
        <f>IF(OR(B321="",F321="",G321="Concluída",G321="Cancelada"),"",F321-Hoje)</f>
        <v/>
      </c>
      <c r="K321" s="138" t="str">
        <f>IF(B321="","",IF(G321="Concluída","✔ Feita",IF(G321="Cancelada","– Cancelada",IF(F321="","○ Sem prazo",IF(F321&lt;Hoje,"✖ Atrasada",IF(F321=Hoje,"▲ Vence hoje",IF(F321-Hoje&lt;=7,"▲ Próximos 7 dias","○ No prazo")))))))</f>
        <v/>
      </c>
      <c r="L321" s="138" t="str">
        <f>IF(OR(B321="",G321="Concluída",G321="Cancelada"),"",IF(E321="Alta",IF(AND(F321&lt;&gt;"",F321-Hoje&lt;=3),"1 · Fazer já","2 · Agendar"),IF(AND(F321&lt;&gt;"",F321-Hoje&lt;=3),"3 · Resolver rápido","4 · Depois")))</f>
        <v/>
      </c>
      <c r="M321" s="129" t="n"/>
      <c r="N321" t="str">
        <f>IF(AND(B321&lt;&gt;"",G321&lt;&gt;"Concluída",G321&lt;&gt;"Cancelada",F321&lt;&gt;""),F321+ROW()/100000,"")</f>
        <v/>
      </c>
    </row>
    <row r="322">
      <c r="B322" s="129" t="n"/>
      <c r="C322" s="129" t="n"/>
      <c r="D322" s="129" t="n"/>
      <c r="E322" s="129" t="n"/>
      <c r="F322" s="130" t="n"/>
      <c r="G322" s="129" t="n"/>
      <c r="H322" s="130" t="n"/>
      <c r="I322" s="129" t="n"/>
      <c r="J322" s="134" t="str">
        <f>IF(OR(B322="",F322="",G322="Concluída",G322="Cancelada"),"",F322-Hoje)</f>
        <v/>
      </c>
      <c r="K322" s="138" t="str">
        <f>IF(B322="","",IF(G322="Concluída","✔ Feita",IF(G322="Cancelada","– Cancelada",IF(F322="","○ Sem prazo",IF(F322&lt;Hoje,"✖ Atrasada",IF(F322=Hoje,"▲ Vence hoje",IF(F322-Hoje&lt;=7,"▲ Próximos 7 dias","○ No prazo")))))))</f>
        <v/>
      </c>
      <c r="L322" s="138" t="str">
        <f>IF(OR(B322="",G322="Concluída",G322="Cancelada"),"",IF(E322="Alta",IF(AND(F322&lt;&gt;"",F322-Hoje&lt;=3),"1 · Fazer já","2 · Agendar"),IF(AND(F322&lt;&gt;"",F322-Hoje&lt;=3),"3 · Resolver rápido","4 · Depois")))</f>
        <v/>
      </c>
      <c r="M322" s="129" t="n"/>
      <c r="N322" t="str">
        <f>IF(AND(B322&lt;&gt;"",G322&lt;&gt;"Concluída",G322&lt;&gt;"Cancelada",F322&lt;&gt;""),F322+ROW()/100000,"")</f>
        <v/>
      </c>
    </row>
    <row r="323">
      <c r="B323" s="129" t="n"/>
      <c r="C323" s="129" t="n"/>
      <c r="D323" s="129" t="n"/>
      <c r="E323" s="129" t="n"/>
      <c r="F323" s="130" t="n"/>
      <c r="G323" s="129" t="n"/>
      <c r="H323" s="130" t="n"/>
      <c r="I323" s="129" t="n"/>
      <c r="J323" s="134" t="str">
        <f>IF(OR(B323="",F323="",G323="Concluída",G323="Cancelada"),"",F323-Hoje)</f>
        <v/>
      </c>
      <c r="K323" s="138" t="str">
        <f>IF(B323="","",IF(G323="Concluída","✔ Feita",IF(G323="Cancelada","– Cancelada",IF(F323="","○ Sem prazo",IF(F323&lt;Hoje,"✖ Atrasada",IF(F323=Hoje,"▲ Vence hoje",IF(F323-Hoje&lt;=7,"▲ Próximos 7 dias","○ No prazo")))))))</f>
        <v/>
      </c>
      <c r="L323" s="138" t="str">
        <f>IF(OR(B323="",G323="Concluída",G323="Cancelada"),"",IF(E323="Alta",IF(AND(F323&lt;&gt;"",F323-Hoje&lt;=3),"1 · Fazer já","2 · Agendar"),IF(AND(F323&lt;&gt;"",F323-Hoje&lt;=3),"3 · Resolver rápido","4 · Depois")))</f>
        <v/>
      </c>
      <c r="M323" s="129" t="n"/>
      <c r="N323" t="str">
        <f>IF(AND(B323&lt;&gt;"",G323&lt;&gt;"Concluída",G323&lt;&gt;"Cancelada",F323&lt;&gt;""),F323+ROW()/100000,"")</f>
        <v/>
      </c>
    </row>
    <row r="324">
      <c r="B324" s="129" t="n"/>
      <c r="C324" s="129" t="n"/>
      <c r="D324" s="129" t="n"/>
      <c r="E324" s="129" t="n"/>
      <c r="F324" s="130" t="n"/>
      <c r="G324" s="129" t="n"/>
      <c r="H324" s="130" t="n"/>
      <c r="I324" s="129" t="n"/>
      <c r="J324" s="134" t="str">
        <f>IF(OR(B324="",F324="",G324="Concluída",G324="Cancelada"),"",F324-Hoje)</f>
        <v/>
      </c>
      <c r="K324" s="138" t="str">
        <f>IF(B324="","",IF(G324="Concluída","✔ Feita",IF(G324="Cancelada","– Cancelada",IF(F324="","○ Sem prazo",IF(F324&lt;Hoje,"✖ Atrasada",IF(F324=Hoje,"▲ Vence hoje",IF(F324-Hoje&lt;=7,"▲ Próximos 7 dias","○ No prazo")))))))</f>
        <v/>
      </c>
      <c r="L324" s="138" t="str">
        <f>IF(OR(B324="",G324="Concluída",G324="Cancelada"),"",IF(E324="Alta",IF(AND(F324&lt;&gt;"",F324-Hoje&lt;=3),"1 · Fazer já","2 · Agendar"),IF(AND(F324&lt;&gt;"",F324-Hoje&lt;=3),"3 · Resolver rápido","4 · Depois")))</f>
        <v/>
      </c>
      <c r="M324" s="129" t="n"/>
      <c r="N324" t="str">
        <f>IF(AND(B324&lt;&gt;"",G324&lt;&gt;"Concluída",G324&lt;&gt;"Cancelada",F324&lt;&gt;""),F324+ROW()/100000,"")</f>
        <v/>
      </c>
    </row>
    <row r="325">
      <c r="B325" s="129" t="n"/>
      <c r="C325" s="129" t="n"/>
      <c r="D325" s="129" t="n"/>
      <c r="E325" s="129" t="n"/>
      <c r="F325" s="130" t="n"/>
      <c r="G325" s="129" t="n"/>
      <c r="H325" s="130" t="n"/>
      <c r="I325" s="129" t="n"/>
      <c r="J325" s="134" t="str">
        <f>IF(OR(B325="",F325="",G325="Concluída",G325="Cancelada"),"",F325-Hoje)</f>
        <v/>
      </c>
      <c r="K325" s="138" t="str">
        <f>IF(B325="","",IF(G325="Concluída","✔ Feita",IF(G325="Cancelada","– Cancelada",IF(F325="","○ Sem prazo",IF(F325&lt;Hoje,"✖ Atrasada",IF(F325=Hoje,"▲ Vence hoje",IF(F325-Hoje&lt;=7,"▲ Próximos 7 dias","○ No prazo")))))))</f>
        <v/>
      </c>
      <c r="L325" s="138" t="str">
        <f>IF(OR(B325="",G325="Concluída",G325="Cancelada"),"",IF(E325="Alta",IF(AND(F325&lt;&gt;"",F325-Hoje&lt;=3),"1 · Fazer já","2 · Agendar"),IF(AND(F325&lt;&gt;"",F325-Hoje&lt;=3),"3 · Resolver rápido","4 · Depois")))</f>
        <v/>
      </c>
      <c r="M325" s="129" t="n"/>
      <c r="N325" t="str">
        <f>IF(AND(B325&lt;&gt;"",G325&lt;&gt;"Concluída",G325&lt;&gt;"Cancelada",F325&lt;&gt;""),F325+ROW()/100000,"")</f>
        <v/>
      </c>
    </row>
    <row r="326">
      <c r="B326" s="129" t="n"/>
      <c r="C326" s="129" t="n"/>
      <c r="D326" s="129" t="n"/>
      <c r="E326" s="129" t="n"/>
      <c r="F326" s="130" t="n"/>
      <c r="G326" s="129" t="n"/>
      <c r="H326" s="130" t="n"/>
      <c r="I326" s="129" t="n"/>
      <c r="J326" s="134" t="str">
        <f>IF(OR(B326="",F326="",G326="Concluída",G326="Cancelada"),"",F326-Hoje)</f>
        <v/>
      </c>
      <c r="K326" s="138" t="str">
        <f>IF(B326="","",IF(G326="Concluída","✔ Feita",IF(G326="Cancelada","– Cancelada",IF(F326="","○ Sem prazo",IF(F326&lt;Hoje,"✖ Atrasada",IF(F326=Hoje,"▲ Vence hoje",IF(F326-Hoje&lt;=7,"▲ Próximos 7 dias","○ No prazo")))))))</f>
        <v/>
      </c>
      <c r="L326" s="138" t="str">
        <f>IF(OR(B326="",G326="Concluída",G326="Cancelada"),"",IF(E326="Alta",IF(AND(F326&lt;&gt;"",F326-Hoje&lt;=3),"1 · Fazer já","2 · Agendar"),IF(AND(F326&lt;&gt;"",F326-Hoje&lt;=3),"3 · Resolver rápido","4 · Depois")))</f>
        <v/>
      </c>
      <c r="M326" s="129" t="n"/>
      <c r="N326" t="str">
        <f>IF(AND(B326&lt;&gt;"",G326&lt;&gt;"Concluída",G326&lt;&gt;"Cancelada",F326&lt;&gt;""),F326+ROW()/100000,"")</f>
        <v/>
      </c>
    </row>
    <row r="327">
      <c r="B327" s="129" t="n"/>
      <c r="C327" s="129" t="n"/>
      <c r="D327" s="129" t="n"/>
      <c r="E327" s="129" t="n"/>
      <c r="F327" s="130" t="n"/>
      <c r="G327" s="129" t="n"/>
      <c r="H327" s="130" t="n"/>
      <c r="I327" s="129" t="n"/>
      <c r="J327" s="134" t="str">
        <f>IF(OR(B327="",F327="",G327="Concluída",G327="Cancelada"),"",F327-Hoje)</f>
        <v/>
      </c>
      <c r="K327" s="138" t="str">
        <f>IF(B327="","",IF(G327="Concluída","✔ Feita",IF(G327="Cancelada","– Cancelada",IF(F327="","○ Sem prazo",IF(F327&lt;Hoje,"✖ Atrasada",IF(F327=Hoje,"▲ Vence hoje",IF(F327-Hoje&lt;=7,"▲ Próximos 7 dias","○ No prazo")))))))</f>
        <v/>
      </c>
      <c r="L327" s="138" t="str">
        <f>IF(OR(B327="",G327="Concluída",G327="Cancelada"),"",IF(E327="Alta",IF(AND(F327&lt;&gt;"",F327-Hoje&lt;=3),"1 · Fazer já","2 · Agendar"),IF(AND(F327&lt;&gt;"",F327-Hoje&lt;=3),"3 · Resolver rápido","4 · Depois")))</f>
        <v/>
      </c>
      <c r="M327" s="129" t="n"/>
      <c r="N327" t="str">
        <f>IF(AND(B327&lt;&gt;"",G327&lt;&gt;"Concluída",G327&lt;&gt;"Cancelada",F327&lt;&gt;""),F327+ROW()/100000,"")</f>
        <v/>
      </c>
    </row>
    <row r="328">
      <c r="B328" s="129" t="n"/>
      <c r="C328" s="129" t="n"/>
      <c r="D328" s="129" t="n"/>
      <c r="E328" s="129" t="n"/>
      <c r="F328" s="130" t="n"/>
      <c r="G328" s="129" t="n"/>
      <c r="H328" s="130" t="n"/>
      <c r="I328" s="129" t="n"/>
      <c r="J328" s="134" t="str">
        <f>IF(OR(B328="",F328="",G328="Concluída",G328="Cancelada"),"",F328-Hoje)</f>
        <v/>
      </c>
      <c r="K328" s="138" t="str">
        <f>IF(B328="","",IF(G328="Concluída","✔ Feita",IF(G328="Cancelada","– Cancelada",IF(F328="","○ Sem prazo",IF(F328&lt;Hoje,"✖ Atrasada",IF(F328=Hoje,"▲ Vence hoje",IF(F328-Hoje&lt;=7,"▲ Próximos 7 dias","○ No prazo")))))))</f>
        <v/>
      </c>
      <c r="L328" s="138" t="str">
        <f>IF(OR(B328="",G328="Concluída",G328="Cancelada"),"",IF(E328="Alta",IF(AND(F328&lt;&gt;"",F328-Hoje&lt;=3),"1 · Fazer já","2 · Agendar"),IF(AND(F328&lt;&gt;"",F328-Hoje&lt;=3),"3 · Resolver rápido","4 · Depois")))</f>
        <v/>
      </c>
      <c r="M328" s="129" t="n"/>
      <c r="N328" t="str">
        <f>IF(AND(B328&lt;&gt;"",G328&lt;&gt;"Concluída",G328&lt;&gt;"Cancelada",F328&lt;&gt;""),F328+ROW()/100000,"")</f>
        <v/>
      </c>
    </row>
    <row r="329">
      <c r="B329" s="129" t="n"/>
      <c r="C329" s="129" t="n"/>
      <c r="D329" s="129" t="n"/>
      <c r="E329" s="129" t="n"/>
      <c r="F329" s="130" t="n"/>
      <c r="G329" s="129" t="n"/>
      <c r="H329" s="130" t="n"/>
      <c r="I329" s="129" t="n"/>
      <c r="J329" s="134" t="str">
        <f>IF(OR(B329="",F329="",G329="Concluída",G329="Cancelada"),"",F329-Hoje)</f>
        <v/>
      </c>
      <c r="K329" s="138" t="str">
        <f>IF(B329="","",IF(G329="Concluída","✔ Feita",IF(G329="Cancelada","– Cancelada",IF(F329="","○ Sem prazo",IF(F329&lt;Hoje,"✖ Atrasada",IF(F329=Hoje,"▲ Vence hoje",IF(F329-Hoje&lt;=7,"▲ Próximos 7 dias","○ No prazo")))))))</f>
        <v/>
      </c>
      <c r="L329" s="138" t="str">
        <f>IF(OR(B329="",G329="Concluída",G329="Cancelada"),"",IF(E329="Alta",IF(AND(F329&lt;&gt;"",F329-Hoje&lt;=3),"1 · Fazer já","2 · Agendar"),IF(AND(F329&lt;&gt;"",F329-Hoje&lt;=3),"3 · Resolver rápido","4 · Depois")))</f>
        <v/>
      </c>
      <c r="M329" s="129" t="n"/>
      <c r="N329" t="str">
        <f>IF(AND(B329&lt;&gt;"",G329&lt;&gt;"Concluída",G329&lt;&gt;"Cancelada",F329&lt;&gt;""),F329+ROW()/100000,"")</f>
        <v/>
      </c>
    </row>
    <row r="330">
      <c r="B330" s="129" t="n"/>
      <c r="C330" s="129" t="n"/>
      <c r="D330" s="129" t="n"/>
      <c r="E330" s="129" t="n"/>
      <c r="F330" s="130" t="n"/>
      <c r="G330" s="129" t="n"/>
      <c r="H330" s="130" t="n"/>
      <c r="I330" s="129" t="n"/>
      <c r="J330" s="134" t="str">
        <f>IF(OR(B330="",F330="",G330="Concluída",G330="Cancelada"),"",F330-Hoje)</f>
        <v/>
      </c>
      <c r="K330" s="138" t="str">
        <f>IF(B330="","",IF(G330="Concluída","✔ Feita",IF(G330="Cancelada","– Cancelada",IF(F330="","○ Sem prazo",IF(F330&lt;Hoje,"✖ Atrasada",IF(F330=Hoje,"▲ Vence hoje",IF(F330-Hoje&lt;=7,"▲ Próximos 7 dias","○ No prazo")))))))</f>
        <v/>
      </c>
      <c r="L330" s="138" t="str">
        <f>IF(OR(B330="",G330="Concluída",G330="Cancelada"),"",IF(E330="Alta",IF(AND(F330&lt;&gt;"",F330-Hoje&lt;=3),"1 · Fazer já","2 · Agendar"),IF(AND(F330&lt;&gt;"",F330-Hoje&lt;=3),"3 · Resolver rápido","4 · Depois")))</f>
        <v/>
      </c>
      <c r="M330" s="129" t="n"/>
      <c r="N330" t="str">
        <f>IF(AND(B330&lt;&gt;"",G330&lt;&gt;"Concluída",G330&lt;&gt;"Cancelada",F330&lt;&gt;""),F330+ROW()/100000,"")</f>
        <v/>
      </c>
    </row>
    <row r="331">
      <c r="B331" s="129" t="n"/>
      <c r="C331" s="129" t="n"/>
      <c r="D331" s="129" t="n"/>
      <c r="E331" s="129" t="n"/>
      <c r="F331" s="130" t="n"/>
      <c r="G331" s="129" t="n"/>
      <c r="H331" s="130" t="n"/>
      <c r="I331" s="129" t="n"/>
      <c r="J331" s="134" t="str">
        <f>IF(OR(B331="",F331="",G331="Concluída",G331="Cancelada"),"",F331-Hoje)</f>
        <v/>
      </c>
      <c r="K331" s="138" t="str">
        <f>IF(B331="","",IF(G331="Concluída","✔ Feita",IF(G331="Cancelada","– Cancelada",IF(F331="","○ Sem prazo",IF(F331&lt;Hoje,"✖ Atrasada",IF(F331=Hoje,"▲ Vence hoje",IF(F331-Hoje&lt;=7,"▲ Próximos 7 dias","○ No prazo")))))))</f>
        <v/>
      </c>
      <c r="L331" s="138" t="str">
        <f>IF(OR(B331="",G331="Concluída",G331="Cancelada"),"",IF(E331="Alta",IF(AND(F331&lt;&gt;"",F331-Hoje&lt;=3),"1 · Fazer já","2 · Agendar"),IF(AND(F331&lt;&gt;"",F331-Hoje&lt;=3),"3 · Resolver rápido","4 · Depois")))</f>
        <v/>
      </c>
      <c r="M331" s="129" t="n"/>
      <c r="N331" t="str">
        <f>IF(AND(B331&lt;&gt;"",G331&lt;&gt;"Concluída",G331&lt;&gt;"Cancelada",F331&lt;&gt;""),F331+ROW()/100000,"")</f>
        <v/>
      </c>
    </row>
    <row r="332">
      <c r="B332" s="129" t="n"/>
      <c r="C332" s="129" t="n"/>
      <c r="D332" s="129" t="n"/>
      <c r="E332" s="129" t="n"/>
      <c r="F332" s="130" t="n"/>
      <c r="G332" s="129" t="n"/>
      <c r="H332" s="130" t="n"/>
      <c r="I332" s="129" t="n"/>
      <c r="J332" s="134" t="str">
        <f>IF(OR(B332="",F332="",G332="Concluída",G332="Cancelada"),"",F332-Hoje)</f>
        <v/>
      </c>
      <c r="K332" s="138" t="str">
        <f>IF(B332="","",IF(G332="Concluída","✔ Feita",IF(G332="Cancelada","– Cancelada",IF(F332="","○ Sem prazo",IF(F332&lt;Hoje,"✖ Atrasada",IF(F332=Hoje,"▲ Vence hoje",IF(F332-Hoje&lt;=7,"▲ Próximos 7 dias","○ No prazo")))))))</f>
        <v/>
      </c>
      <c r="L332" s="138" t="str">
        <f>IF(OR(B332="",G332="Concluída",G332="Cancelada"),"",IF(E332="Alta",IF(AND(F332&lt;&gt;"",F332-Hoje&lt;=3),"1 · Fazer já","2 · Agendar"),IF(AND(F332&lt;&gt;"",F332-Hoje&lt;=3),"3 · Resolver rápido","4 · Depois")))</f>
        <v/>
      </c>
      <c r="M332" s="129" t="n"/>
      <c r="N332" t="str">
        <f>IF(AND(B332&lt;&gt;"",G332&lt;&gt;"Concluída",G332&lt;&gt;"Cancelada",F332&lt;&gt;""),F332+ROW()/100000,"")</f>
        <v/>
      </c>
    </row>
    <row r="333">
      <c r="B333" s="129" t="n"/>
      <c r="C333" s="129" t="n"/>
      <c r="D333" s="129" t="n"/>
      <c r="E333" s="129" t="n"/>
      <c r="F333" s="130" t="n"/>
      <c r="G333" s="129" t="n"/>
      <c r="H333" s="130" t="n"/>
      <c r="I333" s="129" t="n"/>
      <c r="J333" s="134" t="str">
        <f>IF(OR(B333="",F333="",G333="Concluída",G333="Cancelada"),"",F333-Hoje)</f>
        <v/>
      </c>
      <c r="K333" s="138" t="str">
        <f>IF(B333="","",IF(G333="Concluída","✔ Feita",IF(G333="Cancelada","– Cancelada",IF(F333="","○ Sem prazo",IF(F333&lt;Hoje,"✖ Atrasada",IF(F333=Hoje,"▲ Vence hoje",IF(F333-Hoje&lt;=7,"▲ Próximos 7 dias","○ No prazo")))))))</f>
        <v/>
      </c>
      <c r="L333" s="138" t="str">
        <f>IF(OR(B333="",G333="Concluída",G333="Cancelada"),"",IF(E333="Alta",IF(AND(F333&lt;&gt;"",F333-Hoje&lt;=3),"1 · Fazer já","2 · Agendar"),IF(AND(F333&lt;&gt;"",F333-Hoje&lt;=3),"3 · Resolver rápido","4 · Depois")))</f>
        <v/>
      </c>
      <c r="M333" s="129" t="n"/>
      <c r="N333" t="str">
        <f>IF(AND(B333&lt;&gt;"",G333&lt;&gt;"Concluída",G333&lt;&gt;"Cancelada",F333&lt;&gt;""),F333+ROW()/100000,"")</f>
        <v/>
      </c>
    </row>
  </sheetData>
  <autoFilter ref="B33:M333"/>
  <mergeCells count="12">
    <mergeCell ref="J7:L7"/>
    <mergeCell ref="J5:L5"/>
    <mergeCell ref="J6:L6"/>
    <mergeCell ref="C6:D6"/>
    <mergeCell ref="C7:D7"/>
    <mergeCell ref="H6:I6"/>
    <mergeCell ref="E5:G5"/>
    <mergeCell ref="H7:I7"/>
    <mergeCell ref="C5:D5"/>
    <mergeCell ref="H5:I5"/>
    <mergeCell ref="E7:G7"/>
    <mergeCell ref="E6:G6"/>
  </mergeCells>
  <conditionalFormatting sqref="B7:M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J11:J30">
    <cfRule type="dataBar" priority="7">
      <dataBar showValue="1">
        <cfvo type="num" val="0"/>
        <cfvo type="num" val="1"/>
        <color rgb="002A78D6"/>
      </dataBar>
    </cfRule>
  </conditionalFormatting>
  <conditionalFormatting sqref="K11:K30">
    <cfRule type="expression" priority="8" dxfId="7">
      <formula>N(K11)&gt;0</formula>
    </cfRule>
  </conditionalFormatting>
  <conditionalFormatting sqref="B11:B30">
    <cfRule type="expression" priority="9" dxfId="13">
      <formula>$D11="Ideia"</formula>
    </cfRule>
  </conditionalFormatting>
  <conditionalFormatting sqref="K34:K333">
    <cfRule type="expression" priority="10" dxfId="5">
      <formula>LEFT(K34,1)="✔"</formula>
    </cfRule>
    <cfRule type="expression" priority="11" dxfId="6">
      <formula>LEFT(K34,1)="▲"</formula>
    </cfRule>
    <cfRule type="expression" priority="12" dxfId="7">
      <formula>LEFT(K34,1)="✖"</formula>
    </cfRule>
    <cfRule type="expression" priority="13" dxfId="8">
      <formula>LEFT(K34,1)="○"</formula>
    </cfRule>
    <cfRule type="expression" priority="14" dxfId="8">
      <formula>LEFT(K34,1)="‖"</formula>
    </cfRule>
    <cfRule type="expression" priority="15" dxfId="8">
      <formula>LEFT(K34,1)="–"</formula>
    </cfRule>
  </conditionalFormatting>
  <conditionalFormatting sqref="B34:B333">
    <cfRule type="expression" priority="16" dxfId="12">
      <formula>OR($G34="Concluída",$G34="Cancelada")</formula>
    </cfRule>
  </conditionalFormatting>
  <conditionalFormatting sqref="H34:H333">
    <cfRule type="expression" priority="17" dxfId="14">
      <formula>AND($G34="Concluída",$H34="")</formula>
    </cfRule>
  </conditionalFormatting>
  <conditionalFormatting sqref="L34:L333">
    <cfRule type="expression" priority="18" dxfId="7">
      <formula>LEFT($L34,1)="1"</formula>
    </cfRule>
  </conditionalFormatting>
  <conditionalFormatting sqref="E34:E333">
    <cfRule type="expression" priority="19" dxfId="15">
      <formula>$E34="Alta"</formula>
    </cfRule>
  </conditionalFormatting>
  <conditionalFormatting sqref="B34:M333">
    <cfRule type="expression" priority="20" dxfId="16">
      <formula>AND($B34&lt;&gt;"",MOD(ROW(),2)=0)</formula>
    </cfRule>
  </conditionalFormatting>
  <dataValidations count="11">
    <dataValidation sqref="C11:C30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D11:D30" showDropDown="0" showInputMessage="0" showErrorMessage="1" allowBlank="1" errorTitle="Valor fora da lista" error="Escolha um item da lista (as listas ficam na aba Config)." type="list" errorStyle="stop">
      <formula1>lst_StatusProjeto</formula1>
    </dataValidation>
    <dataValidation sqref="E11:F30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I11:I30" showDropDown="0" showInputMessage="0" showErrorMessage="1" allowBlank="1" errorTitle="Valor fora da lista" error="Escolha um item da lista (as listas ficam na aba Config)." type="list" errorStyle="warning">
      <formula1>lst_Metas</formula1>
    </dataValidation>
    <dataValidation sqref="C34:C333" showDropDown="0" showInputMessage="1" showErrorMessage="1" allowBlank="1" errorTitle="Valor fora da lista" error="Escolha um item da lista (as listas ficam na aba Config)." prompt="Projetos cadastrados acima (opcional)" type="list" errorStyle="warning">
      <formula1>lst_Projetos</formula1>
    </dataValidation>
    <dataValidation sqref="D34:D333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34:E333" showDropDown="0" showInputMessage="0" showErrorMessage="1" allowBlank="1" errorTitle="Valor fora da lista" error="Escolha um item da lista (as listas ficam na aba Config)." type="list" errorStyle="stop">
      <formula1>lst_Prioridade</formula1>
    </dataValidation>
    <dataValidation sqref="F34:F333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G34:G333" showDropDown="0" showInputMessage="1" showErrorMessage="1" allowBlank="1" errorTitle="Valor fora da lista" error="Escolha um item da lista (as listas ficam na aba Config)." prompt="Ao concluir, preencha também 'Concluída em'" type="list" errorStyle="stop">
      <formula1>lst_StatusTarefa</formula1>
    </dataValidation>
    <dataValidation sqref="H34:H333" showDropDown="0" showInputMessage="1" showErrorMessage="1" allowBlank="1" errorTitle="Data inválida" error="Digite uma data (ex.: 15/03/2026). Atalho: Ctrl+; insere a data de hoje." prompt="Data em que terminou (Ctrl+; = hoje)" type="date" operator="between">
      <formula1>36526</formula1>
      <formula2>73051</formula2>
    </dataValidation>
    <dataValidation sqref="I34:I333" showDropDown="0" showInputMessage="1" showErrorMessage="1" allowBlank="1" errorTitle="Valor fora da lista" error="Escolha um item da lista (as listas ficam na aba Config)." prompt="Opcional: liga a tarefa a uma meta" type="list" errorStyle="warning">
      <formula1>lst_Metas</formula1>
    </dataValidation>
  </dataValidations>
  <hyperlinks>
    <hyperlink ref="M1" location="'Dashboard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AF7A"/>
    <outlinePr summaryBelow="1" summaryRight="1"/>
    <pageSetUpPr/>
  </sheetPr>
  <dimension ref="A1:K15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26" customWidth="1" min="4" max="4"/>
    <col width="36" customWidth="1" min="5" max="5"/>
    <col width="14" customWidth="1" min="6" max="6"/>
    <col width="22" customWidth="1" min="7" max="7"/>
    <col width="11" customWidth="1" min="8" max="8"/>
    <col width="32" customWidth="1" min="9" max="9"/>
    <col width="16" customWidth="1" min="10" max="10"/>
    <col width="14" customWidth="1" min="11" max="11"/>
  </cols>
  <sheetData>
    <row r="1" ht="34" customHeight="1">
      <c r="A1" s="139" t="n"/>
      <c r="B1" s="97" t="inlineStr">
        <is>
          <t>Finanças · lançamentos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98" t="inlineStr">
        <is>
          <t>◀ Dashboard</t>
        </is>
      </c>
    </row>
    <row r="2" ht="18" customHeight="1">
      <c r="A2" s="139" t="n"/>
      <c r="B2" s="99" t="inlineStr">
        <is>
          <t>Registre cada receita, despesa e aporte. Orçamento, patrimônio e Dashboard se atualizam sozinhos.</t>
        </is>
      </c>
    </row>
    <row r="3" ht="16" customHeight="1">
      <c r="A3" s="13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140" t="inlineStr">
        <is>
          <t>RECEITAS DO MÊS</t>
        </is>
      </c>
      <c r="C5" s="141" t="n"/>
      <c r="D5" s="142" t="inlineStr">
        <is>
          <t>DESPESAS DO MÊS</t>
        </is>
      </c>
      <c r="E5" s="142" t="inlineStr">
        <is>
          <t>RESULTADO (RECEITAS − DESPESAS)</t>
        </is>
      </c>
      <c r="F5" s="140" t="inlineStr">
        <is>
          <t>APORTES (POUPANÇA / INVESTIMENTO)</t>
        </is>
      </c>
      <c r="G5" s="141" t="n"/>
      <c r="H5" s="140" t="inlineStr">
        <is>
          <t>TAXA DE POUPANÇA</t>
        </is>
      </c>
      <c r="I5" s="141" t="n"/>
      <c r="J5" s="140" t="inlineStr">
        <is>
          <t>LANÇAMENTOS NO MÊS</t>
        </is>
      </c>
      <c r="K5" s="141" t="n"/>
    </row>
    <row r="6" ht="28" customHeight="1">
      <c r="B6" s="143">
        <f>SUMIFS($F$10:$F$1509,$C$10:$C$1509,"Receita",$B$10:$B$1509,"&gt;="&amp;RefIni,$B$10:$B$1509,"&lt;="&amp;RefFim)</f>
        <v>0</v>
      </c>
      <c r="C6" s="32" t="n"/>
      <c r="D6" s="144">
        <f>SUMIFS($F$10:$F$1509,$C$10:$C$1509,"Despesa",$B$10:$B$1509,"&gt;="&amp;RefIni,$B$10:$B$1509,"&lt;="&amp;RefFim)</f>
        <v>0</v>
      </c>
      <c r="E6" s="144">
        <f>B6-D6</f>
        <v>0</v>
      </c>
      <c r="F6" s="143">
        <f>SUMIFS($F$10:$F$1509,$C$10:$C$1509,"Aporte",$B$10:$B$1509,"&gt;="&amp;RefIni,$B$10:$B$1509,"&lt;="&amp;RefFim)</f>
        <v>0</v>
      </c>
      <c r="G6" s="32" t="n"/>
      <c r="H6" s="124" t="str">
        <f>IF(B6&gt;0,E6/B6,"–")</f>
        <v>–</v>
      </c>
      <c r="I6" s="32" t="n"/>
      <c r="J6" s="123">
        <f>COUNTIFS($B$10:$B$1509,"&gt;="&amp;RefIni,$B$10:$B$1509,"&lt;="&amp;RefFim)</f>
        <v>0</v>
      </c>
      <c r="K6" s="32" t="n"/>
    </row>
    <row r="7" ht="25" customHeight="1">
      <c r="B7" s="127" t="str">
        <f>"Mês: "&amp;RotuloMes</f>
        <v>Mês: Outubro 2026</v>
      </c>
      <c r="C7" s="38" t="n"/>
      <c r="D7" s="126" t="str">
        <f>IF('Orçamento'!$D$43&gt;0,IF(D6&gt;'Orçamento'!$D$43,"✖ ","✔ ")&amp;ROUND(D6/'Orçamento'!$D$43*100,0)&amp;"% do orçamento","○ Orçamento não definido")</f>
        <v>○ Orçamento não definido</v>
      </c>
      <c r="E7" s="126" t="str">
        <f>IF(B6+D6=0,"○ Sem lançamentos",IF(E6&gt;=0,"✔ Sobrou dinheiro","✖ Gastou mais do que ganhou"))</f>
        <v>○ Sem lançamentos</v>
      </c>
      <c r="F7" s="127" t="str">
        <f>"Saldo em caixa: € "&amp;FIXED(E6-F6,0)</f>
        <v>Saldo em caixa: € 0</v>
      </c>
      <c r="G7" s="38" t="n"/>
      <c r="H7" s="127" t="str">
        <f>IF(ISNUMBER(H6),IF(H6&gt;=MetaPoup,"✔ ","▲ ")&amp;"meta "&amp;ROUND(MetaPoup*100,0)&amp;"%","○ Sem receitas no mês")</f>
        <v>○ Sem receitas no mês</v>
      </c>
      <c r="I7" s="38" t="n"/>
      <c r="J7" s="127" t="str">
        <f>IF(COUNTIF($K$10:$K$1509,"▲*")&gt;0,"▲ "&amp;COUNTIF($K$10:$K$1509,"▲*")&amp;" linha(s) incompleta(s)","✔ Tudo completo")</f>
        <v>✔ Tudo completo</v>
      </c>
      <c r="K7" s="38" t="n"/>
    </row>
    <row r="9" ht="30" customHeight="1">
      <c r="B9" s="103" t="inlineStr">
        <is>
          <t>Data</t>
        </is>
      </c>
      <c r="C9" s="103" t="inlineStr">
        <is>
          <t>Tipo</t>
        </is>
      </c>
      <c r="D9" s="103" t="inlineStr">
        <is>
          <t>Categoria</t>
        </is>
      </c>
      <c r="E9" s="103" t="inlineStr">
        <is>
          <t>Descrição</t>
        </is>
      </c>
      <c r="F9" s="103" t="inlineStr">
        <is>
          <t>Valor (€)</t>
        </is>
      </c>
      <c r="G9" s="103" t="inlineStr">
        <is>
          <t>Conta / forma</t>
        </is>
      </c>
      <c r="H9" s="103" t="inlineStr">
        <is>
          <t>Fixo / variável</t>
        </is>
      </c>
      <c r="I9" s="103" t="inlineStr">
        <is>
          <t>Notas</t>
        </is>
      </c>
      <c r="J9" s="104" t="inlineStr">
        <is>
          <t>Grupo</t>
        </is>
      </c>
      <c r="K9" s="104" t="inlineStr">
        <is>
          <t>Verificação</t>
        </is>
      </c>
    </row>
    <row r="10">
      <c r="B10" s="130" t="n"/>
      <c r="C10" s="129" t="n"/>
      <c r="D10" s="129" t="n"/>
      <c r="E10" s="129" t="n"/>
      <c r="F10" s="145" t="n"/>
      <c r="G10" s="129" t="n"/>
      <c r="H10" s="129" t="n"/>
      <c r="I10" s="129" t="n"/>
      <c r="J10" s="138" t="str">
        <f>IF(C10&lt;&gt;"Despesa","",IFERROR(INDEX('Config'!$J$6:$J$40,MATCH(D10,'Config'!$I$6:$I$40,0)),"—"))</f>
        <v/>
      </c>
      <c r="K10" s="138" t="str">
        <f>IF(COUNTA(B10:F10)=0,"",IF(OR(B10="",C10="",D10="",F10=""),"▲ Completar","✔"))</f>
        <v/>
      </c>
    </row>
    <row r="11">
      <c r="B11" s="130" t="n"/>
      <c r="C11" s="129" t="n"/>
      <c r="D11" s="129" t="n"/>
      <c r="E11" s="129" t="n"/>
      <c r="F11" s="145" t="n"/>
      <c r="G11" s="129" t="n"/>
      <c r="H11" s="129" t="n"/>
      <c r="I11" s="129" t="n"/>
      <c r="J11" s="138" t="str">
        <f>IF(C11&lt;&gt;"Despesa","",IFERROR(INDEX('Config'!$J$6:$J$40,MATCH(D11,'Config'!$I$6:$I$40,0)),"—"))</f>
        <v/>
      </c>
      <c r="K11" s="138" t="str">
        <f>IF(COUNTA(B11:F11)=0,"",IF(OR(B11="",C11="",D11="",F11=""),"▲ Completar","✔"))</f>
        <v/>
      </c>
    </row>
    <row r="12">
      <c r="B12" s="130" t="n"/>
      <c r="C12" s="129" t="n"/>
      <c r="D12" s="129" t="n"/>
      <c r="E12" s="129" t="n"/>
      <c r="F12" s="145" t="n"/>
      <c r="G12" s="129" t="n"/>
      <c r="H12" s="129" t="n"/>
      <c r="I12" s="129" t="n"/>
      <c r="J12" s="138" t="str">
        <f>IF(C12&lt;&gt;"Despesa","",IFERROR(INDEX('Config'!$J$6:$J$40,MATCH(D12,'Config'!$I$6:$I$40,0)),"—"))</f>
        <v/>
      </c>
      <c r="K12" s="138" t="str">
        <f>IF(COUNTA(B12:F12)=0,"",IF(OR(B12="",C12="",D12="",F12=""),"▲ Completar","✔"))</f>
        <v/>
      </c>
    </row>
    <row r="13">
      <c r="B13" s="130" t="n"/>
      <c r="C13" s="129" t="n"/>
      <c r="D13" s="129" t="n"/>
      <c r="E13" s="129" t="n"/>
      <c r="F13" s="145" t="n"/>
      <c r="G13" s="129" t="n"/>
      <c r="H13" s="129" t="n"/>
      <c r="I13" s="129" t="n"/>
      <c r="J13" s="138" t="str">
        <f>IF(C13&lt;&gt;"Despesa","",IFERROR(INDEX('Config'!$J$6:$J$40,MATCH(D13,'Config'!$I$6:$I$40,0)),"—"))</f>
        <v/>
      </c>
      <c r="K13" s="138" t="str">
        <f>IF(COUNTA(B13:F13)=0,"",IF(OR(B13="",C13="",D13="",F13=""),"▲ Completar","✔"))</f>
        <v/>
      </c>
    </row>
    <row r="14">
      <c r="B14" s="130" t="n"/>
      <c r="C14" s="129" t="n"/>
      <c r="D14" s="129" t="n"/>
      <c r="E14" s="129" t="n"/>
      <c r="F14" s="145" t="n"/>
      <c r="G14" s="129" t="n"/>
      <c r="H14" s="129" t="n"/>
      <c r="I14" s="129" t="n"/>
      <c r="J14" s="138" t="str">
        <f>IF(C14&lt;&gt;"Despesa","",IFERROR(INDEX('Config'!$J$6:$J$40,MATCH(D14,'Config'!$I$6:$I$40,0)),"—"))</f>
        <v/>
      </c>
      <c r="K14" s="138" t="str">
        <f>IF(COUNTA(B14:F14)=0,"",IF(OR(B14="",C14="",D14="",F14=""),"▲ Completar","✔"))</f>
        <v/>
      </c>
    </row>
    <row r="15">
      <c r="B15" s="130" t="n"/>
      <c r="C15" s="129" t="n"/>
      <c r="D15" s="129" t="n"/>
      <c r="E15" s="129" t="n"/>
      <c r="F15" s="145" t="n"/>
      <c r="G15" s="129" t="n"/>
      <c r="H15" s="129" t="n"/>
      <c r="I15" s="129" t="n"/>
      <c r="J15" s="138" t="str">
        <f>IF(C15&lt;&gt;"Despesa","",IFERROR(INDEX('Config'!$J$6:$J$40,MATCH(D15,'Config'!$I$6:$I$40,0)),"—"))</f>
        <v/>
      </c>
      <c r="K15" s="138" t="str">
        <f>IF(COUNTA(B15:F15)=0,"",IF(OR(B15="",C15="",D15="",F15=""),"▲ Completar","✔"))</f>
        <v/>
      </c>
    </row>
    <row r="16">
      <c r="B16" s="130" t="n"/>
      <c r="C16" s="129" t="n"/>
      <c r="D16" s="129" t="n"/>
      <c r="E16" s="129" t="n"/>
      <c r="F16" s="145" t="n"/>
      <c r="G16" s="129" t="n"/>
      <c r="H16" s="129" t="n"/>
      <c r="I16" s="129" t="n"/>
      <c r="J16" s="138" t="str">
        <f>IF(C16&lt;&gt;"Despesa","",IFERROR(INDEX('Config'!$J$6:$J$40,MATCH(D16,'Config'!$I$6:$I$40,0)),"—"))</f>
        <v/>
      </c>
      <c r="K16" s="138" t="str">
        <f>IF(COUNTA(B16:F16)=0,"",IF(OR(B16="",C16="",D16="",F16=""),"▲ Completar","✔"))</f>
        <v/>
      </c>
    </row>
    <row r="17">
      <c r="B17" s="130" t="n"/>
      <c r="C17" s="129" t="n"/>
      <c r="D17" s="129" t="n"/>
      <c r="E17" s="129" t="n"/>
      <c r="F17" s="145" t="n"/>
      <c r="G17" s="129" t="n"/>
      <c r="H17" s="129" t="n"/>
      <c r="I17" s="129" t="n"/>
      <c r="J17" s="138" t="str">
        <f>IF(C17&lt;&gt;"Despesa","",IFERROR(INDEX('Config'!$J$6:$J$40,MATCH(D17,'Config'!$I$6:$I$40,0)),"—"))</f>
        <v/>
      </c>
      <c r="K17" s="138" t="str">
        <f>IF(COUNTA(B17:F17)=0,"",IF(OR(B17="",C17="",D17="",F17=""),"▲ Completar","✔"))</f>
        <v/>
      </c>
    </row>
    <row r="18">
      <c r="B18" s="130" t="n"/>
      <c r="C18" s="129" t="n"/>
      <c r="D18" s="129" t="n"/>
      <c r="E18" s="129" t="n"/>
      <c r="F18" s="145" t="n"/>
      <c r="G18" s="129" t="n"/>
      <c r="H18" s="129" t="n"/>
      <c r="I18" s="129" t="n"/>
      <c r="J18" s="138" t="str">
        <f>IF(C18&lt;&gt;"Despesa","",IFERROR(INDEX('Config'!$J$6:$J$40,MATCH(D18,'Config'!$I$6:$I$40,0)),"—"))</f>
        <v/>
      </c>
      <c r="K18" s="138" t="str">
        <f>IF(COUNTA(B18:F18)=0,"",IF(OR(B18="",C18="",D18="",F18=""),"▲ Completar","✔"))</f>
        <v/>
      </c>
    </row>
    <row r="19">
      <c r="B19" s="130" t="n"/>
      <c r="C19" s="129" t="n"/>
      <c r="D19" s="129" t="n"/>
      <c r="E19" s="129" t="n"/>
      <c r="F19" s="145" t="n"/>
      <c r="G19" s="129" t="n"/>
      <c r="H19" s="129" t="n"/>
      <c r="I19" s="129" t="n"/>
      <c r="J19" s="138" t="str">
        <f>IF(C19&lt;&gt;"Despesa","",IFERROR(INDEX('Config'!$J$6:$J$40,MATCH(D19,'Config'!$I$6:$I$40,0)),"—"))</f>
        <v/>
      </c>
      <c r="K19" s="138" t="str">
        <f>IF(COUNTA(B19:F19)=0,"",IF(OR(B19="",C19="",D19="",F19=""),"▲ Completar","✔"))</f>
        <v/>
      </c>
    </row>
    <row r="20">
      <c r="B20" s="130" t="n"/>
      <c r="C20" s="129" t="n"/>
      <c r="D20" s="129" t="n"/>
      <c r="E20" s="129" t="n"/>
      <c r="F20" s="145" t="n"/>
      <c r="G20" s="129" t="n"/>
      <c r="H20" s="129" t="n"/>
      <c r="I20" s="129" t="n"/>
      <c r="J20" s="138" t="str">
        <f>IF(C20&lt;&gt;"Despesa","",IFERROR(INDEX('Config'!$J$6:$J$40,MATCH(D20,'Config'!$I$6:$I$40,0)),"—"))</f>
        <v/>
      </c>
      <c r="K20" s="138" t="str">
        <f>IF(COUNTA(B20:F20)=0,"",IF(OR(B20="",C20="",D20="",F20=""),"▲ Completar","✔"))</f>
        <v/>
      </c>
    </row>
    <row r="21">
      <c r="B21" s="130" t="n"/>
      <c r="C21" s="129" t="n"/>
      <c r="D21" s="129" t="n"/>
      <c r="E21" s="129" t="n"/>
      <c r="F21" s="145" t="n"/>
      <c r="G21" s="129" t="n"/>
      <c r="H21" s="129" t="n"/>
      <c r="I21" s="129" t="n"/>
      <c r="J21" s="138" t="str">
        <f>IF(C21&lt;&gt;"Despesa","",IFERROR(INDEX('Config'!$J$6:$J$40,MATCH(D21,'Config'!$I$6:$I$40,0)),"—"))</f>
        <v/>
      </c>
      <c r="K21" s="138" t="str">
        <f>IF(COUNTA(B21:F21)=0,"",IF(OR(B21="",C21="",D21="",F21=""),"▲ Completar","✔"))</f>
        <v/>
      </c>
    </row>
    <row r="22">
      <c r="B22" s="130" t="n"/>
      <c r="C22" s="129" t="n"/>
      <c r="D22" s="129" t="n"/>
      <c r="E22" s="129" t="n"/>
      <c r="F22" s="145" t="n"/>
      <c r="G22" s="129" t="n"/>
      <c r="H22" s="129" t="n"/>
      <c r="I22" s="129" t="n"/>
      <c r="J22" s="138" t="str">
        <f>IF(C22&lt;&gt;"Despesa","",IFERROR(INDEX('Config'!$J$6:$J$40,MATCH(D22,'Config'!$I$6:$I$40,0)),"—"))</f>
        <v/>
      </c>
      <c r="K22" s="138" t="str">
        <f>IF(COUNTA(B22:F22)=0,"",IF(OR(B22="",C22="",D22="",F22=""),"▲ Completar","✔"))</f>
        <v/>
      </c>
    </row>
    <row r="23">
      <c r="B23" s="130" t="n"/>
      <c r="C23" s="129" t="n"/>
      <c r="D23" s="129" t="n"/>
      <c r="E23" s="129" t="n"/>
      <c r="F23" s="145" t="n"/>
      <c r="G23" s="129" t="n"/>
      <c r="H23" s="129" t="n"/>
      <c r="I23" s="129" t="n"/>
      <c r="J23" s="138" t="str">
        <f>IF(C23&lt;&gt;"Despesa","",IFERROR(INDEX('Config'!$J$6:$J$40,MATCH(D23,'Config'!$I$6:$I$40,0)),"—"))</f>
        <v/>
      </c>
      <c r="K23" s="138" t="str">
        <f>IF(COUNTA(B23:F23)=0,"",IF(OR(B23="",C23="",D23="",F23=""),"▲ Completar","✔"))</f>
        <v/>
      </c>
    </row>
    <row r="24">
      <c r="B24" s="130" t="n"/>
      <c r="C24" s="129" t="n"/>
      <c r="D24" s="129" t="n"/>
      <c r="E24" s="129" t="n"/>
      <c r="F24" s="145" t="n"/>
      <c r="G24" s="129" t="n"/>
      <c r="H24" s="129" t="n"/>
      <c r="I24" s="129" t="n"/>
      <c r="J24" s="138" t="str">
        <f>IF(C24&lt;&gt;"Despesa","",IFERROR(INDEX('Config'!$J$6:$J$40,MATCH(D24,'Config'!$I$6:$I$40,0)),"—"))</f>
        <v/>
      </c>
      <c r="K24" s="138" t="str">
        <f>IF(COUNTA(B24:F24)=0,"",IF(OR(B24="",C24="",D24="",F24=""),"▲ Completar","✔"))</f>
        <v/>
      </c>
    </row>
    <row r="25">
      <c r="B25" s="130" t="n"/>
      <c r="C25" s="129" t="n"/>
      <c r="D25" s="129" t="n"/>
      <c r="E25" s="129" t="n"/>
      <c r="F25" s="145" t="n"/>
      <c r="G25" s="129" t="n"/>
      <c r="H25" s="129" t="n"/>
      <c r="I25" s="129" t="n"/>
      <c r="J25" s="138" t="str">
        <f>IF(C25&lt;&gt;"Despesa","",IFERROR(INDEX('Config'!$J$6:$J$40,MATCH(D25,'Config'!$I$6:$I$40,0)),"—"))</f>
        <v/>
      </c>
      <c r="K25" s="138" t="str">
        <f>IF(COUNTA(B25:F25)=0,"",IF(OR(B25="",C25="",D25="",F25=""),"▲ Completar","✔"))</f>
        <v/>
      </c>
    </row>
    <row r="26">
      <c r="B26" s="130" t="n"/>
      <c r="C26" s="129" t="n"/>
      <c r="D26" s="129" t="n"/>
      <c r="E26" s="129" t="n"/>
      <c r="F26" s="145" t="n"/>
      <c r="G26" s="129" t="n"/>
      <c r="H26" s="129" t="n"/>
      <c r="I26" s="129" t="n"/>
      <c r="J26" s="138" t="str">
        <f>IF(C26&lt;&gt;"Despesa","",IFERROR(INDEX('Config'!$J$6:$J$40,MATCH(D26,'Config'!$I$6:$I$40,0)),"—"))</f>
        <v/>
      </c>
      <c r="K26" s="138" t="str">
        <f>IF(COUNTA(B26:F26)=0,"",IF(OR(B26="",C26="",D26="",F26=""),"▲ Completar","✔"))</f>
        <v/>
      </c>
    </row>
    <row r="27">
      <c r="B27" s="130" t="n"/>
      <c r="C27" s="129" t="n"/>
      <c r="D27" s="129" t="n"/>
      <c r="E27" s="129" t="n"/>
      <c r="F27" s="145" t="n"/>
      <c r="G27" s="129" t="n"/>
      <c r="H27" s="129" t="n"/>
      <c r="I27" s="129" t="n"/>
      <c r="J27" s="138" t="str">
        <f>IF(C27&lt;&gt;"Despesa","",IFERROR(INDEX('Config'!$J$6:$J$40,MATCH(D27,'Config'!$I$6:$I$40,0)),"—"))</f>
        <v/>
      </c>
      <c r="K27" s="138" t="str">
        <f>IF(COUNTA(B27:F27)=0,"",IF(OR(B27="",C27="",D27="",F27=""),"▲ Completar","✔"))</f>
        <v/>
      </c>
    </row>
    <row r="28">
      <c r="B28" s="130" t="n"/>
      <c r="C28" s="129" t="n"/>
      <c r="D28" s="129" t="n"/>
      <c r="E28" s="129" t="n"/>
      <c r="F28" s="145" t="n"/>
      <c r="G28" s="129" t="n"/>
      <c r="H28" s="129" t="n"/>
      <c r="I28" s="129" t="n"/>
      <c r="J28" s="138" t="str">
        <f>IF(C28&lt;&gt;"Despesa","",IFERROR(INDEX('Config'!$J$6:$J$40,MATCH(D28,'Config'!$I$6:$I$40,0)),"—"))</f>
        <v/>
      </c>
      <c r="K28" s="138" t="str">
        <f>IF(COUNTA(B28:F28)=0,"",IF(OR(B28="",C28="",D28="",F28=""),"▲ Completar","✔"))</f>
        <v/>
      </c>
    </row>
    <row r="29">
      <c r="B29" s="130" t="n"/>
      <c r="C29" s="129" t="n"/>
      <c r="D29" s="129" t="n"/>
      <c r="E29" s="129" t="n"/>
      <c r="F29" s="145" t="n"/>
      <c r="G29" s="129" t="n"/>
      <c r="H29" s="129" t="n"/>
      <c r="I29" s="129" t="n"/>
      <c r="J29" s="138" t="str">
        <f>IF(C29&lt;&gt;"Despesa","",IFERROR(INDEX('Config'!$J$6:$J$40,MATCH(D29,'Config'!$I$6:$I$40,0)),"—"))</f>
        <v/>
      </c>
      <c r="K29" s="138" t="str">
        <f>IF(COUNTA(B29:F29)=0,"",IF(OR(B29="",C29="",D29="",F29=""),"▲ Completar","✔"))</f>
        <v/>
      </c>
    </row>
    <row r="30">
      <c r="B30" s="130" t="n"/>
      <c r="C30" s="129" t="n"/>
      <c r="D30" s="129" t="n"/>
      <c r="E30" s="129" t="n"/>
      <c r="F30" s="145" t="n"/>
      <c r="G30" s="129" t="n"/>
      <c r="H30" s="129" t="n"/>
      <c r="I30" s="129" t="n"/>
      <c r="J30" s="138" t="str">
        <f>IF(C30&lt;&gt;"Despesa","",IFERROR(INDEX('Config'!$J$6:$J$40,MATCH(D30,'Config'!$I$6:$I$40,0)),"—"))</f>
        <v/>
      </c>
      <c r="K30" s="138" t="str">
        <f>IF(COUNTA(B30:F30)=0,"",IF(OR(B30="",C30="",D30="",F30=""),"▲ Completar","✔"))</f>
        <v/>
      </c>
    </row>
    <row r="31">
      <c r="B31" s="130" t="n"/>
      <c r="C31" s="129" t="n"/>
      <c r="D31" s="129" t="n"/>
      <c r="E31" s="129" t="n"/>
      <c r="F31" s="145" t="n"/>
      <c r="G31" s="129" t="n"/>
      <c r="H31" s="129" t="n"/>
      <c r="I31" s="129" t="n"/>
      <c r="J31" s="138" t="str">
        <f>IF(C31&lt;&gt;"Despesa","",IFERROR(INDEX('Config'!$J$6:$J$40,MATCH(D31,'Config'!$I$6:$I$40,0)),"—"))</f>
        <v/>
      </c>
      <c r="K31" s="138" t="str">
        <f>IF(COUNTA(B31:F31)=0,"",IF(OR(B31="",C31="",D31="",F31=""),"▲ Completar","✔"))</f>
        <v/>
      </c>
    </row>
    <row r="32">
      <c r="B32" s="130" t="n"/>
      <c r="C32" s="129" t="n"/>
      <c r="D32" s="129" t="n"/>
      <c r="E32" s="129" t="n"/>
      <c r="F32" s="145" t="n"/>
      <c r="G32" s="129" t="n"/>
      <c r="H32" s="129" t="n"/>
      <c r="I32" s="129" t="n"/>
      <c r="J32" s="138" t="str">
        <f>IF(C32&lt;&gt;"Despesa","",IFERROR(INDEX('Config'!$J$6:$J$40,MATCH(D32,'Config'!$I$6:$I$40,0)),"—"))</f>
        <v/>
      </c>
      <c r="K32" s="138" t="str">
        <f>IF(COUNTA(B32:F32)=0,"",IF(OR(B32="",C32="",D32="",F32=""),"▲ Completar","✔"))</f>
        <v/>
      </c>
    </row>
    <row r="33">
      <c r="B33" s="130" t="n"/>
      <c r="C33" s="129" t="n"/>
      <c r="D33" s="129" t="n"/>
      <c r="E33" s="129" t="n"/>
      <c r="F33" s="145" t="n"/>
      <c r="G33" s="129" t="n"/>
      <c r="H33" s="129" t="n"/>
      <c r="I33" s="129" t="n"/>
      <c r="J33" s="138" t="str">
        <f>IF(C33&lt;&gt;"Despesa","",IFERROR(INDEX('Config'!$J$6:$J$40,MATCH(D33,'Config'!$I$6:$I$40,0)),"—"))</f>
        <v/>
      </c>
      <c r="K33" s="138" t="str">
        <f>IF(COUNTA(B33:F33)=0,"",IF(OR(B33="",C33="",D33="",F33=""),"▲ Completar","✔"))</f>
        <v/>
      </c>
    </row>
    <row r="34">
      <c r="B34" s="130" t="n"/>
      <c r="C34" s="129" t="n"/>
      <c r="D34" s="129" t="n"/>
      <c r="E34" s="129" t="n"/>
      <c r="F34" s="145" t="n"/>
      <c r="G34" s="129" t="n"/>
      <c r="H34" s="129" t="n"/>
      <c r="I34" s="129" t="n"/>
      <c r="J34" s="138" t="str">
        <f>IF(C34&lt;&gt;"Despesa","",IFERROR(INDEX('Config'!$J$6:$J$40,MATCH(D34,'Config'!$I$6:$I$40,0)),"—"))</f>
        <v/>
      </c>
      <c r="K34" s="138" t="str">
        <f>IF(COUNTA(B34:F34)=0,"",IF(OR(B34="",C34="",D34="",F34=""),"▲ Completar","✔"))</f>
        <v/>
      </c>
    </row>
    <row r="35">
      <c r="B35" s="130" t="n"/>
      <c r="C35" s="129" t="n"/>
      <c r="D35" s="129" t="n"/>
      <c r="E35" s="129" t="n"/>
      <c r="F35" s="145" t="n"/>
      <c r="G35" s="129" t="n"/>
      <c r="H35" s="129" t="n"/>
      <c r="I35" s="129" t="n"/>
      <c r="J35" s="138" t="str">
        <f>IF(C35&lt;&gt;"Despesa","",IFERROR(INDEX('Config'!$J$6:$J$40,MATCH(D35,'Config'!$I$6:$I$40,0)),"—"))</f>
        <v/>
      </c>
      <c r="K35" s="138" t="str">
        <f>IF(COUNTA(B35:F35)=0,"",IF(OR(B35="",C35="",D35="",F35=""),"▲ Completar","✔"))</f>
        <v/>
      </c>
    </row>
    <row r="36">
      <c r="B36" s="130" t="n"/>
      <c r="C36" s="129" t="n"/>
      <c r="D36" s="129" t="n"/>
      <c r="E36" s="129" t="n"/>
      <c r="F36" s="145" t="n"/>
      <c r="G36" s="129" t="n"/>
      <c r="H36" s="129" t="n"/>
      <c r="I36" s="129" t="n"/>
      <c r="J36" s="138" t="str">
        <f>IF(C36&lt;&gt;"Despesa","",IFERROR(INDEX('Config'!$J$6:$J$40,MATCH(D36,'Config'!$I$6:$I$40,0)),"—"))</f>
        <v/>
      </c>
      <c r="K36" s="138" t="str">
        <f>IF(COUNTA(B36:F36)=0,"",IF(OR(B36="",C36="",D36="",F36=""),"▲ Completar","✔"))</f>
        <v/>
      </c>
    </row>
    <row r="37">
      <c r="B37" s="130" t="n"/>
      <c r="C37" s="129" t="n"/>
      <c r="D37" s="129" t="n"/>
      <c r="E37" s="129" t="n"/>
      <c r="F37" s="145" t="n"/>
      <c r="G37" s="129" t="n"/>
      <c r="H37" s="129" t="n"/>
      <c r="I37" s="129" t="n"/>
      <c r="J37" s="138" t="str">
        <f>IF(C37&lt;&gt;"Despesa","",IFERROR(INDEX('Config'!$J$6:$J$40,MATCH(D37,'Config'!$I$6:$I$40,0)),"—"))</f>
        <v/>
      </c>
      <c r="K37" s="138" t="str">
        <f>IF(COUNTA(B37:F37)=0,"",IF(OR(B37="",C37="",D37="",F37=""),"▲ Completar","✔"))</f>
        <v/>
      </c>
    </row>
    <row r="38">
      <c r="B38" s="130" t="n"/>
      <c r="C38" s="129" t="n"/>
      <c r="D38" s="129" t="n"/>
      <c r="E38" s="129" t="n"/>
      <c r="F38" s="145" t="n"/>
      <c r="G38" s="129" t="n"/>
      <c r="H38" s="129" t="n"/>
      <c r="I38" s="129" t="n"/>
      <c r="J38" s="138" t="str">
        <f>IF(C38&lt;&gt;"Despesa","",IFERROR(INDEX('Config'!$J$6:$J$40,MATCH(D38,'Config'!$I$6:$I$40,0)),"—"))</f>
        <v/>
      </c>
      <c r="K38" s="138" t="str">
        <f>IF(COUNTA(B38:F38)=0,"",IF(OR(B38="",C38="",D38="",F38=""),"▲ Completar","✔"))</f>
        <v/>
      </c>
    </row>
    <row r="39">
      <c r="B39" s="130" t="n"/>
      <c r="C39" s="129" t="n"/>
      <c r="D39" s="129" t="n"/>
      <c r="E39" s="129" t="n"/>
      <c r="F39" s="145" t="n"/>
      <c r="G39" s="129" t="n"/>
      <c r="H39" s="129" t="n"/>
      <c r="I39" s="129" t="n"/>
      <c r="J39" s="138" t="str">
        <f>IF(C39&lt;&gt;"Despesa","",IFERROR(INDEX('Config'!$J$6:$J$40,MATCH(D39,'Config'!$I$6:$I$40,0)),"—"))</f>
        <v/>
      </c>
      <c r="K39" s="138" t="str">
        <f>IF(COUNTA(B39:F39)=0,"",IF(OR(B39="",C39="",D39="",F39=""),"▲ Completar","✔"))</f>
        <v/>
      </c>
    </row>
    <row r="40">
      <c r="B40" s="130" t="n"/>
      <c r="C40" s="129" t="n"/>
      <c r="D40" s="129" t="n"/>
      <c r="E40" s="129" t="n"/>
      <c r="F40" s="145" t="n"/>
      <c r="G40" s="129" t="n"/>
      <c r="H40" s="129" t="n"/>
      <c r="I40" s="129" t="n"/>
      <c r="J40" s="138" t="str">
        <f>IF(C40&lt;&gt;"Despesa","",IFERROR(INDEX('Config'!$J$6:$J$40,MATCH(D40,'Config'!$I$6:$I$40,0)),"—"))</f>
        <v/>
      </c>
      <c r="K40" s="138" t="str">
        <f>IF(COUNTA(B40:F40)=0,"",IF(OR(B40="",C40="",D40="",F40=""),"▲ Completar","✔"))</f>
        <v/>
      </c>
    </row>
    <row r="41">
      <c r="B41" s="130" t="n"/>
      <c r="C41" s="129" t="n"/>
      <c r="D41" s="129" t="n"/>
      <c r="E41" s="129" t="n"/>
      <c r="F41" s="145" t="n"/>
      <c r="G41" s="129" t="n"/>
      <c r="H41" s="129" t="n"/>
      <c r="I41" s="129" t="n"/>
      <c r="J41" s="138" t="str">
        <f>IF(C41&lt;&gt;"Despesa","",IFERROR(INDEX('Config'!$J$6:$J$40,MATCH(D41,'Config'!$I$6:$I$40,0)),"—"))</f>
        <v/>
      </c>
      <c r="K41" s="138" t="str">
        <f>IF(COUNTA(B41:F41)=0,"",IF(OR(B41="",C41="",D41="",F41=""),"▲ Completar","✔"))</f>
        <v/>
      </c>
    </row>
    <row r="42">
      <c r="B42" s="130" t="n"/>
      <c r="C42" s="129" t="n"/>
      <c r="D42" s="129" t="n"/>
      <c r="E42" s="129" t="n"/>
      <c r="F42" s="145" t="n"/>
      <c r="G42" s="129" t="n"/>
      <c r="H42" s="129" t="n"/>
      <c r="I42" s="129" t="n"/>
      <c r="J42" s="138" t="str">
        <f>IF(C42&lt;&gt;"Despesa","",IFERROR(INDEX('Config'!$J$6:$J$40,MATCH(D42,'Config'!$I$6:$I$40,0)),"—"))</f>
        <v/>
      </c>
      <c r="K42" s="138" t="str">
        <f>IF(COUNTA(B42:F42)=0,"",IF(OR(B42="",C42="",D42="",F42=""),"▲ Completar","✔"))</f>
        <v/>
      </c>
    </row>
    <row r="43">
      <c r="B43" s="130" t="n"/>
      <c r="C43" s="129" t="n"/>
      <c r="D43" s="129" t="n"/>
      <c r="E43" s="129" t="n"/>
      <c r="F43" s="145" t="n"/>
      <c r="G43" s="129" t="n"/>
      <c r="H43" s="129" t="n"/>
      <c r="I43" s="129" t="n"/>
      <c r="J43" s="138" t="str">
        <f>IF(C43&lt;&gt;"Despesa","",IFERROR(INDEX('Config'!$J$6:$J$40,MATCH(D43,'Config'!$I$6:$I$40,0)),"—"))</f>
        <v/>
      </c>
      <c r="K43" s="138" t="str">
        <f>IF(COUNTA(B43:F43)=0,"",IF(OR(B43="",C43="",D43="",F43=""),"▲ Completar","✔"))</f>
        <v/>
      </c>
    </row>
    <row r="44">
      <c r="B44" s="130" t="n"/>
      <c r="C44" s="129" t="n"/>
      <c r="D44" s="129" t="n"/>
      <c r="E44" s="129" t="n"/>
      <c r="F44" s="145" t="n"/>
      <c r="G44" s="129" t="n"/>
      <c r="H44" s="129" t="n"/>
      <c r="I44" s="129" t="n"/>
      <c r="J44" s="138" t="str">
        <f>IF(C44&lt;&gt;"Despesa","",IFERROR(INDEX('Config'!$J$6:$J$40,MATCH(D44,'Config'!$I$6:$I$40,0)),"—"))</f>
        <v/>
      </c>
      <c r="K44" s="138" t="str">
        <f>IF(COUNTA(B44:F44)=0,"",IF(OR(B44="",C44="",D44="",F44=""),"▲ Completar","✔"))</f>
        <v/>
      </c>
    </row>
    <row r="45">
      <c r="B45" s="130" t="n"/>
      <c r="C45" s="129" t="n"/>
      <c r="D45" s="129" t="n"/>
      <c r="E45" s="129" t="n"/>
      <c r="F45" s="145" t="n"/>
      <c r="G45" s="129" t="n"/>
      <c r="H45" s="129" t="n"/>
      <c r="I45" s="129" t="n"/>
      <c r="J45" s="138" t="str">
        <f>IF(C45&lt;&gt;"Despesa","",IFERROR(INDEX('Config'!$J$6:$J$40,MATCH(D45,'Config'!$I$6:$I$40,0)),"—"))</f>
        <v/>
      </c>
      <c r="K45" s="138" t="str">
        <f>IF(COUNTA(B45:F45)=0,"",IF(OR(B45="",C45="",D45="",F45=""),"▲ Completar","✔"))</f>
        <v/>
      </c>
    </row>
    <row r="46">
      <c r="B46" s="130" t="n"/>
      <c r="C46" s="129" t="n"/>
      <c r="D46" s="129" t="n"/>
      <c r="E46" s="129" t="n"/>
      <c r="F46" s="145" t="n"/>
      <c r="G46" s="129" t="n"/>
      <c r="H46" s="129" t="n"/>
      <c r="I46" s="129" t="n"/>
      <c r="J46" s="138" t="str">
        <f>IF(C46&lt;&gt;"Despesa","",IFERROR(INDEX('Config'!$J$6:$J$40,MATCH(D46,'Config'!$I$6:$I$40,0)),"—"))</f>
        <v/>
      </c>
      <c r="K46" s="138" t="str">
        <f>IF(COUNTA(B46:F46)=0,"",IF(OR(B46="",C46="",D46="",F46=""),"▲ Completar","✔"))</f>
        <v/>
      </c>
    </row>
    <row r="47">
      <c r="B47" s="130" t="n"/>
      <c r="C47" s="129" t="n"/>
      <c r="D47" s="129" t="n"/>
      <c r="E47" s="129" t="n"/>
      <c r="F47" s="145" t="n"/>
      <c r="G47" s="129" t="n"/>
      <c r="H47" s="129" t="n"/>
      <c r="I47" s="129" t="n"/>
      <c r="J47" s="138" t="str">
        <f>IF(C47&lt;&gt;"Despesa","",IFERROR(INDEX('Config'!$J$6:$J$40,MATCH(D47,'Config'!$I$6:$I$40,0)),"—"))</f>
        <v/>
      </c>
      <c r="K47" s="138" t="str">
        <f>IF(COUNTA(B47:F47)=0,"",IF(OR(B47="",C47="",D47="",F47=""),"▲ Completar","✔"))</f>
        <v/>
      </c>
    </row>
    <row r="48">
      <c r="B48" s="130" t="n"/>
      <c r="C48" s="129" t="n"/>
      <c r="D48" s="129" t="n"/>
      <c r="E48" s="129" t="n"/>
      <c r="F48" s="145" t="n"/>
      <c r="G48" s="129" t="n"/>
      <c r="H48" s="129" t="n"/>
      <c r="I48" s="129" t="n"/>
      <c r="J48" s="138" t="str">
        <f>IF(C48&lt;&gt;"Despesa","",IFERROR(INDEX('Config'!$J$6:$J$40,MATCH(D48,'Config'!$I$6:$I$40,0)),"—"))</f>
        <v/>
      </c>
      <c r="K48" s="138" t="str">
        <f>IF(COUNTA(B48:F48)=0,"",IF(OR(B48="",C48="",D48="",F48=""),"▲ Completar","✔"))</f>
        <v/>
      </c>
    </row>
    <row r="49">
      <c r="B49" s="130" t="n"/>
      <c r="C49" s="129" t="n"/>
      <c r="D49" s="129" t="n"/>
      <c r="E49" s="129" t="n"/>
      <c r="F49" s="145" t="n"/>
      <c r="G49" s="129" t="n"/>
      <c r="H49" s="129" t="n"/>
      <c r="I49" s="129" t="n"/>
      <c r="J49" s="138" t="str">
        <f>IF(C49&lt;&gt;"Despesa","",IFERROR(INDEX('Config'!$J$6:$J$40,MATCH(D49,'Config'!$I$6:$I$40,0)),"—"))</f>
        <v/>
      </c>
      <c r="K49" s="138" t="str">
        <f>IF(COUNTA(B49:F49)=0,"",IF(OR(B49="",C49="",D49="",F49=""),"▲ Completar","✔"))</f>
        <v/>
      </c>
    </row>
    <row r="50">
      <c r="B50" s="130" t="n"/>
      <c r="C50" s="129" t="n"/>
      <c r="D50" s="129" t="n"/>
      <c r="E50" s="129" t="n"/>
      <c r="F50" s="145" t="n"/>
      <c r="G50" s="129" t="n"/>
      <c r="H50" s="129" t="n"/>
      <c r="I50" s="129" t="n"/>
      <c r="J50" s="138" t="str">
        <f>IF(C50&lt;&gt;"Despesa","",IFERROR(INDEX('Config'!$J$6:$J$40,MATCH(D50,'Config'!$I$6:$I$40,0)),"—"))</f>
        <v/>
      </c>
      <c r="K50" s="138" t="str">
        <f>IF(COUNTA(B50:F50)=0,"",IF(OR(B50="",C50="",D50="",F50=""),"▲ Completar","✔"))</f>
        <v/>
      </c>
    </row>
    <row r="51">
      <c r="B51" s="130" t="n"/>
      <c r="C51" s="129" t="n"/>
      <c r="D51" s="129" t="n"/>
      <c r="E51" s="129" t="n"/>
      <c r="F51" s="145" t="n"/>
      <c r="G51" s="129" t="n"/>
      <c r="H51" s="129" t="n"/>
      <c r="I51" s="129" t="n"/>
      <c r="J51" s="138" t="str">
        <f>IF(C51&lt;&gt;"Despesa","",IFERROR(INDEX('Config'!$J$6:$J$40,MATCH(D51,'Config'!$I$6:$I$40,0)),"—"))</f>
        <v/>
      </c>
      <c r="K51" s="138" t="str">
        <f>IF(COUNTA(B51:F51)=0,"",IF(OR(B51="",C51="",D51="",F51=""),"▲ Completar","✔"))</f>
        <v/>
      </c>
    </row>
    <row r="52">
      <c r="B52" s="130" t="n"/>
      <c r="C52" s="129" t="n"/>
      <c r="D52" s="129" t="n"/>
      <c r="E52" s="129" t="n"/>
      <c r="F52" s="145" t="n"/>
      <c r="G52" s="129" t="n"/>
      <c r="H52" s="129" t="n"/>
      <c r="I52" s="129" t="n"/>
      <c r="J52" s="138" t="str">
        <f>IF(C52&lt;&gt;"Despesa","",IFERROR(INDEX('Config'!$J$6:$J$40,MATCH(D52,'Config'!$I$6:$I$40,0)),"—"))</f>
        <v/>
      </c>
      <c r="K52" s="138" t="str">
        <f>IF(COUNTA(B52:F52)=0,"",IF(OR(B52="",C52="",D52="",F52=""),"▲ Completar","✔"))</f>
        <v/>
      </c>
    </row>
    <row r="53">
      <c r="B53" s="130" t="n"/>
      <c r="C53" s="129" t="n"/>
      <c r="D53" s="129" t="n"/>
      <c r="E53" s="129" t="n"/>
      <c r="F53" s="145" t="n"/>
      <c r="G53" s="129" t="n"/>
      <c r="H53" s="129" t="n"/>
      <c r="I53" s="129" t="n"/>
      <c r="J53" s="138" t="str">
        <f>IF(C53&lt;&gt;"Despesa","",IFERROR(INDEX('Config'!$J$6:$J$40,MATCH(D53,'Config'!$I$6:$I$40,0)),"—"))</f>
        <v/>
      </c>
      <c r="K53" s="138" t="str">
        <f>IF(COUNTA(B53:F53)=0,"",IF(OR(B53="",C53="",D53="",F53=""),"▲ Completar","✔"))</f>
        <v/>
      </c>
    </row>
    <row r="54">
      <c r="B54" s="130" t="n"/>
      <c r="C54" s="129" t="n"/>
      <c r="D54" s="129" t="n"/>
      <c r="E54" s="129" t="n"/>
      <c r="F54" s="145" t="n"/>
      <c r="G54" s="129" t="n"/>
      <c r="H54" s="129" t="n"/>
      <c r="I54" s="129" t="n"/>
      <c r="J54" s="138" t="str">
        <f>IF(C54&lt;&gt;"Despesa","",IFERROR(INDEX('Config'!$J$6:$J$40,MATCH(D54,'Config'!$I$6:$I$40,0)),"—"))</f>
        <v/>
      </c>
      <c r="K54" s="138" t="str">
        <f>IF(COUNTA(B54:F54)=0,"",IF(OR(B54="",C54="",D54="",F54=""),"▲ Completar","✔"))</f>
        <v/>
      </c>
    </row>
    <row r="55">
      <c r="B55" s="130" t="n"/>
      <c r="C55" s="129" t="n"/>
      <c r="D55" s="129" t="n"/>
      <c r="E55" s="129" t="n"/>
      <c r="F55" s="145" t="n"/>
      <c r="G55" s="129" t="n"/>
      <c r="H55" s="129" t="n"/>
      <c r="I55" s="129" t="n"/>
      <c r="J55" s="138" t="str">
        <f>IF(C55&lt;&gt;"Despesa","",IFERROR(INDEX('Config'!$J$6:$J$40,MATCH(D55,'Config'!$I$6:$I$40,0)),"—"))</f>
        <v/>
      </c>
      <c r="K55" s="138" t="str">
        <f>IF(COUNTA(B55:F55)=0,"",IF(OR(B55="",C55="",D55="",F55=""),"▲ Completar","✔"))</f>
        <v/>
      </c>
    </row>
    <row r="56">
      <c r="B56" s="130" t="n"/>
      <c r="C56" s="129" t="n"/>
      <c r="D56" s="129" t="n"/>
      <c r="E56" s="129" t="n"/>
      <c r="F56" s="145" t="n"/>
      <c r="G56" s="129" t="n"/>
      <c r="H56" s="129" t="n"/>
      <c r="I56" s="129" t="n"/>
      <c r="J56" s="138" t="str">
        <f>IF(C56&lt;&gt;"Despesa","",IFERROR(INDEX('Config'!$J$6:$J$40,MATCH(D56,'Config'!$I$6:$I$40,0)),"—"))</f>
        <v/>
      </c>
      <c r="K56" s="138" t="str">
        <f>IF(COUNTA(B56:F56)=0,"",IF(OR(B56="",C56="",D56="",F56=""),"▲ Completar","✔"))</f>
        <v/>
      </c>
    </row>
    <row r="57">
      <c r="B57" s="130" t="n"/>
      <c r="C57" s="129" t="n"/>
      <c r="D57" s="129" t="n"/>
      <c r="E57" s="129" t="n"/>
      <c r="F57" s="145" t="n"/>
      <c r="G57" s="129" t="n"/>
      <c r="H57" s="129" t="n"/>
      <c r="I57" s="129" t="n"/>
      <c r="J57" s="138" t="str">
        <f>IF(C57&lt;&gt;"Despesa","",IFERROR(INDEX('Config'!$J$6:$J$40,MATCH(D57,'Config'!$I$6:$I$40,0)),"—"))</f>
        <v/>
      </c>
      <c r="K57" s="138" t="str">
        <f>IF(COUNTA(B57:F57)=0,"",IF(OR(B57="",C57="",D57="",F57=""),"▲ Completar","✔"))</f>
        <v/>
      </c>
    </row>
    <row r="58">
      <c r="B58" s="130" t="n"/>
      <c r="C58" s="129" t="n"/>
      <c r="D58" s="129" t="n"/>
      <c r="E58" s="129" t="n"/>
      <c r="F58" s="145" t="n"/>
      <c r="G58" s="129" t="n"/>
      <c r="H58" s="129" t="n"/>
      <c r="I58" s="129" t="n"/>
      <c r="J58" s="138" t="str">
        <f>IF(C58&lt;&gt;"Despesa","",IFERROR(INDEX('Config'!$J$6:$J$40,MATCH(D58,'Config'!$I$6:$I$40,0)),"—"))</f>
        <v/>
      </c>
      <c r="K58" s="138" t="str">
        <f>IF(COUNTA(B58:F58)=0,"",IF(OR(B58="",C58="",D58="",F58=""),"▲ Completar","✔"))</f>
        <v/>
      </c>
    </row>
    <row r="59">
      <c r="B59" s="130" t="n"/>
      <c r="C59" s="129" t="n"/>
      <c r="D59" s="129" t="n"/>
      <c r="E59" s="129" t="n"/>
      <c r="F59" s="145" t="n"/>
      <c r="G59" s="129" t="n"/>
      <c r="H59" s="129" t="n"/>
      <c r="I59" s="129" t="n"/>
      <c r="J59" s="138" t="str">
        <f>IF(C59&lt;&gt;"Despesa","",IFERROR(INDEX('Config'!$J$6:$J$40,MATCH(D59,'Config'!$I$6:$I$40,0)),"—"))</f>
        <v/>
      </c>
      <c r="K59" s="138" t="str">
        <f>IF(COUNTA(B59:F59)=0,"",IF(OR(B59="",C59="",D59="",F59=""),"▲ Completar","✔"))</f>
        <v/>
      </c>
    </row>
    <row r="60">
      <c r="B60" s="130" t="n"/>
      <c r="C60" s="129" t="n"/>
      <c r="D60" s="129" t="n"/>
      <c r="E60" s="129" t="n"/>
      <c r="F60" s="145" t="n"/>
      <c r="G60" s="129" t="n"/>
      <c r="H60" s="129" t="n"/>
      <c r="I60" s="129" t="n"/>
      <c r="J60" s="138" t="str">
        <f>IF(C60&lt;&gt;"Despesa","",IFERROR(INDEX('Config'!$J$6:$J$40,MATCH(D60,'Config'!$I$6:$I$40,0)),"—"))</f>
        <v/>
      </c>
      <c r="K60" s="138" t="str">
        <f>IF(COUNTA(B60:F60)=0,"",IF(OR(B60="",C60="",D60="",F60=""),"▲ Completar","✔"))</f>
        <v/>
      </c>
    </row>
    <row r="61">
      <c r="B61" s="130" t="n"/>
      <c r="C61" s="129" t="n"/>
      <c r="D61" s="129" t="n"/>
      <c r="E61" s="129" t="n"/>
      <c r="F61" s="145" t="n"/>
      <c r="G61" s="129" t="n"/>
      <c r="H61" s="129" t="n"/>
      <c r="I61" s="129" t="n"/>
      <c r="J61" s="138" t="str">
        <f>IF(C61&lt;&gt;"Despesa","",IFERROR(INDEX('Config'!$J$6:$J$40,MATCH(D61,'Config'!$I$6:$I$40,0)),"—"))</f>
        <v/>
      </c>
      <c r="K61" s="138" t="str">
        <f>IF(COUNTA(B61:F61)=0,"",IF(OR(B61="",C61="",D61="",F61=""),"▲ Completar","✔"))</f>
        <v/>
      </c>
    </row>
    <row r="62">
      <c r="B62" s="130" t="n"/>
      <c r="C62" s="129" t="n"/>
      <c r="D62" s="129" t="n"/>
      <c r="E62" s="129" t="n"/>
      <c r="F62" s="145" t="n"/>
      <c r="G62" s="129" t="n"/>
      <c r="H62" s="129" t="n"/>
      <c r="I62" s="129" t="n"/>
      <c r="J62" s="138" t="str">
        <f>IF(C62&lt;&gt;"Despesa","",IFERROR(INDEX('Config'!$J$6:$J$40,MATCH(D62,'Config'!$I$6:$I$40,0)),"—"))</f>
        <v/>
      </c>
      <c r="K62" s="138" t="str">
        <f>IF(COUNTA(B62:F62)=0,"",IF(OR(B62="",C62="",D62="",F62=""),"▲ Completar","✔"))</f>
        <v/>
      </c>
    </row>
    <row r="63">
      <c r="B63" s="130" t="n"/>
      <c r="C63" s="129" t="n"/>
      <c r="D63" s="129" t="n"/>
      <c r="E63" s="129" t="n"/>
      <c r="F63" s="145" t="n"/>
      <c r="G63" s="129" t="n"/>
      <c r="H63" s="129" t="n"/>
      <c r="I63" s="129" t="n"/>
      <c r="J63" s="138" t="str">
        <f>IF(C63&lt;&gt;"Despesa","",IFERROR(INDEX('Config'!$J$6:$J$40,MATCH(D63,'Config'!$I$6:$I$40,0)),"—"))</f>
        <v/>
      </c>
      <c r="K63" s="138" t="str">
        <f>IF(COUNTA(B63:F63)=0,"",IF(OR(B63="",C63="",D63="",F63=""),"▲ Completar","✔"))</f>
        <v/>
      </c>
    </row>
    <row r="64">
      <c r="B64" s="130" t="n"/>
      <c r="C64" s="129" t="n"/>
      <c r="D64" s="129" t="n"/>
      <c r="E64" s="129" t="n"/>
      <c r="F64" s="145" t="n"/>
      <c r="G64" s="129" t="n"/>
      <c r="H64" s="129" t="n"/>
      <c r="I64" s="129" t="n"/>
      <c r="J64" s="138" t="str">
        <f>IF(C64&lt;&gt;"Despesa","",IFERROR(INDEX('Config'!$J$6:$J$40,MATCH(D64,'Config'!$I$6:$I$40,0)),"—"))</f>
        <v/>
      </c>
      <c r="K64" s="138" t="str">
        <f>IF(COUNTA(B64:F64)=0,"",IF(OR(B64="",C64="",D64="",F64=""),"▲ Completar","✔"))</f>
        <v/>
      </c>
    </row>
    <row r="65">
      <c r="B65" s="130" t="n"/>
      <c r="C65" s="129" t="n"/>
      <c r="D65" s="129" t="n"/>
      <c r="E65" s="129" t="n"/>
      <c r="F65" s="145" t="n"/>
      <c r="G65" s="129" t="n"/>
      <c r="H65" s="129" t="n"/>
      <c r="I65" s="129" t="n"/>
      <c r="J65" s="138" t="str">
        <f>IF(C65&lt;&gt;"Despesa","",IFERROR(INDEX('Config'!$J$6:$J$40,MATCH(D65,'Config'!$I$6:$I$40,0)),"—"))</f>
        <v/>
      </c>
      <c r="K65" s="138" t="str">
        <f>IF(COUNTA(B65:F65)=0,"",IF(OR(B65="",C65="",D65="",F65=""),"▲ Completar","✔"))</f>
        <v/>
      </c>
    </row>
    <row r="66">
      <c r="B66" s="130" t="n"/>
      <c r="C66" s="129" t="n"/>
      <c r="D66" s="129" t="n"/>
      <c r="E66" s="129" t="n"/>
      <c r="F66" s="145" t="n"/>
      <c r="G66" s="129" t="n"/>
      <c r="H66" s="129" t="n"/>
      <c r="I66" s="129" t="n"/>
      <c r="J66" s="138" t="str">
        <f>IF(C66&lt;&gt;"Despesa","",IFERROR(INDEX('Config'!$J$6:$J$40,MATCH(D66,'Config'!$I$6:$I$40,0)),"—"))</f>
        <v/>
      </c>
      <c r="K66" s="138" t="str">
        <f>IF(COUNTA(B66:F66)=0,"",IF(OR(B66="",C66="",D66="",F66=""),"▲ Completar","✔"))</f>
        <v/>
      </c>
    </row>
    <row r="67">
      <c r="B67" s="130" t="n"/>
      <c r="C67" s="129" t="n"/>
      <c r="D67" s="129" t="n"/>
      <c r="E67" s="129" t="n"/>
      <c r="F67" s="145" t="n"/>
      <c r="G67" s="129" t="n"/>
      <c r="H67" s="129" t="n"/>
      <c r="I67" s="129" t="n"/>
      <c r="J67" s="138" t="str">
        <f>IF(C67&lt;&gt;"Despesa","",IFERROR(INDEX('Config'!$J$6:$J$40,MATCH(D67,'Config'!$I$6:$I$40,0)),"—"))</f>
        <v/>
      </c>
      <c r="K67" s="138" t="str">
        <f>IF(COUNTA(B67:F67)=0,"",IF(OR(B67="",C67="",D67="",F67=""),"▲ Completar","✔"))</f>
        <v/>
      </c>
    </row>
    <row r="68">
      <c r="B68" s="130" t="n"/>
      <c r="C68" s="129" t="n"/>
      <c r="D68" s="129" t="n"/>
      <c r="E68" s="129" t="n"/>
      <c r="F68" s="145" t="n"/>
      <c r="G68" s="129" t="n"/>
      <c r="H68" s="129" t="n"/>
      <c r="I68" s="129" t="n"/>
      <c r="J68" s="138" t="str">
        <f>IF(C68&lt;&gt;"Despesa","",IFERROR(INDEX('Config'!$J$6:$J$40,MATCH(D68,'Config'!$I$6:$I$40,0)),"—"))</f>
        <v/>
      </c>
      <c r="K68" s="138" t="str">
        <f>IF(COUNTA(B68:F68)=0,"",IF(OR(B68="",C68="",D68="",F68=""),"▲ Completar","✔"))</f>
        <v/>
      </c>
    </row>
    <row r="69">
      <c r="B69" s="130" t="n"/>
      <c r="C69" s="129" t="n"/>
      <c r="D69" s="129" t="n"/>
      <c r="E69" s="129" t="n"/>
      <c r="F69" s="145" t="n"/>
      <c r="G69" s="129" t="n"/>
      <c r="H69" s="129" t="n"/>
      <c r="I69" s="129" t="n"/>
      <c r="J69" s="138" t="str">
        <f>IF(C69&lt;&gt;"Despesa","",IFERROR(INDEX('Config'!$J$6:$J$40,MATCH(D69,'Config'!$I$6:$I$40,0)),"—"))</f>
        <v/>
      </c>
      <c r="K69" s="138" t="str">
        <f>IF(COUNTA(B69:F69)=0,"",IF(OR(B69="",C69="",D69="",F69=""),"▲ Completar","✔"))</f>
        <v/>
      </c>
    </row>
    <row r="70">
      <c r="B70" s="130" t="n"/>
      <c r="C70" s="129" t="n"/>
      <c r="D70" s="129" t="n"/>
      <c r="E70" s="129" t="n"/>
      <c r="F70" s="145" t="n"/>
      <c r="G70" s="129" t="n"/>
      <c r="H70" s="129" t="n"/>
      <c r="I70" s="129" t="n"/>
      <c r="J70" s="138" t="str">
        <f>IF(C70&lt;&gt;"Despesa","",IFERROR(INDEX('Config'!$J$6:$J$40,MATCH(D70,'Config'!$I$6:$I$40,0)),"—"))</f>
        <v/>
      </c>
      <c r="K70" s="138" t="str">
        <f>IF(COUNTA(B70:F70)=0,"",IF(OR(B70="",C70="",D70="",F70=""),"▲ Completar","✔"))</f>
        <v/>
      </c>
    </row>
    <row r="71">
      <c r="B71" s="130" t="n"/>
      <c r="C71" s="129" t="n"/>
      <c r="D71" s="129" t="n"/>
      <c r="E71" s="129" t="n"/>
      <c r="F71" s="145" t="n"/>
      <c r="G71" s="129" t="n"/>
      <c r="H71" s="129" t="n"/>
      <c r="I71" s="129" t="n"/>
      <c r="J71" s="138" t="str">
        <f>IF(C71&lt;&gt;"Despesa","",IFERROR(INDEX('Config'!$J$6:$J$40,MATCH(D71,'Config'!$I$6:$I$40,0)),"—"))</f>
        <v/>
      </c>
      <c r="K71" s="138" t="str">
        <f>IF(COUNTA(B71:F71)=0,"",IF(OR(B71="",C71="",D71="",F71=""),"▲ Completar","✔"))</f>
        <v/>
      </c>
    </row>
    <row r="72">
      <c r="B72" s="130" t="n"/>
      <c r="C72" s="129" t="n"/>
      <c r="D72" s="129" t="n"/>
      <c r="E72" s="129" t="n"/>
      <c r="F72" s="145" t="n"/>
      <c r="G72" s="129" t="n"/>
      <c r="H72" s="129" t="n"/>
      <c r="I72" s="129" t="n"/>
      <c r="J72" s="138" t="str">
        <f>IF(C72&lt;&gt;"Despesa","",IFERROR(INDEX('Config'!$J$6:$J$40,MATCH(D72,'Config'!$I$6:$I$40,0)),"—"))</f>
        <v/>
      </c>
      <c r="K72" s="138" t="str">
        <f>IF(COUNTA(B72:F72)=0,"",IF(OR(B72="",C72="",D72="",F72=""),"▲ Completar","✔"))</f>
        <v/>
      </c>
    </row>
    <row r="73">
      <c r="B73" s="130" t="n"/>
      <c r="C73" s="129" t="n"/>
      <c r="D73" s="129" t="n"/>
      <c r="E73" s="129" t="n"/>
      <c r="F73" s="145" t="n"/>
      <c r="G73" s="129" t="n"/>
      <c r="H73" s="129" t="n"/>
      <c r="I73" s="129" t="n"/>
      <c r="J73" s="138" t="str">
        <f>IF(C73&lt;&gt;"Despesa","",IFERROR(INDEX('Config'!$J$6:$J$40,MATCH(D73,'Config'!$I$6:$I$40,0)),"—"))</f>
        <v/>
      </c>
      <c r="K73" s="138" t="str">
        <f>IF(COUNTA(B73:F73)=0,"",IF(OR(B73="",C73="",D73="",F73=""),"▲ Completar","✔"))</f>
        <v/>
      </c>
    </row>
    <row r="74">
      <c r="B74" s="130" t="n"/>
      <c r="C74" s="129" t="n"/>
      <c r="D74" s="129" t="n"/>
      <c r="E74" s="129" t="n"/>
      <c r="F74" s="145" t="n"/>
      <c r="G74" s="129" t="n"/>
      <c r="H74" s="129" t="n"/>
      <c r="I74" s="129" t="n"/>
      <c r="J74" s="138" t="str">
        <f>IF(C74&lt;&gt;"Despesa","",IFERROR(INDEX('Config'!$J$6:$J$40,MATCH(D74,'Config'!$I$6:$I$40,0)),"—"))</f>
        <v/>
      </c>
      <c r="K74" s="138" t="str">
        <f>IF(COUNTA(B74:F74)=0,"",IF(OR(B74="",C74="",D74="",F74=""),"▲ Completar","✔"))</f>
        <v/>
      </c>
    </row>
    <row r="75">
      <c r="B75" s="130" t="n"/>
      <c r="C75" s="129" t="n"/>
      <c r="D75" s="129" t="n"/>
      <c r="E75" s="129" t="n"/>
      <c r="F75" s="145" t="n"/>
      <c r="G75" s="129" t="n"/>
      <c r="H75" s="129" t="n"/>
      <c r="I75" s="129" t="n"/>
      <c r="J75" s="138" t="str">
        <f>IF(C75&lt;&gt;"Despesa","",IFERROR(INDEX('Config'!$J$6:$J$40,MATCH(D75,'Config'!$I$6:$I$40,0)),"—"))</f>
        <v/>
      </c>
      <c r="K75" s="138" t="str">
        <f>IF(COUNTA(B75:F75)=0,"",IF(OR(B75="",C75="",D75="",F75=""),"▲ Completar","✔"))</f>
        <v/>
      </c>
    </row>
    <row r="76">
      <c r="B76" s="130" t="n"/>
      <c r="C76" s="129" t="n"/>
      <c r="D76" s="129" t="n"/>
      <c r="E76" s="129" t="n"/>
      <c r="F76" s="145" t="n"/>
      <c r="G76" s="129" t="n"/>
      <c r="H76" s="129" t="n"/>
      <c r="I76" s="129" t="n"/>
      <c r="J76" s="138" t="str">
        <f>IF(C76&lt;&gt;"Despesa","",IFERROR(INDEX('Config'!$J$6:$J$40,MATCH(D76,'Config'!$I$6:$I$40,0)),"—"))</f>
        <v/>
      </c>
      <c r="K76" s="138" t="str">
        <f>IF(COUNTA(B76:F76)=0,"",IF(OR(B76="",C76="",D76="",F76=""),"▲ Completar","✔"))</f>
        <v/>
      </c>
    </row>
    <row r="77">
      <c r="B77" s="130" t="n"/>
      <c r="C77" s="129" t="n"/>
      <c r="D77" s="129" t="n"/>
      <c r="E77" s="129" t="n"/>
      <c r="F77" s="145" t="n"/>
      <c r="G77" s="129" t="n"/>
      <c r="H77" s="129" t="n"/>
      <c r="I77" s="129" t="n"/>
      <c r="J77" s="138" t="str">
        <f>IF(C77&lt;&gt;"Despesa","",IFERROR(INDEX('Config'!$J$6:$J$40,MATCH(D77,'Config'!$I$6:$I$40,0)),"—"))</f>
        <v/>
      </c>
      <c r="K77" s="138" t="str">
        <f>IF(COUNTA(B77:F77)=0,"",IF(OR(B77="",C77="",D77="",F77=""),"▲ Completar","✔"))</f>
        <v/>
      </c>
    </row>
    <row r="78">
      <c r="B78" s="130" t="n"/>
      <c r="C78" s="129" t="n"/>
      <c r="D78" s="129" t="n"/>
      <c r="E78" s="129" t="n"/>
      <c r="F78" s="145" t="n"/>
      <c r="G78" s="129" t="n"/>
      <c r="H78" s="129" t="n"/>
      <c r="I78" s="129" t="n"/>
      <c r="J78" s="138" t="str">
        <f>IF(C78&lt;&gt;"Despesa","",IFERROR(INDEX('Config'!$J$6:$J$40,MATCH(D78,'Config'!$I$6:$I$40,0)),"—"))</f>
        <v/>
      </c>
      <c r="K78" s="138" t="str">
        <f>IF(COUNTA(B78:F78)=0,"",IF(OR(B78="",C78="",D78="",F78=""),"▲ Completar","✔"))</f>
        <v/>
      </c>
    </row>
    <row r="79">
      <c r="B79" s="130" t="n"/>
      <c r="C79" s="129" t="n"/>
      <c r="D79" s="129" t="n"/>
      <c r="E79" s="129" t="n"/>
      <c r="F79" s="145" t="n"/>
      <c r="G79" s="129" t="n"/>
      <c r="H79" s="129" t="n"/>
      <c r="I79" s="129" t="n"/>
      <c r="J79" s="138" t="str">
        <f>IF(C79&lt;&gt;"Despesa","",IFERROR(INDEX('Config'!$J$6:$J$40,MATCH(D79,'Config'!$I$6:$I$40,0)),"—"))</f>
        <v/>
      </c>
      <c r="K79" s="138" t="str">
        <f>IF(COUNTA(B79:F79)=0,"",IF(OR(B79="",C79="",D79="",F79=""),"▲ Completar","✔"))</f>
        <v/>
      </c>
    </row>
    <row r="80">
      <c r="B80" s="130" t="n"/>
      <c r="C80" s="129" t="n"/>
      <c r="D80" s="129" t="n"/>
      <c r="E80" s="129" t="n"/>
      <c r="F80" s="145" t="n"/>
      <c r="G80" s="129" t="n"/>
      <c r="H80" s="129" t="n"/>
      <c r="I80" s="129" t="n"/>
      <c r="J80" s="138" t="str">
        <f>IF(C80&lt;&gt;"Despesa","",IFERROR(INDEX('Config'!$J$6:$J$40,MATCH(D80,'Config'!$I$6:$I$40,0)),"—"))</f>
        <v/>
      </c>
      <c r="K80" s="138" t="str">
        <f>IF(COUNTA(B80:F80)=0,"",IF(OR(B80="",C80="",D80="",F80=""),"▲ Completar","✔"))</f>
        <v/>
      </c>
    </row>
    <row r="81">
      <c r="B81" s="130" t="n"/>
      <c r="C81" s="129" t="n"/>
      <c r="D81" s="129" t="n"/>
      <c r="E81" s="129" t="n"/>
      <c r="F81" s="145" t="n"/>
      <c r="G81" s="129" t="n"/>
      <c r="H81" s="129" t="n"/>
      <c r="I81" s="129" t="n"/>
      <c r="J81" s="138" t="str">
        <f>IF(C81&lt;&gt;"Despesa","",IFERROR(INDEX('Config'!$J$6:$J$40,MATCH(D81,'Config'!$I$6:$I$40,0)),"—"))</f>
        <v/>
      </c>
      <c r="K81" s="138" t="str">
        <f>IF(COUNTA(B81:F81)=0,"",IF(OR(B81="",C81="",D81="",F81=""),"▲ Completar","✔"))</f>
        <v/>
      </c>
    </row>
    <row r="82">
      <c r="B82" s="130" t="n"/>
      <c r="C82" s="129" t="n"/>
      <c r="D82" s="129" t="n"/>
      <c r="E82" s="129" t="n"/>
      <c r="F82" s="145" t="n"/>
      <c r="G82" s="129" t="n"/>
      <c r="H82" s="129" t="n"/>
      <c r="I82" s="129" t="n"/>
      <c r="J82" s="138" t="str">
        <f>IF(C82&lt;&gt;"Despesa","",IFERROR(INDEX('Config'!$J$6:$J$40,MATCH(D82,'Config'!$I$6:$I$40,0)),"—"))</f>
        <v/>
      </c>
      <c r="K82" s="138" t="str">
        <f>IF(COUNTA(B82:F82)=0,"",IF(OR(B82="",C82="",D82="",F82=""),"▲ Completar","✔"))</f>
        <v/>
      </c>
    </row>
    <row r="83">
      <c r="B83" s="130" t="n"/>
      <c r="C83" s="129" t="n"/>
      <c r="D83" s="129" t="n"/>
      <c r="E83" s="129" t="n"/>
      <c r="F83" s="145" t="n"/>
      <c r="G83" s="129" t="n"/>
      <c r="H83" s="129" t="n"/>
      <c r="I83" s="129" t="n"/>
      <c r="J83" s="138" t="str">
        <f>IF(C83&lt;&gt;"Despesa","",IFERROR(INDEX('Config'!$J$6:$J$40,MATCH(D83,'Config'!$I$6:$I$40,0)),"—"))</f>
        <v/>
      </c>
      <c r="K83" s="138" t="str">
        <f>IF(COUNTA(B83:F83)=0,"",IF(OR(B83="",C83="",D83="",F83=""),"▲ Completar","✔"))</f>
        <v/>
      </c>
    </row>
    <row r="84">
      <c r="B84" s="130" t="n"/>
      <c r="C84" s="129" t="n"/>
      <c r="D84" s="129" t="n"/>
      <c r="E84" s="129" t="n"/>
      <c r="F84" s="145" t="n"/>
      <c r="G84" s="129" t="n"/>
      <c r="H84" s="129" t="n"/>
      <c r="I84" s="129" t="n"/>
      <c r="J84" s="138" t="str">
        <f>IF(C84&lt;&gt;"Despesa","",IFERROR(INDEX('Config'!$J$6:$J$40,MATCH(D84,'Config'!$I$6:$I$40,0)),"—"))</f>
        <v/>
      </c>
      <c r="K84" s="138" t="str">
        <f>IF(COUNTA(B84:F84)=0,"",IF(OR(B84="",C84="",D84="",F84=""),"▲ Completar","✔"))</f>
        <v/>
      </c>
    </row>
    <row r="85">
      <c r="B85" s="130" t="n"/>
      <c r="C85" s="129" t="n"/>
      <c r="D85" s="129" t="n"/>
      <c r="E85" s="129" t="n"/>
      <c r="F85" s="145" t="n"/>
      <c r="G85" s="129" t="n"/>
      <c r="H85" s="129" t="n"/>
      <c r="I85" s="129" t="n"/>
      <c r="J85" s="138" t="str">
        <f>IF(C85&lt;&gt;"Despesa","",IFERROR(INDEX('Config'!$J$6:$J$40,MATCH(D85,'Config'!$I$6:$I$40,0)),"—"))</f>
        <v/>
      </c>
      <c r="K85" s="138" t="str">
        <f>IF(COUNTA(B85:F85)=0,"",IF(OR(B85="",C85="",D85="",F85=""),"▲ Completar","✔"))</f>
        <v/>
      </c>
    </row>
    <row r="86">
      <c r="B86" s="130" t="n"/>
      <c r="C86" s="129" t="n"/>
      <c r="D86" s="129" t="n"/>
      <c r="E86" s="129" t="n"/>
      <c r="F86" s="145" t="n"/>
      <c r="G86" s="129" t="n"/>
      <c r="H86" s="129" t="n"/>
      <c r="I86" s="129" t="n"/>
      <c r="J86" s="138" t="str">
        <f>IF(C86&lt;&gt;"Despesa","",IFERROR(INDEX('Config'!$J$6:$J$40,MATCH(D86,'Config'!$I$6:$I$40,0)),"—"))</f>
        <v/>
      </c>
      <c r="K86" s="138" t="str">
        <f>IF(COUNTA(B86:F86)=0,"",IF(OR(B86="",C86="",D86="",F86=""),"▲ Completar","✔"))</f>
        <v/>
      </c>
    </row>
    <row r="87">
      <c r="B87" s="130" t="n"/>
      <c r="C87" s="129" t="n"/>
      <c r="D87" s="129" t="n"/>
      <c r="E87" s="129" t="n"/>
      <c r="F87" s="145" t="n"/>
      <c r="G87" s="129" t="n"/>
      <c r="H87" s="129" t="n"/>
      <c r="I87" s="129" t="n"/>
      <c r="J87" s="138" t="str">
        <f>IF(C87&lt;&gt;"Despesa","",IFERROR(INDEX('Config'!$J$6:$J$40,MATCH(D87,'Config'!$I$6:$I$40,0)),"—"))</f>
        <v/>
      </c>
      <c r="K87" s="138" t="str">
        <f>IF(COUNTA(B87:F87)=0,"",IF(OR(B87="",C87="",D87="",F87=""),"▲ Completar","✔"))</f>
        <v/>
      </c>
    </row>
    <row r="88">
      <c r="B88" s="130" t="n"/>
      <c r="C88" s="129" t="n"/>
      <c r="D88" s="129" t="n"/>
      <c r="E88" s="129" t="n"/>
      <c r="F88" s="145" t="n"/>
      <c r="G88" s="129" t="n"/>
      <c r="H88" s="129" t="n"/>
      <c r="I88" s="129" t="n"/>
      <c r="J88" s="138" t="str">
        <f>IF(C88&lt;&gt;"Despesa","",IFERROR(INDEX('Config'!$J$6:$J$40,MATCH(D88,'Config'!$I$6:$I$40,0)),"—"))</f>
        <v/>
      </c>
      <c r="K88" s="138" t="str">
        <f>IF(COUNTA(B88:F88)=0,"",IF(OR(B88="",C88="",D88="",F88=""),"▲ Completar","✔"))</f>
        <v/>
      </c>
    </row>
    <row r="89">
      <c r="B89" s="130" t="n"/>
      <c r="C89" s="129" t="n"/>
      <c r="D89" s="129" t="n"/>
      <c r="E89" s="129" t="n"/>
      <c r="F89" s="145" t="n"/>
      <c r="G89" s="129" t="n"/>
      <c r="H89" s="129" t="n"/>
      <c r="I89" s="129" t="n"/>
      <c r="J89" s="138" t="str">
        <f>IF(C89&lt;&gt;"Despesa","",IFERROR(INDEX('Config'!$J$6:$J$40,MATCH(D89,'Config'!$I$6:$I$40,0)),"—"))</f>
        <v/>
      </c>
      <c r="K89" s="138" t="str">
        <f>IF(COUNTA(B89:F89)=0,"",IF(OR(B89="",C89="",D89="",F89=""),"▲ Completar","✔"))</f>
        <v/>
      </c>
    </row>
    <row r="90">
      <c r="B90" s="130" t="n"/>
      <c r="C90" s="129" t="n"/>
      <c r="D90" s="129" t="n"/>
      <c r="E90" s="129" t="n"/>
      <c r="F90" s="145" t="n"/>
      <c r="G90" s="129" t="n"/>
      <c r="H90" s="129" t="n"/>
      <c r="I90" s="129" t="n"/>
      <c r="J90" s="138" t="str">
        <f>IF(C90&lt;&gt;"Despesa","",IFERROR(INDEX('Config'!$J$6:$J$40,MATCH(D90,'Config'!$I$6:$I$40,0)),"—"))</f>
        <v/>
      </c>
      <c r="K90" s="138" t="str">
        <f>IF(COUNTA(B90:F90)=0,"",IF(OR(B90="",C90="",D90="",F90=""),"▲ Completar","✔"))</f>
        <v/>
      </c>
    </row>
    <row r="91">
      <c r="B91" s="130" t="n"/>
      <c r="C91" s="129" t="n"/>
      <c r="D91" s="129" t="n"/>
      <c r="E91" s="129" t="n"/>
      <c r="F91" s="145" t="n"/>
      <c r="G91" s="129" t="n"/>
      <c r="H91" s="129" t="n"/>
      <c r="I91" s="129" t="n"/>
      <c r="J91" s="138" t="str">
        <f>IF(C91&lt;&gt;"Despesa","",IFERROR(INDEX('Config'!$J$6:$J$40,MATCH(D91,'Config'!$I$6:$I$40,0)),"—"))</f>
        <v/>
      </c>
      <c r="K91" s="138" t="str">
        <f>IF(COUNTA(B91:F91)=0,"",IF(OR(B91="",C91="",D91="",F91=""),"▲ Completar","✔"))</f>
        <v/>
      </c>
    </row>
    <row r="92">
      <c r="B92" s="130" t="n"/>
      <c r="C92" s="129" t="n"/>
      <c r="D92" s="129" t="n"/>
      <c r="E92" s="129" t="n"/>
      <c r="F92" s="145" t="n"/>
      <c r="G92" s="129" t="n"/>
      <c r="H92" s="129" t="n"/>
      <c r="I92" s="129" t="n"/>
      <c r="J92" s="138" t="str">
        <f>IF(C92&lt;&gt;"Despesa","",IFERROR(INDEX('Config'!$J$6:$J$40,MATCH(D92,'Config'!$I$6:$I$40,0)),"—"))</f>
        <v/>
      </c>
      <c r="K92" s="138" t="str">
        <f>IF(COUNTA(B92:F92)=0,"",IF(OR(B92="",C92="",D92="",F92=""),"▲ Completar","✔"))</f>
        <v/>
      </c>
    </row>
    <row r="93">
      <c r="B93" s="130" t="n"/>
      <c r="C93" s="129" t="n"/>
      <c r="D93" s="129" t="n"/>
      <c r="E93" s="129" t="n"/>
      <c r="F93" s="145" t="n"/>
      <c r="G93" s="129" t="n"/>
      <c r="H93" s="129" t="n"/>
      <c r="I93" s="129" t="n"/>
      <c r="J93" s="138" t="str">
        <f>IF(C93&lt;&gt;"Despesa","",IFERROR(INDEX('Config'!$J$6:$J$40,MATCH(D93,'Config'!$I$6:$I$40,0)),"—"))</f>
        <v/>
      </c>
      <c r="K93" s="138" t="str">
        <f>IF(COUNTA(B93:F93)=0,"",IF(OR(B93="",C93="",D93="",F93=""),"▲ Completar","✔"))</f>
        <v/>
      </c>
    </row>
    <row r="94">
      <c r="B94" s="130" t="n"/>
      <c r="C94" s="129" t="n"/>
      <c r="D94" s="129" t="n"/>
      <c r="E94" s="129" t="n"/>
      <c r="F94" s="145" t="n"/>
      <c r="G94" s="129" t="n"/>
      <c r="H94" s="129" t="n"/>
      <c r="I94" s="129" t="n"/>
      <c r="J94" s="138" t="str">
        <f>IF(C94&lt;&gt;"Despesa","",IFERROR(INDEX('Config'!$J$6:$J$40,MATCH(D94,'Config'!$I$6:$I$40,0)),"—"))</f>
        <v/>
      </c>
      <c r="K94" s="138" t="str">
        <f>IF(COUNTA(B94:F94)=0,"",IF(OR(B94="",C94="",D94="",F94=""),"▲ Completar","✔"))</f>
        <v/>
      </c>
    </row>
    <row r="95">
      <c r="B95" s="130" t="n"/>
      <c r="C95" s="129" t="n"/>
      <c r="D95" s="129" t="n"/>
      <c r="E95" s="129" t="n"/>
      <c r="F95" s="145" t="n"/>
      <c r="G95" s="129" t="n"/>
      <c r="H95" s="129" t="n"/>
      <c r="I95" s="129" t="n"/>
      <c r="J95" s="138" t="str">
        <f>IF(C95&lt;&gt;"Despesa","",IFERROR(INDEX('Config'!$J$6:$J$40,MATCH(D95,'Config'!$I$6:$I$40,0)),"—"))</f>
        <v/>
      </c>
      <c r="K95" s="138" t="str">
        <f>IF(COUNTA(B95:F95)=0,"",IF(OR(B95="",C95="",D95="",F95=""),"▲ Completar","✔"))</f>
        <v/>
      </c>
    </row>
    <row r="96">
      <c r="B96" s="130" t="n"/>
      <c r="C96" s="129" t="n"/>
      <c r="D96" s="129" t="n"/>
      <c r="E96" s="129" t="n"/>
      <c r="F96" s="145" t="n"/>
      <c r="G96" s="129" t="n"/>
      <c r="H96" s="129" t="n"/>
      <c r="I96" s="129" t="n"/>
      <c r="J96" s="138" t="str">
        <f>IF(C96&lt;&gt;"Despesa","",IFERROR(INDEX('Config'!$J$6:$J$40,MATCH(D96,'Config'!$I$6:$I$40,0)),"—"))</f>
        <v/>
      </c>
      <c r="K96" s="138" t="str">
        <f>IF(COUNTA(B96:F96)=0,"",IF(OR(B96="",C96="",D96="",F96=""),"▲ Completar","✔"))</f>
        <v/>
      </c>
    </row>
    <row r="97">
      <c r="B97" s="130" t="n"/>
      <c r="C97" s="129" t="n"/>
      <c r="D97" s="129" t="n"/>
      <c r="E97" s="129" t="n"/>
      <c r="F97" s="145" t="n"/>
      <c r="G97" s="129" t="n"/>
      <c r="H97" s="129" t="n"/>
      <c r="I97" s="129" t="n"/>
      <c r="J97" s="138" t="str">
        <f>IF(C97&lt;&gt;"Despesa","",IFERROR(INDEX('Config'!$J$6:$J$40,MATCH(D97,'Config'!$I$6:$I$40,0)),"—"))</f>
        <v/>
      </c>
      <c r="K97" s="138" t="str">
        <f>IF(COUNTA(B97:F97)=0,"",IF(OR(B97="",C97="",D97="",F97=""),"▲ Completar","✔"))</f>
        <v/>
      </c>
    </row>
    <row r="98">
      <c r="B98" s="130" t="n"/>
      <c r="C98" s="129" t="n"/>
      <c r="D98" s="129" t="n"/>
      <c r="E98" s="129" t="n"/>
      <c r="F98" s="145" t="n"/>
      <c r="G98" s="129" t="n"/>
      <c r="H98" s="129" t="n"/>
      <c r="I98" s="129" t="n"/>
      <c r="J98" s="138" t="str">
        <f>IF(C98&lt;&gt;"Despesa","",IFERROR(INDEX('Config'!$J$6:$J$40,MATCH(D98,'Config'!$I$6:$I$40,0)),"—"))</f>
        <v/>
      </c>
      <c r="K98" s="138" t="str">
        <f>IF(COUNTA(B98:F98)=0,"",IF(OR(B98="",C98="",D98="",F98=""),"▲ Completar","✔"))</f>
        <v/>
      </c>
    </row>
    <row r="99">
      <c r="B99" s="130" t="n"/>
      <c r="C99" s="129" t="n"/>
      <c r="D99" s="129" t="n"/>
      <c r="E99" s="129" t="n"/>
      <c r="F99" s="145" t="n"/>
      <c r="G99" s="129" t="n"/>
      <c r="H99" s="129" t="n"/>
      <c r="I99" s="129" t="n"/>
      <c r="J99" s="138" t="str">
        <f>IF(C99&lt;&gt;"Despesa","",IFERROR(INDEX('Config'!$J$6:$J$40,MATCH(D99,'Config'!$I$6:$I$40,0)),"—"))</f>
        <v/>
      </c>
      <c r="K99" s="138" t="str">
        <f>IF(COUNTA(B99:F99)=0,"",IF(OR(B99="",C99="",D99="",F99=""),"▲ Completar","✔"))</f>
        <v/>
      </c>
    </row>
    <row r="100">
      <c r="B100" s="130" t="n"/>
      <c r="C100" s="129" t="n"/>
      <c r="D100" s="129" t="n"/>
      <c r="E100" s="129" t="n"/>
      <c r="F100" s="145" t="n"/>
      <c r="G100" s="129" t="n"/>
      <c r="H100" s="129" t="n"/>
      <c r="I100" s="129" t="n"/>
      <c r="J100" s="138" t="str">
        <f>IF(C100&lt;&gt;"Despesa","",IFERROR(INDEX('Config'!$J$6:$J$40,MATCH(D100,'Config'!$I$6:$I$40,0)),"—"))</f>
        <v/>
      </c>
      <c r="K100" s="138" t="str">
        <f>IF(COUNTA(B100:F100)=0,"",IF(OR(B100="",C100="",D100="",F100=""),"▲ Completar","✔"))</f>
        <v/>
      </c>
    </row>
    <row r="101">
      <c r="B101" s="130" t="n"/>
      <c r="C101" s="129" t="n"/>
      <c r="D101" s="129" t="n"/>
      <c r="E101" s="129" t="n"/>
      <c r="F101" s="145" t="n"/>
      <c r="G101" s="129" t="n"/>
      <c r="H101" s="129" t="n"/>
      <c r="I101" s="129" t="n"/>
      <c r="J101" s="138" t="str">
        <f>IF(C101&lt;&gt;"Despesa","",IFERROR(INDEX('Config'!$J$6:$J$40,MATCH(D101,'Config'!$I$6:$I$40,0)),"—"))</f>
        <v/>
      </c>
      <c r="K101" s="138" t="str">
        <f>IF(COUNTA(B101:F101)=0,"",IF(OR(B101="",C101="",D101="",F101=""),"▲ Completar","✔"))</f>
        <v/>
      </c>
    </row>
    <row r="102">
      <c r="B102" s="130" t="n"/>
      <c r="C102" s="129" t="n"/>
      <c r="D102" s="129" t="n"/>
      <c r="E102" s="129" t="n"/>
      <c r="F102" s="145" t="n"/>
      <c r="G102" s="129" t="n"/>
      <c r="H102" s="129" t="n"/>
      <c r="I102" s="129" t="n"/>
      <c r="J102" s="138" t="str">
        <f>IF(C102&lt;&gt;"Despesa","",IFERROR(INDEX('Config'!$J$6:$J$40,MATCH(D102,'Config'!$I$6:$I$40,0)),"—"))</f>
        <v/>
      </c>
      <c r="K102" s="138" t="str">
        <f>IF(COUNTA(B102:F102)=0,"",IF(OR(B102="",C102="",D102="",F102=""),"▲ Completar","✔"))</f>
        <v/>
      </c>
    </row>
    <row r="103">
      <c r="B103" s="130" t="n"/>
      <c r="C103" s="129" t="n"/>
      <c r="D103" s="129" t="n"/>
      <c r="E103" s="129" t="n"/>
      <c r="F103" s="145" t="n"/>
      <c r="G103" s="129" t="n"/>
      <c r="H103" s="129" t="n"/>
      <c r="I103" s="129" t="n"/>
      <c r="J103" s="138" t="str">
        <f>IF(C103&lt;&gt;"Despesa","",IFERROR(INDEX('Config'!$J$6:$J$40,MATCH(D103,'Config'!$I$6:$I$40,0)),"—"))</f>
        <v/>
      </c>
      <c r="K103" s="138" t="str">
        <f>IF(COUNTA(B103:F103)=0,"",IF(OR(B103="",C103="",D103="",F103=""),"▲ Completar","✔"))</f>
        <v/>
      </c>
    </row>
    <row r="104">
      <c r="B104" s="130" t="n"/>
      <c r="C104" s="129" t="n"/>
      <c r="D104" s="129" t="n"/>
      <c r="E104" s="129" t="n"/>
      <c r="F104" s="145" t="n"/>
      <c r="G104" s="129" t="n"/>
      <c r="H104" s="129" t="n"/>
      <c r="I104" s="129" t="n"/>
      <c r="J104" s="138" t="str">
        <f>IF(C104&lt;&gt;"Despesa","",IFERROR(INDEX('Config'!$J$6:$J$40,MATCH(D104,'Config'!$I$6:$I$40,0)),"—"))</f>
        <v/>
      </c>
      <c r="K104" s="138" t="str">
        <f>IF(COUNTA(B104:F104)=0,"",IF(OR(B104="",C104="",D104="",F104=""),"▲ Completar","✔"))</f>
        <v/>
      </c>
    </row>
    <row r="105">
      <c r="B105" s="130" t="n"/>
      <c r="C105" s="129" t="n"/>
      <c r="D105" s="129" t="n"/>
      <c r="E105" s="129" t="n"/>
      <c r="F105" s="145" t="n"/>
      <c r="G105" s="129" t="n"/>
      <c r="H105" s="129" t="n"/>
      <c r="I105" s="129" t="n"/>
      <c r="J105" s="138" t="str">
        <f>IF(C105&lt;&gt;"Despesa","",IFERROR(INDEX('Config'!$J$6:$J$40,MATCH(D105,'Config'!$I$6:$I$40,0)),"—"))</f>
        <v/>
      </c>
      <c r="K105" s="138" t="str">
        <f>IF(COUNTA(B105:F105)=0,"",IF(OR(B105="",C105="",D105="",F105=""),"▲ Completar","✔"))</f>
        <v/>
      </c>
    </row>
    <row r="106">
      <c r="B106" s="130" t="n"/>
      <c r="C106" s="129" t="n"/>
      <c r="D106" s="129" t="n"/>
      <c r="E106" s="129" t="n"/>
      <c r="F106" s="145" t="n"/>
      <c r="G106" s="129" t="n"/>
      <c r="H106" s="129" t="n"/>
      <c r="I106" s="129" t="n"/>
      <c r="J106" s="138" t="str">
        <f>IF(C106&lt;&gt;"Despesa","",IFERROR(INDEX('Config'!$J$6:$J$40,MATCH(D106,'Config'!$I$6:$I$40,0)),"—"))</f>
        <v/>
      </c>
      <c r="K106" s="138" t="str">
        <f>IF(COUNTA(B106:F106)=0,"",IF(OR(B106="",C106="",D106="",F106=""),"▲ Completar","✔"))</f>
        <v/>
      </c>
    </row>
    <row r="107">
      <c r="B107" s="130" t="n"/>
      <c r="C107" s="129" t="n"/>
      <c r="D107" s="129" t="n"/>
      <c r="E107" s="129" t="n"/>
      <c r="F107" s="145" t="n"/>
      <c r="G107" s="129" t="n"/>
      <c r="H107" s="129" t="n"/>
      <c r="I107" s="129" t="n"/>
      <c r="J107" s="138" t="str">
        <f>IF(C107&lt;&gt;"Despesa","",IFERROR(INDEX('Config'!$J$6:$J$40,MATCH(D107,'Config'!$I$6:$I$40,0)),"—"))</f>
        <v/>
      </c>
      <c r="K107" s="138" t="str">
        <f>IF(COUNTA(B107:F107)=0,"",IF(OR(B107="",C107="",D107="",F107=""),"▲ Completar","✔"))</f>
        <v/>
      </c>
    </row>
    <row r="108">
      <c r="B108" s="130" t="n"/>
      <c r="C108" s="129" t="n"/>
      <c r="D108" s="129" t="n"/>
      <c r="E108" s="129" t="n"/>
      <c r="F108" s="145" t="n"/>
      <c r="G108" s="129" t="n"/>
      <c r="H108" s="129" t="n"/>
      <c r="I108" s="129" t="n"/>
      <c r="J108" s="138" t="str">
        <f>IF(C108&lt;&gt;"Despesa","",IFERROR(INDEX('Config'!$J$6:$J$40,MATCH(D108,'Config'!$I$6:$I$40,0)),"—"))</f>
        <v/>
      </c>
      <c r="K108" s="138" t="str">
        <f>IF(COUNTA(B108:F108)=0,"",IF(OR(B108="",C108="",D108="",F108=""),"▲ Completar","✔"))</f>
        <v/>
      </c>
    </row>
    <row r="109">
      <c r="B109" s="130" t="n"/>
      <c r="C109" s="129" t="n"/>
      <c r="D109" s="129" t="n"/>
      <c r="E109" s="129" t="n"/>
      <c r="F109" s="145" t="n"/>
      <c r="G109" s="129" t="n"/>
      <c r="H109" s="129" t="n"/>
      <c r="I109" s="129" t="n"/>
      <c r="J109" s="138" t="str">
        <f>IF(C109&lt;&gt;"Despesa","",IFERROR(INDEX('Config'!$J$6:$J$40,MATCH(D109,'Config'!$I$6:$I$40,0)),"—"))</f>
        <v/>
      </c>
      <c r="K109" s="138" t="str">
        <f>IF(COUNTA(B109:F109)=0,"",IF(OR(B109="",C109="",D109="",F109=""),"▲ Completar","✔"))</f>
        <v/>
      </c>
    </row>
    <row r="110">
      <c r="B110" s="130" t="n"/>
      <c r="C110" s="129" t="n"/>
      <c r="D110" s="129" t="n"/>
      <c r="E110" s="129" t="n"/>
      <c r="F110" s="145" t="n"/>
      <c r="G110" s="129" t="n"/>
      <c r="H110" s="129" t="n"/>
      <c r="I110" s="129" t="n"/>
      <c r="J110" s="138" t="str">
        <f>IF(C110&lt;&gt;"Despesa","",IFERROR(INDEX('Config'!$J$6:$J$40,MATCH(D110,'Config'!$I$6:$I$40,0)),"—"))</f>
        <v/>
      </c>
      <c r="K110" s="138" t="str">
        <f>IF(COUNTA(B110:F110)=0,"",IF(OR(B110="",C110="",D110="",F110=""),"▲ Completar","✔"))</f>
        <v/>
      </c>
    </row>
    <row r="111">
      <c r="B111" s="130" t="n"/>
      <c r="C111" s="129" t="n"/>
      <c r="D111" s="129" t="n"/>
      <c r="E111" s="129" t="n"/>
      <c r="F111" s="145" t="n"/>
      <c r="G111" s="129" t="n"/>
      <c r="H111" s="129" t="n"/>
      <c r="I111" s="129" t="n"/>
      <c r="J111" s="138" t="str">
        <f>IF(C111&lt;&gt;"Despesa","",IFERROR(INDEX('Config'!$J$6:$J$40,MATCH(D111,'Config'!$I$6:$I$40,0)),"—"))</f>
        <v/>
      </c>
      <c r="K111" s="138" t="str">
        <f>IF(COUNTA(B111:F111)=0,"",IF(OR(B111="",C111="",D111="",F111=""),"▲ Completar","✔"))</f>
        <v/>
      </c>
    </row>
    <row r="112">
      <c r="B112" s="130" t="n"/>
      <c r="C112" s="129" t="n"/>
      <c r="D112" s="129" t="n"/>
      <c r="E112" s="129" t="n"/>
      <c r="F112" s="145" t="n"/>
      <c r="G112" s="129" t="n"/>
      <c r="H112" s="129" t="n"/>
      <c r="I112" s="129" t="n"/>
      <c r="J112" s="138" t="str">
        <f>IF(C112&lt;&gt;"Despesa","",IFERROR(INDEX('Config'!$J$6:$J$40,MATCH(D112,'Config'!$I$6:$I$40,0)),"—"))</f>
        <v/>
      </c>
      <c r="K112" s="138" t="str">
        <f>IF(COUNTA(B112:F112)=0,"",IF(OR(B112="",C112="",D112="",F112=""),"▲ Completar","✔"))</f>
        <v/>
      </c>
    </row>
    <row r="113">
      <c r="B113" s="130" t="n"/>
      <c r="C113" s="129" t="n"/>
      <c r="D113" s="129" t="n"/>
      <c r="E113" s="129" t="n"/>
      <c r="F113" s="145" t="n"/>
      <c r="G113" s="129" t="n"/>
      <c r="H113" s="129" t="n"/>
      <c r="I113" s="129" t="n"/>
      <c r="J113" s="138" t="str">
        <f>IF(C113&lt;&gt;"Despesa","",IFERROR(INDEX('Config'!$J$6:$J$40,MATCH(D113,'Config'!$I$6:$I$40,0)),"—"))</f>
        <v/>
      </c>
      <c r="K113" s="138" t="str">
        <f>IF(COUNTA(B113:F113)=0,"",IF(OR(B113="",C113="",D113="",F113=""),"▲ Completar","✔"))</f>
        <v/>
      </c>
    </row>
    <row r="114">
      <c r="B114" s="130" t="n"/>
      <c r="C114" s="129" t="n"/>
      <c r="D114" s="129" t="n"/>
      <c r="E114" s="129" t="n"/>
      <c r="F114" s="145" t="n"/>
      <c r="G114" s="129" t="n"/>
      <c r="H114" s="129" t="n"/>
      <c r="I114" s="129" t="n"/>
      <c r="J114" s="138" t="str">
        <f>IF(C114&lt;&gt;"Despesa","",IFERROR(INDEX('Config'!$J$6:$J$40,MATCH(D114,'Config'!$I$6:$I$40,0)),"—"))</f>
        <v/>
      </c>
      <c r="K114" s="138" t="str">
        <f>IF(COUNTA(B114:F114)=0,"",IF(OR(B114="",C114="",D114="",F114=""),"▲ Completar","✔"))</f>
        <v/>
      </c>
    </row>
    <row r="115">
      <c r="B115" s="130" t="n"/>
      <c r="C115" s="129" t="n"/>
      <c r="D115" s="129" t="n"/>
      <c r="E115" s="129" t="n"/>
      <c r="F115" s="145" t="n"/>
      <c r="G115" s="129" t="n"/>
      <c r="H115" s="129" t="n"/>
      <c r="I115" s="129" t="n"/>
      <c r="J115" s="138" t="str">
        <f>IF(C115&lt;&gt;"Despesa","",IFERROR(INDEX('Config'!$J$6:$J$40,MATCH(D115,'Config'!$I$6:$I$40,0)),"—"))</f>
        <v/>
      </c>
      <c r="K115" s="138" t="str">
        <f>IF(COUNTA(B115:F115)=0,"",IF(OR(B115="",C115="",D115="",F115=""),"▲ Completar","✔"))</f>
        <v/>
      </c>
    </row>
    <row r="116">
      <c r="B116" s="130" t="n"/>
      <c r="C116" s="129" t="n"/>
      <c r="D116" s="129" t="n"/>
      <c r="E116" s="129" t="n"/>
      <c r="F116" s="145" t="n"/>
      <c r="G116" s="129" t="n"/>
      <c r="H116" s="129" t="n"/>
      <c r="I116" s="129" t="n"/>
      <c r="J116" s="138" t="str">
        <f>IF(C116&lt;&gt;"Despesa","",IFERROR(INDEX('Config'!$J$6:$J$40,MATCH(D116,'Config'!$I$6:$I$40,0)),"—"))</f>
        <v/>
      </c>
      <c r="K116" s="138" t="str">
        <f>IF(COUNTA(B116:F116)=0,"",IF(OR(B116="",C116="",D116="",F116=""),"▲ Completar","✔"))</f>
        <v/>
      </c>
    </row>
    <row r="117">
      <c r="B117" s="130" t="n"/>
      <c r="C117" s="129" t="n"/>
      <c r="D117" s="129" t="n"/>
      <c r="E117" s="129" t="n"/>
      <c r="F117" s="145" t="n"/>
      <c r="G117" s="129" t="n"/>
      <c r="H117" s="129" t="n"/>
      <c r="I117" s="129" t="n"/>
      <c r="J117" s="138" t="str">
        <f>IF(C117&lt;&gt;"Despesa","",IFERROR(INDEX('Config'!$J$6:$J$40,MATCH(D117,'Config'!$I$6:$I$40,0)),"—"))</f>
        <v/>
      </c>
      <c r="K117" s="138" t="str">
        <f>IF(COUNTA(B117:F117)=0,"",IF(OR(B117="",C117="",D117="",F117=""),"▲ Completar","✔"))</f>
        <v/>
      </c>
    </row>
    <row r="118">
      <c r="B118" s="130" t="n"/>
      <c r="C118" s="129" t="n"/>
      <c r="D118" s="129" t="n"/>
      <c r="E118" s="129" t="n"/>
      <c r="F118" s="145" t="n"/>
      <c r="G118" s="129" t="n"/>
      <c r="H118" s="129" t="n"/>
      <c r="I118" s="129" t="n"/>
      <c r="J118" s="138" t="str">
        <f>IF(C118&lt;&gt;"Despesa","",IFERROR(INDEX('Config'!$J$6:$J$40,MATCH(D118,'Config'!$I$6:$I$40,0)),"—"))</f>
        <v/>
      </c>
      <c r="K118" s="138" t="str">
        <f>IF(COUNTA(B118:F118)=0,"",IF(OR(B118="",C118="",D118="",F118=""),"▲ Completar","✔"))</f>
        <v/>
      </c>
    </row>
    <row r="119">
      <c r="B119" s="130" t="n"/>
      <c r="C119" s="129" t="n"/>
      <c r="D119" s="129" t="n"/>
      <c r="E119" s="129" t="n"/>
      <c r="F119" s="145" t="n"/>
      <c r="G119" s="129" t="n"/>
      <c r="H119" s="129" t="n"/>
      <c r="I119" s="129" t="n"/>
      <c r="J119" s="138" t="str">
        <f>IF(C119&lt;&gt;"Despesa","",IFERROR(INDEX('Config'!$J$6:$J$40,MATCH(D119,'Config'!$I$6:$I$40,0)),"—"))</f>
        <v/>
      </c>
      <c r="K119" s="138" t="str">
        <f>IF(COUNTA(B119:F119)=0,"",IF(OR(B119="",C119="",D119="",F119=""),"▲ Completar","✔"))</f>
        <v/>
      </c>
    </row>
    <row r="120">
      <c r="B120" s="130" t="n"/>
      <c r="C120" s="129" t="n"/>
      <c r="D120" s="129" t="n"/>
      <c r="E120" s="129" t="n"/>
      <c r="F120" s="145" t="n"/>
      <c r="G120" s="129" t="n"/>
      <c r="H120" s="129" t="n"/>
      <c r="I120" s="129" t="n"/>
      <c r="J120" s="138" t="str">
        <f>IF(C120&lt;&gt;"Despesa","",IFERROR(INDEX('Config'!$J$6:$J$40,MATCH(D120,'Config'!$I$6:$I$40,0)),"—"))</f>
        <v/>
      </c>
      <c r="K120" s="138" t="str">
        <f>IF(COUNTA(B120:F120)=0,"",IF(OR(B120="",C120="",D120="",F120=""),"▲ Completar","✔"))</f>
        <v/>
      </c>
    </row>
    <row r="121">
      <c r="B121" s="130" t="n"/>
      <c r="C121" s="129" t="n"/>
      <c r="D121" s="129" t="n"/>
      <c r="E121" s="129" t="n"/>
      <c r="F121" s="145" t="n"/>
      <c r="G121" s="129" t="n"/>
      <c r="H121" s="129" t="n"/>
      <c r="I121" s="129" t="n"/>
      <c r="J121" s="138" t="str">
        <f>IF(C121&lt;&gt;"Despesa","",IFERROR(INDEX('Config'!$J$6:$J$40,MATCH(D121,'Config'!$I$6:$I$40,0)),"—"))</f>
        <v/>
      </c>
      <c r="K121" s="138" t="str">
        <f>IF(COUNTA(B121:F121)=0,"",IF(OR(B121="",C121="",D121="",F121=""),"▲ Completar","✔"))</f>
        <v/>
      </c>
    </row>
    <row r="122">
      <c r="B122" s="130" t="n"/>
      <c r="C122" s="129" t="n"/>
      <c r="D122" s="129" t="n"/>
      <c r="E122" s="129" t="n"/>
      <c r="F122" s="145" t="n"/>
      <c r="G122" s="129" t="n"/>
      <c r="H122" s="129" t="n"/>
      <c r="I122" s="129" t="n"/>
      <c r="J122" s="138" t="str">
        <f>IF(C122&lt;&gt;"Despesa","",IFERROR(INDEX('Config'!$J$6:$J$40,MATCH(D122,'Config'!$I$6:$I$40,0)),"—"))</f>
        <v/>
      </c>
      <c r="K122" s="138" t="str">
        <f>IF(COUNTA(B122:F122)=0,"",IF(OR(B122="",C122="",D122="",F122=""),"▲ Completar","✔"))</f>
        <v/>
      </c>
    </row>
    <row r="123">
      <c r="B123" s="130" t="n"/>
      <c r="C123" s="129" t="n"/>
      <c r="D123" s="129" t="n"/>
      <c r="E123" s="129" t="n"/>
      <c r="F123" s="145" t="n"/>
      <c r="G123" s="129" t="n"/>
      <c r="H123" s="129" t="n"/>
      <c r="I123" s="129" t="n"/>
      <c r="J123" s="138" t="str">
        <f>IF(C123&lt;&gt;"Despesa","",IFERROR(INDEX('Config'!$J$6:$J$40,MATCH(D123,'Config'!$I$6:$I$40,0)),"—"))</f>
        <v/>
      </c>
      <c r="K123" s="138" t="str">
        <f>IF(COUNTA(B123:F123)=0,"",IF(OR(B123="",C123="",D123="",F123=""),"▲ Completar","✔"))</f>
        <v/>
      </c>
    </row>
    <row r="124">
      <c r="B124" s="130" t="n"/>
      <c r="C124" s="129" t="n"/>
      <c r="D124" s="129" t="n"/>
      <c r="E124" s="129" t="n"/>
      <c r="F124" s="145" t="n"/>
      <c r="G124" s="129" t="n"/>
      <c r="H124" s="129" t="n"/>
      <c r="I124" s="129" t="n"/>
      <c r="J124" s="138" t="str">
        <f>IF(C124&lt;&gt;"Despesa","",IFERROR(INDEX('Config'!$J$6:$J$40,MATCH(D124,'Config'!$I$6:$I$40,0)),"—"))</f>
        <v/>
      </c>
      <c r="K124" s="138" t="str">
        <f>IF(COUNTA(B124:F124)=0,"",IF(OR(B124="",C124="",D124="",F124=""),"▲ Completar","✔"))</f>
        <v/>
      </c>
    </row>
    <row r="125">
      <c r="B125" s="130" t="n"/>
      <c r="C125" s="129" t="n"/>
      <c r="D125" s="129" t="n"/>
      <c r="E125" s="129" t="n"/>
      <c r="F125" s="145" t="n"/>
      <c r="G125" s="129" t="n"/>
      <c r="H125" s="129" t="n"/>
      <c r="I125" s="129" t="n"/>
      <c r="J125" s="138" t="str">
        <f>IF(C125&lt;&gt;"Despesa","",IFERROR(INDEX('Config'!$J$6:$J$40,MATCH(D125,'Config'!$I$6:$I$40,0)),"—"))</f>
        <v/>
      </c>
      <c r="K125" s="138" t="str">
        <f>IF(COUNTA(B125:F125)=0,"",IF(OR(B125="",C125="",D125="",F125=""),"▲ Completar","✔"))</f>
        <v/>
      </c>
    </row>
    <row r="126">
      <c r="B126" s="130" t="n"/>
      <c r="C126" s="129" t="n"/>
      <c r="D126" s="129" t="n"/>
      <c r="E126" s="129" t="n"/>
      <c r="F126" s="145" t="n"/>
      <c r="G126" s="129" t="n"/>
      <c r="H126" s="129" t="n"/>
      <c r="I126" s="129" t="n"/>
      <c r="J126" s="138" t="str">
        <f>IF(C126&lt;&gt;"Despesa","",IFERROR(INDEX('Config'!$J$6:$J$40,MATCH(D126,'Config'!$I$6:$I$40,0)),"—"))</f>
        <v/>
      </c>
      <c r="K126" s="138" t="str">
        <f>IF(COUNTA(B126:F126)=0,"",IF(OR(B126="",C126="",D126="",F126=""),"▲ Completar","✔"))</f>
        <v/>
      </c>
    </row>
    <row r="127">
      <c r="B127" s="130" t="n"/>
      <c r="C127" s="129" t="n"/>
      <c r="D127" s="129" t="n"/>
      <c r="E127" s="129" t="n"/>
      <c r="F127" s="145" t="n"/>
      <c r="G127" s="129" t="n"/>
      <c r="H127" s="129" t="n"/>
      <c r="I127" s="129" t="n"/>
      <c r="J127" s="138" t="str">
        <f>IF(C127&lt;&gt;"Despesa","",IFERROR(INDEX('Config'!$J$6:$J$40,MATCH(D127,'Config'!$I$6:$I$40,0)),"—"))</f>
        <v/>
      </c>
      <c r="K127" s="138" t="str">
        <f>IF(COUNTA(B127:F127)=0,"",IF(OR(B127="",C127="",D127="",F127=""),"▲ Completar","✔"))</f>
        <v/>
      </c>
    </row>
    <row r="128">
      <c r="B128" s="130" t="n"/>
      <c r="C128" s="129" t="n"/>
      <c r="D128" s="129" t="n"/>
      <c r="E128" s="129" t="n"/>
      <c r="F128" s="145" t="n"/>
      <c r="G128" s="129" t="n"/>
      <c r="H128" s="129" t="n"/>
      <c r="I128" s="129" t="n"/>
      <c r="J128" s="138" t="str">
        <f>IF(C128&lt;&gt;"Despesa","",IFERROR(INDEX('Config'!$J$6:$J$40,MATCH(D128,'Config'!$I$6:$I$40,0)),"—"))</f>
        <v/>
      </c>
      <c r="K128" s="138" t="str">
        <f>IF(COUNTA(B128:F128)=0,"",IF(OR(B128="",C128="",D128="",F128=""),"▲ Completar","✔"))</f>
        <v/>
      </c>
    </row>
    <row r="129">
      <c r="B129" s="130" t="n"/>
      <c r="C129" s="129" t="n"/>
      <c r="D129" s="129" t="n"/>
      <c r="E129" s="129" t="n"/>
      <c r="F129" s="145" t="n"/>
      <c r="G129" s="129" t="n"/>
      <c r="H129" s="129" t="n"/>
      <c r="I129" s="129" t="n"/>
      <c r="J129" s="138" t="str">
        <f>IF(C129&lt;&gt;"Despesa","",IFERROR(INDEX('Config'!$J$6:$J$40,MATCH(D129,'Config'!$I$6:$I$40,0)),"—"))</f>
        <v/>
      </c>
      <c r="K129" s="138" t="str">
        <f>IF(COUNTA(B129:F129)=0,"",IF(OR(B129="",C129="",D129="",F129=""),"▲ Completar","✔"))</f>
        <v/>
      </c>
    </row>
    <row r="130">
      <c r="B130" s="130" t="n"/>
      <c r="C130" s="129" t="n"/>
      <c r="D130" s="129" t="n"/>
      <c r="E130" s="129" t="n"/>
      <c r="F130" s="145" t="n"/>
      <c r="G130" s="129" t="n"/>
      <c r="H130" s="129" t="n"/>
      <c r="I130" s="129" t="n"/>
      <c r="J130" s="138" t="str">
        <f>IF(C130&lt;&gt;"Despesa","",IFERROR(INDEX('Config'!$J$6:$J$40,MATCH(D130,'Config'!$I$6:$I$40,0)),"—"))</f>
        <v/>
      </c>
      <c r="K130" s="138" t="str">
        <f>IF(COUNTA(B130:F130)=0,"",IF(OR(B130="",C130="",D130="",F130=""),"▲ Completar","✔"))</f>
        <v/>
      </c>
    </row>
    <row r="131">
      <c r="B131" s="130" t="n"/>
      <c r="C131" s="129" t="n"/>
      <c r="D131" s="129" t="n"/>
      <c r="E131" s="129" t="n"/>
      <c r="F131" s="145" t="n"/>
      <c r="G131" s="129" t="n"/>
      <c r="H131" s="129" t="n"/>
      <c r="I131" s="129" t="n"/>
      <c r="J131" s="138" t="str">
        <f>IF(C131&lt;&gt;"Despesa","",IFERROR(INDEX('Config'!$J$6:$J$40,MATCH(D131,'Config'!$I$6:$I$40,0)),"—"))</f>
        <v/>
      </c>
      <c r="K131" s="138" t="str">
        <f>IF(COUNTA(B131:F131)=0,"",IF(OR(B131="",C131="",D131="",F131=""),"▲ Completar","✔"))</f>
        <v/>
      </c>
    </row>
    <row r="132">
      <c r="B132" s="130" t="n"/>
      <c r="C132" s="129" t="n"/>
      <c r="D132" s="129" t="n"/>
      <c r="E132" s="129" t="n"/>
      <c r="F132" s="145" t="n"/>
      <c r="G132" s="129" t="n"/>
      <c r="H132" s="129" t="n"/>
      <c r="I132" s="129" t="n"/>
      <c r="J132" s="138" t="str">
        <f>IF(C132&lt;&gt;"Despesa","",IFERROR(INDEX('Config'!$J$6:$J$40,MATCH(D132,'Config'!$I$6:$I$40,0)),"—"))</f>
        <v/>
      </c>
      <c r="K132" s="138" t="str">
        <f>IF(COUNTA(B132:F132)=0,"",IF(OR(B132="",C132="",D132="",F132=""),"▲ Completar","✔"))</f>
        <v/>
      </c>
    </row>
    <row r="133">
      <c r="B133" s="130" t="n"/>
      <c r="C133" s="129" t="n"/>
      <c r="D133" s="129" t="n"/>
      <c r="E133" s="129" t="n"/>
      <c r="F133" s="145" t="n"/>
      <c r="G133" s="129" t="n"/>
      <c r="H133" s="129" t="n"/>
      <c r="I133" s="129" t="n"/>
      <c r="J133" s="138" t="str">
        <f>IF(C133&lt;&gt;"Despesa","",IFERROR(INDEX('Config'!$J$6:$J$40,MATCH(D133,'Config'!$I$6:$I$40,0)),"—"))</f>
        <v/>
      </c>
      <c r="K133" s="138" t="str">
        <f>IF(COUNTA(B133:F133)=0,"",IF(OR(B133="",C133="",D133="",F133=""),"▲ Completar","✔"))</f>
        <v/>
      </c>
    </row>
    <row r="134">
      <c r="B134" s="130" t="n"/>
      <c r="C134" s="129" t="n"/>
      <c r="D134" s="129" t="n"/>
      <c r="E134" s="129" t="n"/>
      <c r="F134" s="145" t="n"/>
      <c r="G134" s="129" t="n"/>
      <c r="H134" s="129" t="n"/>
      <c r="I134" s="129" t="n"/>
      <c r="J134" s="138" t="str">
        <f>IF(C134&lt;&gt;"Despesa","",IFERROR(INDEX('Config'!$J$6:$J$40,MATCH(D134,'Config'!$I$6:$I$40,0)),"—"))</f>
        <v/>
      </c>
      <c r="K134" s="138" t="str">
        <f>IF(COUNTA(B134:F134)=0,"",IF(OR(B134="",C134="",D134="",F134=""),"▲ Completar","✔"))</f>
        <v/>
      </c>
    </row>
    <row r="135">
      <c r="B135" s="130" t="n"/>
      <c r="C135" s="129" t="n"/>
      <c r="D135" s="129" t="n"/>
      <c r="E135" s="129" t="n"/>
      <c r="F135" s="145" t="n"/>
      <c r="G135" s="129" t="n"/>
      <c r="H135" s="129" t="n"/>
      <c r="I135" s="129" t="n"/>
      <c r="J135" s="138" t="str">
        <f>IF(C135&lt;&gt;"Despesa","",IFERROR(INDEX('Config'!$J$6:$J$40,MATCH(D135,'Config'!$I$6:$I$40,0)),"—"))</f>
        <v/>
      </c>
      <c r="K135" s="138" t="str">
        <f>IF(COUNTA(B135:F135)=0,"",IF(OR(B135="",C135="",D135="",F135=""),"▲ Completar","✔"))</f>
        <v/>
      </c>
    </row>
    <row r="136">
      <c r="B136" s="130" t="n"/>
      <c r="C136" s="129" t="n"/>
      <c r="D136" s="129" t="n"/>
      <c r="E136" s="129" t="n"/>
      <c r="F136" s="145" t="n"/>
      <c r="G136" s="129" t="n"/>
      <c r="H136" s="129" t="n"/>
      <c r="I136" s="129" t="n"/>
      <c r="J136" s="138" t="str">
        <f>IF(C136&lt;&gt;"Despesa","",IFERROR(INDEX('Config'!$J$6:$J$40,MATCH(D136,'Config'!$I$6:$I$40,0)),"—"))</f>
        <v/>
      </c>
      <c r="K136" s="138" t="str">
        <f>IF(COUNTA(B136:F136)=0,"",IF(OR(B136="",C136="",D136="",F136=""),"▲ Completar","✔"))</f>
        <v/>
      </c>
    </row>
    <row r="137">
      <c r="B137" s="130" t="n"/>
      <c r="C137" s="129" t="n"/>
      <c r="D137" s="129" t="n"/>
      <c r="E137" s="129" t="n"/>
      <c r="F137" s="145" t="n"/>
      <c r="G137" s="129" t="n"/>
      <c r="H137" s="129" t="n"/>
      <c r="I137" s="129" t="n"/>
      <c r="J137" s="138" t="str">
        <f>IF(C137&lt;&gt;"Despesa","",IFERROR(INDEX('Config'!$J$6:$J$40,MATCH(D137,'Config'!$I$6:$I$40,0)),"—"))</f>
        <v/>
      </c>
      <c r="K137" s="138" t="str">
        <f>IF(COUNTA(B137:F137)=0,"",IF(OR(B137="",C137="",D137="",F137=""),"▲ Completar","✔"))</f>
        <v/>
      </c>
    </row>
    <row r="138">
      <c r="B138" s="130" t="n"/>
      <c r="C138" s="129" t="n"/>
      <c r="D138" s="129" t="n"/>
      <c r="E138" s="129" t="n"/>
      <c r="F138" s="145" t="n"/>
      <c r="G138" s="129" t="n"/>
      <c r="H138" s="129" t="n"/>
      <c r="I138" s="129" t="n"/>
      <c r="J138" s="138" t="str">
        <f>IF(C138&lt;&gt;"Despesa","",IFERROR(INDEX('Config'!$J$6:$J$40,MATCH(D138,'Config'!$I$6:$I$40,0)),"—"))</f>
        <v/>
      </c>
      <c r="K138" s="138" t="str">
        <f>IF(COUNTA(B138:F138)=0,"",IF(OR(B138="",C138="",D138="",F138=""),"▲ Completar","✔"))</f>
        <v/>
      </c>
    </row>
    <row r="139">
      <c r="B139" s="130" t="n"/>
      <c r="C139" s="129" t="n"/>
      <c r="D139" s="129" t="n"/>
      <c r="E139" s="129" t="n"/>
      <c r="F139" s="145" t="n"/>
      <c r="G139" s="129" t="n"/>
      <c r="H139" s="129" t="n"/>
      <c r="I139" s="129" t="n"/>
      <c r="J139" s="138" t="str">
        <f>IF(C139&lt;&gt;"Despesa","",IFERROR(INDEX('Config'!$J$6:$J$40,MATCH(D139,'Config'!$I$6:$I$40,0)),"—"))</f>
        <v/>
      </c>
      <c r="K139" s="138" t="str">
        <f>IF(COUNTA(B139:F139)=0,"",IF(OR(B139="",C139="",D139="",F139=""),"▲ Completar","✔"))</f>
        <v/>
      </c>
    </row>
    <row r="140">
      <c r="B140" s="130" t="n"/>
      <c r="C140" s="129" t="n"/>
      <c r="D140" s="129" t="n"/>
      <c r="E140" s="129" t="n"/>
      <c r="F140" s="145" t="n"/>
      <c r="G140" s="129" t="n"/>
      <c r="H140" s="129" t="n"/>
      <c r="I140" s="129" t="n"/>
      <c r="J140" s="138" t="str">
        <f>IF(C140&lt;&gt;"Despesa","",IFERROR(INDEX('Config'!$J$6:$J$40,MATCH(D140,'Config'!$I$6:$I$40,0)),"—"))</f>
        <v/>
      </c>
      <c r="K140" s="138" t="str">
        <f>IF(COUNTA(B140:F140)=0,"",IF(OR(B140="",C140="",D140="",F140=""),"▲ Completar","✔"))</f>
        <v/>
      </c>
    </row>
    <row r="141">
      <c r="B141" s="130" t="n"/>
      <c r="C141" s="129" t="n"/>
      <c r="D141" s="129" t="n"/>
      <c r="E141" s="129" t="n"/>
      <c r="F141" s="145" t="n"/>
      <c r="G141" s="129" t="n"/>
      <c r="H141" s="129" t="n"/>
      <c r="I141" s="129" t="n"/>
      <c r="J141" s="138" t="str">
        <f>IF(C141&lt;&gt;"Despesa","",IFERROR(INDEX('Config'!$J$6:$J$40,MATCH(D141,'Config'!$I$6:$I$40,0)),"—"))</f>
        <v/>
      </c>
      <c r="K141" s="138" t="str">
        <f>IF(COUNTA(B141:F141)=0,"",IF(OR(B141="",C141="",D141="",F141=""),"▲ Completar","✔"))</f>
        <v/>
      </c>
    </row>
    <row r="142">
      <c r="B142" s="130" t="n"/>
      <c r="C142" s="129" t="n"/>
      <c r="D142" s="129" t="n"/>
      <c r="E142" s="129" t="n"/>
      <c r="F142" s="145" t="n"/>
      <c r="G142" s="129" t="n"/>
      <c r="H142" s="129" t="n"/>
      <c r="I142" s="129" t="n"/>
      <c r="J142" s="138" t="str">
        <f>IF(C142&lt;&gt;"Despesa","",IFERROR(INDEX('Config'!$J$6:$J$40,MATCH(D142,'Config'!$I$6:$I$40,0)),"—"))</f>
        <v/>
      </c>
      <c r="K142" s="138" t="str">
        <f>IF(COUNTA(B142:F142)=0,"",IF(OR(B142="",C142="",D142="",F142=""),"▲ Completar","✔"))</f>
        <v/>
      </c>
    </row>
    <row r="143">
      <c r="B143" s="130" t="n"/>
      <c r="C143" s="129" t="n"/>
      <c r="D143" s="129" t="n"/>
      <c r="E143" s="129" t="n"/>
      <c r="F143" s="145" t="n"/>
      <c r="G143" s="129" t="n"/>
      <c r="H143" s="129" t="n"/>
      <c r="I143" s="129" t="n"/>
      <c r="J143" s="138" t="str">
        <f>IF(C143&lt;&gt;"Despesa","",IFERROR(INDEX('Config'!$J$6:$J$40,MATCH(D143,'Config'!$I$6:$I$40,0)),"—"))</f>
        <v/>
      </c>
      <c r="K143" s="138" t="str">
        <f>IF(COUNTA(B143:F143)=0,"",IF(OR(B143="",C143="",D143="",F143=""),"▲ Completar","✔"))</f>
        <v/>
      </c>
    </row>
    <row r="144">
      <c r="B144" s="130" t="n"/>
      <c r="C144" s="129" t="n"/>
      <c r="D144" s="129" t="n"/>
      <c r="E144" s="129" t="n"/>
      <c r="F144" s="145" t="n"/>
      <c r="G144" s="129" t="n"/>
      <c r="H144" s="129" t="n"/>
      <c r="I144" s="129" t="n"/>
      <c r="J144" s="138" t="str">
        <f>IF(C144&lt;&gt;"Despesa","",IFERROR(INDEX('Config'!$J$6:$J$40,MATCH(D144,'Config'!$I$6:$I$40,0)),"—"))</f>
        <v/>
      </c>
      <c r="K144" s="138" t="str">
        <f>IF(COUNTA(B144:F144)=0,"",IF(OR(B144="",C144="",D144="",F144=""),"▲ Completar","✔"))</f>
        <v/>
      </c>
    </row>
    <row r="145">
      <c r="B145" s="130" t="n"/>
      <c r="C145" s="129" t="n"/>
      <c r="D145" s="129" t="n"/>
      <c r="E145" s="129" t="n"/>
      <c r="F145" s="145" t="n"/>
      <c r="G145" s="129" t="n"/>
      <c r="H145" s="129" t="n"/>
      <c r="I145" s="129" t="n"/>
      <c r="J145" s="138" t="str">
        <f>IF(C145&lt;&gt;"Despesa","",IFERROR(INDEX('Config'!$J$6:$J$40,MATCH(D145,'Config'!$I$6:$I$40,0)),"—"))</f>
        <v/>
      </c>
      <c r="K145" s="138" t="str">
        <f>IF(COUNTA(B145:F145)=0,"",IF(OR(B145="",C145="",D145="",F145=""),"▲ Completar","✔"))</f>
        <v/>
      </c>
    </row>
    <row r="146">
      <c r="B146" s="130" t="n"/>
      <c r="C146" s="129" t="n"/>
      <c r="D146" s="129" t="n"/>
      <c r="E146" s="129" t="n"/>
      <c r="F146" s="145" t="n"/>
      <c r="G146" s="129" t="n"/>
      <c r="H146" s="129" t="n"/>
      <c r="I146" s="129" t="n"/>
      <c r="J146" s="138" t="str">
        <f>IF(C146&lt;&gt;"Despesa","",IFERROR(INDEX('Config'!$J$6:$J$40,MATCH(D146,'Config'!$I$6:$I$40,0)),"—"))</f>
        <v/>
      </c>
      <c r="K146" s="138" t="str">
        <f>IF(COUNTA(B146:F146)=0,"",IF(OR(B146="",C146="",D146="",F146=""),"▲ Completar","✔"))</f>
        <v/>
      </c>
    </row>
    <row r="147">
      <c r="B147" s="130" t="n"/>
      <c r="C147" s="129" t="n"/>
      <c r="D147" s="129" t="n"/>
      <c r="E147" s="129" t="n"/>
      <c r="F147" s="145" t="n"/>
      <c r="G147" s="129" t="n"/>
      <c r="H147" s="129" t="n"/>
      <c r="I147" s="129" t="n"/>
      <c r="J147" s="138" t="str">
        <f>IF(C147&lt;&gt;"Despesa","",IFERROR(INDEX('Config'!$J$6:$J$40,MATCH(D147,'Config'!$I$6:$I$40,0)),"—"))</f>
        <v/>
      </c>
      <c r="K147" s="138" t="str">
        <f>IF(COUNTA(B147:F147)=0,"",IF(OR(B147="",C147="",D147="",F147=""),"▲ Completar","✔"))</f>
        <v/>
      </c>
    </row>
    <row r="148">
      <c r="B148" s="130" t="n"/>
      <c r="C148" s="129" t="n"/>
      <c r="D148" s="129" t="n"/>
      <c r="E148" s="129" t="n"/>
      <c r="F148" s="145" t="n"/>
      <c r="G148" s="129" t="n"/>
      <c r="H148" s="129" t="n"/>
      <c r="I148" s="129" t="n"/>
      <c r="J148" s="138" t="str">
        <f>IF(C148&lt;&gt;"Despesa","",IFERROR(INDEX('Config'!$J$6:$J$40,MATCH(D148,'Config'!$I$6:$I$40,0)),"—"))</f>
        <v/>
      </c>
      <c r="K148" s="138" t="str">
        <f>IF(COUNTA(B148:F148)=0,"",IF(OR(B148="",C148="",D148="",F148=""),"▲ Completar","✔"))</f>
        <v/>
      </c>
    </row>
    <row r="149">
      <c r="B149" s="130" t="n"/>
      <c r="C149" s="129" t="n"/>
      <c r="D149" s="129" t="n"/>
      <c r="E149" s="129" t="n"/>
      <c r="F149" s="145" t="n"/>
      <c r="G149" s="129" t="n"/>
      <c r="H149" s="129" t="n"/>
      <c r="I149" s="129" t="n"/>
      <c r="J149" s="138" t="str">
        <f>IF(C149&lt;&gt;"Despesa","",IFERROR(INDEX('Config'!$J$6:$J$40,MATCH(D149,'Config'!$I$6:$I$40,0)),"—"))</f>
        <v/>
      </c>
      <c r="K149" s="138" t="str">
        <f>IF(COUNTA(B149:F149)=0,"",IF(OR(B149="",C149="",D149="",F149=""),"▲ Completar","✔"))</f>
        <v/>
      </c>
    </row>
    <row r="150">
      <c r="B150" s="130" t="n"/>
      <c r="C150" s="129" t="n"/>
      <c r="D150" s="129" t="n"/>
      <c r="E150" s="129" t="n"/>
      <c r="F150" s="145" t="n"/>
      <c r="G150" s="129" t="n"/>
      <c r="H150" s="129" t="n"/>
      <c r="I150" s="129" t="n"/>
      <c r="J150" s="138" t="str">
        <f>IF(C150&lt;&gt;"Despesa","",IFERROR(INDEX('Config'!$J$6:$J$40,MATCH(D150,'Config'!$I$6:$I$40,0)),"—"))</f>
        <v/>
      </c>
      <c r="K150" s="138" t="str">
        <f>IF(COUNTA(B150:F150)=0,"",IF(OR(B150="",C150="",D150="",F150=""),"▲ Completar","✔"))</f>
        <v/>
      </c>
    </row>
    <row r="151">
      <c r="B151" s="130" t="n"/>
      <c r="C151" s="129" t="n"/>
      <c r="D151" s="129" t="n"/>
      <c r="E151" s="129" t="n"/>
      <c r="F151" s="145" t="n"/>
      <c r="G151" s="129" t="n"/>
      <c r="H151" s="129" t="n"/>
      <c r="I151" s="129" t="n"/>
      <c r="J151" s="138" t="str">
        <f>IF(C151&lt;&gt;"Despesa","",IFERROR(INDEX('Config'!$J$6:$J$40,MATCH(D151,'Config'!$I$6:$I$40,0)),"—"))</f>
        <v/>
      </c>
      <c r="K151" s="138" t="str">
        <f>IF(COUNTA(B151:F151)=0,"",IF(OR(B151="",C151="",D151="",F151=""),"▲ Completar","✔"))</f>
        <v/>
      </c>
    </row>
    <row r="152">
      <c r="B152" s="130" t="n"/>
      <c r="C152" s="129" t="n"/>
      <c r="D152" s="129" t="n"/>
      <c r="E152" s="129" t="n"/>
      <c r="F152" s="145" t="n"/>
      <c r="G152" s="129" t="n"/>
      <c r="H152" s="129" t="n"/>
      <c r="I152" s="129" t="n"/>
      <c r="J152" s="138" t="str">
        <f>IF(C152&lt;&gt;"Despesa","",IFERROR(INDEX('Config'!$J$6:$J$40,MATCH(D152,'Config'!$I$6:$I$40,0)),"—"))</f>
        <v/>
      </c>
      <c r="K152" s="138" t="str">
        <f>IF(COUNTA(B152:F152)=0,"",IF(OR(B152="",C152="",D152="",F152=""),"▲ Completar","✔"))</f>
        <v/>
      </c>
    </row>
    <row r="153">
      <c r="B153" s="130" t="n"/>
      <c r="C153" s="129" t="n"/>
      <c r="D153" s="129" t="n"/>
      <c r="E153" s="129" t="n"/>
      <c r="F153" s="145" t="n"/>
      <c r="G153" s="129" t="n"/>
      <c r="H153" s="129" t="n"/>
      <c r="I153" s="129" t="n"/>
      <c r="J153" s="138" t="str">
        <f>IF(C153&lt;&gt;"Despesa","",IFERROR(INDEX('Config'!$J$6:$J$40,MATCH(D153,'Config'!$I$6:$I$40,0)),"—"))</f>
        <v/>
      </c>
      <c r="K153" s="138" t="str">
        <f>IF(COUNTA(B153:F153)=0,"",IF(OR(B153="",C153="",D153="",F153=""),"▲ Completar","✔"))</f>
        <v/>
      </c>
    </row>
    <row r="154">
      <c r="B154" s="130" t="n"/>
      <c r="C154" s="129" t="n"/>
      <c r="D154" s="129" t="n"/>
      <c r="E154" s="129" t="n"/>
      <c r="F154" s="145" t="n"/>
      <c r="G154" s="129" t="n"/>
      <c r="H154" s="129" t="n"/>
      <c r="I154" s="129" t="n"/>
      <c r="J154" s="138" t="str">
        <f>IF(C154&lt;&gt;"Despesa","",IFERROR(INDEX('Config'!$J$6:$J$40,MATCH(D154,'Config'!$I$6:$I$40,0)),"—"))</f>
        <v/>
      </c>
      <c r="K154" s="138" t="str">
        <f>IF(COUNTA(B154:F154)=0,"",IF(OR(B154="",C154="",D154="",F154=""),"▲ Completar","✔"))</f>
        <v/>
      </c>
    </row>
    <row r="155">
      <c r="B155" s="130" t="n"/>
      <c r="C155" s="129" t="n"/>
      <c r="D155" s="129" t="n"/>
      <c r="E155" s="129" t="n"/>
      <c r="F155" s="145" t="n"/>
      <c r="G155" s="129" t="n"/>
      <c r="H155" s="129" t="n"/>
      <c r="I155" s="129" t="n"/>
      <c r="J155" s="138" t="str">
        <f>IF(C155&lt;&gt;"Despesa","",IFERROR(INDEX('Config'!$J$6:$J$40,MATCH(D155,'Config'!$I$6:$I$40,0)),"—"))</f>
        <v/>
      </c>
      <c r="K155" s="138" t="str">
        <f>IF(COUNTA(B155:F155)=0,"",IF(OR(B155="",C155="",D155="",F155=""),"▲ Completar","✔"))</f>
        <v/>
      </c>
    </row>
    <row r="156">
      <c r="B156" s="130" t="n"/>
      <c r="C156" s="129" t="n"/>
      <c r="D156" s="129" t="n"/>
      <c r="E156" s="129" t="n"/>
      <c r="F156" s="145" t="n"/>
      <c r="G156" s="129" t="n"/>
      <c r="H156" s="129" t="n"/>
      <c r="I156" s="129" t="n"/>
      <c r="J156" s="138" t="str">
        <f>IF(C156&lt;&gt;"Despesa","",IFERROR(INDEX('Config'!$J$6:$J$40,MATCH(D156,'Config'!$I$6:$I$40,0)),"—"))</f>
        <v/>
      </c>
      <c r="K156" s="138" t="str">
        <f>IF(COUNTA(B156:F156)=0,"",IF(OR(B156="",C156="",D156="",F156=""),"▲ Completar","✔"))</f>
        <v/>
      </c>
    </row>
    <row r="157">
      <c r="B157" s="130" t="n"/>
      <c r="C157" s="129" t="n"/>
      <c r="D157" s="129" t="n"/>
      <c r="E157" s="129" t="n"/>
      <c r="F157" s="145" t="n"/>
      <c r="G157" s="129" t="n"/>
      <c r="H157" s="129" t="n"/>
      <c r="I157" s="129" t="n"/>
      <c r="J157" s="138" t="str">
        <f>IF(C157&lt;&gt;"Despesa","",IFERROR(INDEX('Config'!$J$6:$J$40,MATCH(D157,'Config'!$I$6:$I$40,0)),"—"))</f>
        <v/>
      </c>
      <c r="K157" s="138" t="str">
        <f>IF(COUNTA(B157:F157)=0,"",IF(OR(B157="",C157="",D157="",F157=""),"▲ Completar","✔"))</f>
        <v/>
      </c>
    </row>
    <row r="158">
      <c r="B158" s="130" t="n"/>
      <c r="C158" s="129" t="n"/>
      <c r="D158" s="129" t="n"/>
      <c r="E158" s="129" t="n"/>
      <c r="F158" s="145" t="n"/>
      <c r="G158" s="129" t="n"/>
      <c r="H158" s="129" t="n"/>
      <c r="I158" s="129" t="n"/>
      <c r="J158" s="138" t="str">
        <f>IF(C158&lt;&gt;"Despesa","",IFERROR(INDEX('Config'!$J$6:$J$40,MATCH(D158,'Config'!$I$6:$I$40,0)),"—"))</f>
        <v/>
      </c>
      <c r="K158" s="138" t="str">
        <f>IF(COUNTA(B158:F158)=0,"",IF(OR(B158="",C158="",D158="",F158=""),"▲ Completar","✔"))</f>
        <v/>
      </c>
    </row>
    <row r="159">
      <c r="B159" s="130" t="n"/>
      <c r="C159" s="129" t="n"/>
      <c r="D159" s="129" t="n"/>
      <c r="E159" s="129" t="n"/>
      <c r="F159" s="145" t="n"/>
      <c r="G159" s="129" t="n"/>
      <c r="H159" s="129" t="n"/>
      <c r="I159" s="129" t="n"/>
      <c r="J159" s="138" t="str">
        <f>IF(C159&lt;&gt;"Despesa","",IFERROR(INDEX('Config'!$J$6:$J$40,MATCH(D159,'Config'!$I$6:$I$40,0)),"—"))</f>
        <v/>
      </c>
      <c r="K159" s="138" t="str">
        <f>IF(COUNTA(B159:F159)=0,"",IF(OR(B159="",C159="",D159="",F159=""),"▲ Completar","✔"))</f>
        <v/>
      </c>
    </row>
    <row r="160">
      <c r="B160" s="130" t="n"/>
      <c r="C160" s="129" t="n"/>
      <c r="D160" s="129" t="n"/>
      <c r="E160" s="129" t="n"/>
      <c r="F160" s="145" t="n"/>
      <c r="G160" s="129" t="n"/>
      <c r="H160" s="129" t="n"/>
      <c r="I160" s="129" t="n"/>
      <c r="J160" s="138" t="str">
        <f>IF(C160&lt;&gt;"Despesa","",IFERROR(INDEX('Config'!$J$6:$J$40,MATCH(D160,'Config'!$I$6:$I$40,0)),"—"))</f>
        <v/>
      </c>
      <c r="K160" s="138" t="str">
        <f>IF(COUNTA(B160:F160)=0,"",IF(OR(B160="",C160="",D160="",F160=""),"▲ Completar","✔"))</f>
        <v/>
      </c>
    </row>
    <row r="161">
      <c r="B161" s="130" t="n"/>
      <c r="C161" s="129" t="n"/>
      <c r="D161" s="129" t="n"/>
      <c r="E161" s="129" t="n"/>
      <c r="F161" s="145" t="n"/>
      <c r="G161" s="129" t="n"/>
      <c r="H161" s="129" t="n"/>
      <c r="I161" s="129" t="n"/>
      <c r="J161" s="138" t="str">
        <f>IF(C161&lt;&gt;"Despesa","",IFERROR(INDEX('Config'!$J$6:$J$40,MATCH(D161,'Config'!$I$6:$I$40,0)),"—"))</f>
        <v/>
      </c>
      <c r="K161" s="138" t="str">
        <f>IF(COUNTA(B161:F161)=0,"",IF(OR(B161="",C161="",D161="",F161=""),"▲ Completar","✔"))</f>
        <v/>
      </c>
    </row>
    <row r="162">
      <c r="B162" s="130" t="n"/>
      <c r="C162" s="129" t="n"/>
      <c r="D162" s="129" t="n"/>
      <c r="E162" s="129" t="n"/>
      <c r="F162" s="145" t="n"/>
      <c r="G162" s="129" t="n"/>
      <c r="H162" s="129" t="n"/>
      <c r="I162" s="129" t="n"/>
      <c r="J162" s="138" t="str">
        <f>IF(C162&lt;&gt;"Despesa","",IFERROR(INDEX('Config'!$J$6:$J$40,MATCH(D162,'Config'!$I$6:$I$40,0)),"—"))</f>
        <v/>
      </c>
      <c r="K162" s="138" t="str">
        <f>IF(COUNTA(B162:F162)=0,"",IF(OR(B162="",C162="",D162="",F162=""),"▲ Completar","✔"))</f>
        <v/>
      </c>
    </row>
    <row r="163">
      <c r="B163" s="130" t="n"/>
      <c r="C163" s="129" t="n"/>
      <c r="D163" s="129" t="n"/>
      <c r="E163" s="129" t="n"/>
      <c r="F163" s="145" t="n"/>
      <c r="G163" s="129" t="n"/>
      <c r="H163" s="129" t="n"/>
      <c r="I163" s="129" t="n"/>
      <c r="J163" s="138" t="str">
        <f>IF(C163&lt;&gt;"Despesa","",IFERROR(INDEX('Config'!$J$6:$J$40,MATCH(D163,'Config'!$I$6:$I$40,0)),"—"))</f>
        <v/>
      </c>
      <c r="K163" s="138" t="str">
        <f>IF(COUNTA(B163:F163)=0,"",IF(OR(B163="",C163="",D163="",F163=""),"▲ Completar","✔"))</f>
        <v/>
      </c>
    </row>
    <row r="164">
      <c r="B164" s="130" t="n"/>
      <c r="C164" s="129" t="n"/>
      <c r="D164" s="129" t="n"/>
      <c r="E164" s="129" t="n"/>
      <c r="F164" s="145" t="n"/>
      <c r="G164" s="129" t="n"/>
      <c r="H164" s="129" t="n"/>
      <c r="I164" s="129" t="n"/>
      <c r="J164" s="138" t="str">
        <f>IF(C164&lt;&gt;"Despesa","",IFERROR(INDEX('Config'!$J$6:$J$40,MATCH(D164,'Config'!$I$6:$I$40,0)),"—"))</f>
        <v/>
      </c>
      <c r="K164" s="138" t="str">
        <f>IF(COUNTA(B164:F164)=0,"",IF(OR(B164="",C164="",D164="",F164=""),"▲ Completar","✔"))</f>
        <v/>
      </c>
    </row>
    <row r="165">
      <c r="B165" s="130" t="n"/>
      <c r="C165" s="129" t="n"/>
      <c r="D165" s="129" t="n"/>
      <c r="E165" s="129" t="n"/>
      <c r="F165" s="145" t="n"/>
      <c r="G165" s="129" t="n"/>
      <c r="H165" s="129" t="n"/>
      <c r="I165" s="129" t="n"/>
      <c r="J165" s="138" t="str">
        <f>IF(C165&lt;&gt;"Despesa","",IFERROR(INDEX('Config'!$J$6:$J$40,MATCH(D165,'Config'!$I$6:$I$40,0)),"—"))</f>
        <v/>
      </c>
      <c r="K165" s="138" t="str">
        <f>IF(COUNTA(B165:F165)=0,"",IF(OR(B165="",C165="",D165="",F165=""),"▲ Completar","✔"))</f>
        <v/>
      </c>
    </row>
    <row r="166">
      <c r="B166" s="130" t="n"/>
      <c r="C166" s="129" t="n"/>
      <c r="D166" s="129" t="n"/>
      <c r="E166" s="129" t="n"/>
      <c r="F166" s="145" t="n"/>
      <c r="G166" s="129" t="n"/>
      <c r="H166" s="129" t="n"/>
      <c r="I166" s="129" t="n"/>
      <c r="J166" s="138" t="str">
        <f>IF(C166&lt;&gt;"Despesa","",IFERROR(INDEX('Config'!$J$6:$J$40,MATCH(D166,'Config'!$I$6:$I$40,0)),"—"))</f>
        <v/>
      </c>
      <c r="K166" s="138" t="str">
        <f>IF(COUNTA(B166:F166)=0,"",IF(OR(B166="",C166="",D166="",F166=""),"▲ Completar","✔"))</f>
        <v/>
      </c>
    </row>
    <row r="167">
      <c r="B167" s="130" t="n"/>
      <c r="C167" s="129" t="n"/>
      <c r="D167" s="129" t="n"/>
      <c r="E167" s="129" t="n"/>
      <c r="F167" s="145" t="n"/>
      <c r="G167" s="129" t="n"/>
      <c r="H167" s="129" t="n"/>
      <c r="I167" s="129" t="n"/>
      <c r="J167" s="138" t="str">
        <f>IF(C167&lt;&gt;"Despesa","",IFERROR(INDEX('Config'!$J$6:$J$40,MATCH(D167,'Config'!$I$6:$I$40,0)),"—"))</f>
        <v/>
      </c>
      <c r="K167" s="138" t="str">
        <f>IF(COUNTA(B167:F167)=0,"",IF(OR(B167="",C167="",D167="",F167=""),"▲ Completar","✔"))</f>
        <v/>
      </c>
    </row>
    <row r="168">
      <c r="B168" s="130" t="n"/>
      <c r="C168" s="129" t="n"/>
      <c r="D168" s="129" t="n"/>
      <c r="E168" s="129" t="n"/>
      <c r="F168" s="145" t="n"/>
      <c r="G168" s="129" t="n"/>
      <c r="H168" s="129" t="n"/>
      <c r="I168" s="129" t="n"/>
      <c r="J168" s="138" t="str">
        <f>IF(C168&lt;&gt;"Despesa","",IFERROR(INDEX('Config'!$J$6:$J$40,MATCH(D168,'Config'!$I$6:$I$40,0)),"—"))</f>
        <v/>
      </c>
      <c r="K168" s="138" t="str">
        <f>IF(COUNTA(B168:F168)=0,"",IF(OR(B168="",C168="",D168="",F168=""),"▲ Completar","✔"))</f>
        <v/>
      </c>
    </row>
    <row r="169">
      <c r="B169" s="130" t="n"/>
      <c r="C169" s="129" t="n"/>
      <c r="D169" s="129" t="n"/>
      <c r="E169" s="129" t="n"/>
      <c r="F169" s="145" t="n"/>
      <c r="G169" s="129" t="n"/>
      <c r="H169" s="129" t="n"/>
      <c r="I169" s="129" t="n"/>
      <c r="J169" s="138" t="str">
        <f>IF(C169&lt;&gt;"Despesa","",IFERROR(INDEX('Config'!$J$6:$J$40,MATCH(D169,'Config'!$I$6:$I$40,0)),"—"))</f>
        <v/>
      </c>
      <c r="K169" s="138" t="str">
        <f>IF(COUNTA(B169:F169)=0,"",IF(OR(B169="",C169="",D169="",F169=""),"▲ Completar","✔"))</f>
        <v/>
      </c>
    </row>
    <row r="170">
      <c r="B170" s="130" t="n"/>
      <c r="C170" s="129" t="n"/>
      <c r="D170" s="129" t="n"/>
      <c r="E170" s="129" t="n"/>
      <c r="F170" s="145" t="n"/>
      <c r="G170" s="129" t="n"/>
      <c r="H170" s="129" t="n"/>
      <c r="I170" s="129" t="n"/>
      <c r="J170" s="138" t="str">
        <f>IF(C170&lt;&gt;"Despesa","",IFERROR(INDEX('Config'!$J$6:$J$40,MATCH(D170,'Config'!$I$6:$I$40,0)),"—"))</f>
        <v/>
      </c>
      <c r="K170" s="138" t="str">
        <f>IF(COUNTA(B170:F170)=0,"",IF(OR(B170="",C170="",D170="",F170=""),"▲ Completar","✔"))</f>
        <v/>
      </c>
    </row>
    <row r="171">
      <c r="B171" s="130" t="n"/>
      <c r="C171" s="129" t="n"/>
      <c r="D171" s="129" t="n"/>
      <c r="E171" s="129" t="n"/>
      <c r="F171" s="145" t="n"/>
      <c r="G171" s="129" t="n"/>
      <c r="H171" s="129" t="n"/>
      <c r="I171" s="129" t="n"/>
      <c r="J171" s="138" t="str">
        <f>IF(C171&lt;&gt;"Despesa","",IFERROR(INDEX('Config'!$J$6:$J$40,MATCH(D171,'Config'!$I$6:$I$40,0)),"—"))</f>
        <v/>
      </c>
      <c r="K171" s="138" t="str">
        <f>IF(COUNTA(B171:F171)=0,"",IF(OR(B171="",C171="",D171="",F171=""),"▲ Completar","✔"))</f>
        <v/>
      </c>
    </row>
    <row r="172">
      <c r="B172" s="130" t="n"/>
      <c r="C172" s="129" t="n"/>
      <c r="D172" s="129" t="n"/>
      <c r="E172" s="129" t="n"/>
      <c r="F172" s="145" t="n"/>
      <c r="G172" s="129" t="n"/>
      <c r="H172" s="129" t="n"/>
      <c r="I172" s="129" t="n"/>
      <c r="J172" s="138" t="str">
        <f>IF(C172&lt;&gt;"Despesa","",IFERROR(INDEX('Config'!$J$6:$J$40,MATCH(D172,'Config'!$I$6:$I$40,0)),"—"))</f>
        <v/>
      </c>
      <c r="K172" s="138" t="str">
        <f>IF(COUNTA(B172:F172)=0,"",IF(OR(B172="",C172="",D172="",F172=""),"▲ Completar","✔"))</f>
        <v/>
      </c>
    </row>
    <row r="173">
      <c r="B173" s="130" t="n"/>
      <c r="C173" s="129" t="n"/>
      <c r="D173" s="129" t="n"/>
      <c r="E173" s="129" t="n"/>
      <c r="F173" s="145" t="n"/>
      <c r="G173" s="129" t="n"/>
      <c r="H173" s="129" t="n"/>
      <c r="I173" s="129" t="n"/>
      <c r="J173" s="138" t="str">
        <f>IF(C173&lt;&gt;"Despesa","",IFERROR(INDEX('Config'!$J$6:$J$40,MATCH(D173,'Config'!$I$6:$I$40,0)),"—"))</f>
        <v/>
      </c>
      <c r="K173" s="138" t="str">
        <f>IF(COUNTA(B173:F173)=0,"",IF(OR(B173="",C173="",D173="",F173=""),"▲ Completar","✔"))</f>
        <v/>
      </c>
    </row>
    <row r="174">
      <c r="B174" s="130" t="n"/>
      <c r="C174" s="129" t="n"/>
      <c r="D174" s="129" t="n"/>
      <c r="E174" s="129" t="n"/>
      <c r="F174" s="145" t="n"/>
      <c r="G174" s="129" t="n"/>
      <c r="H174" s="129" t="n"/>
      <c r="I174" s="129" t="n"/>
      <c r="J174" s="138" t="str">
        <f>IF(C174&lt;&gt;"Despesa","",IFERROR(INDEX('Config'!$J$6:$J$40,MATCH(D174,'Config'!$I$6:$I$40,0)),"—"))</f>
        <v/>
      </c>
      <c r="K174" s="138" t="str">
        <f>IF(COUNTA(B174:F174)=0,"",IF(OR(B174="",C174="",D174="",F174=""),"▲ Completar","✔"))</f>
        <v/>
      </c>
    </row>
    <row r="175">
      <c r="B175" s="130" t="n"/>
      <c r="C175" s="129" t="n"/>
      <c r="D175" s="129" t="n"/>
      <c r="E175" s="129" t="n"/>
      <c r="F175" s="145" t="n"/>
      <c r="G175" s="129" t="n"/>
      <c r="H175" s="129" t="n"/>
      <c r="I175" s="129" t="n"/>
      <c r="J175" s="138" t="str">
        <f>IF(C175&lt;&gt;"Despesa","",IFERROR(INDEX('Config'!$J$6:$J$40,MATCH(D175,'Config'!$I$6:$I$40,0)),"—"))</f>
        <v/>
      </c>
      <c r="K175" s="138" t="str">
        <f>IF(COUNTA(B175:F175)=0,"",IF(OR(B175="",C175="",D175="",F175=""),"▲ Completar","✔"))</f>
        <v/>
      </c>
    </row>
    <row r="176">
      <c r="B176" s="130" t="n"/>
      <c r="C176" s="129" t="n"/>
      <c r="D176" s="129" t="n"/>
      <c r="E176" s="129" t="n"/>
      <c r="F176" s="145" t="n"/>
      <c r="G176" s="129" t="n"/>
      <c r="H176" s="129" t="n"/>
      <c r="I176" s="129" t="n"/>
      <c r="J176" s="138" t="str">
        <f>IF(C176&lt;&gt;"Despesa","",IFERROR(INDEX('Config'!$J$6:$J$40,MATCH(D176,'Config'!$I$6:$I$40,0)),"—"))</f>
        <v/>
      </c>
      <c r="K176" s="138" t="str">
        <f>IF(COUNTA(B176:F176)=0,"",IF(OR(B176="",C176="",D176="",F176=""),"▲ Completar","✔"))</f>
        <v/>
      </c>
    </row>
    <row r="177">
      <c r="B177" s="130" t="n"/>
      <c r="C177" s="129" t="n"/>
      <c r="D177" s="129" t="n"/>
      <c r="E177" s="129" t="n"/>
      <c r="F177" s="145" t="n"/>
      <c r="G177" s="129" t="n"/>
      <c r="H177" s="129" t="n"/>
      <c r="I177" s="129" t="n"/>
      <c r="J177" s="138" t="str">
        <f>IF(C177&lt;&gt;"Despesa","",IFERROR(INDEX('Config'!$J$6:$J$40,MATCH(D177,'Config'!$I$6:$I$40,0)),"—"))</f>
        <v/>
      </c>
      <c r="K177" s="138" t="str">
        <f>IF(COUNTA(B177:F177)=0,"",IF(OR(B177="",C177="",D177="",F177=""),"▲ Completar","✔"))</f>
        <v/>
      </c>
    </row>
    <row r="178">
      <c r="B178" s="130" t="n"/>
      <c r="C178" s="129" t="n"/>
      <c r="D178" s="129" t="n"/>
      <c r="E178" s="129" t="n"/>
      <c r="F178" s="145" t="n"/>
      <c r="G178" s="129" t="n"/>
      <c r="H178" s="129" t="n"/>
      <c r="I178" s="129" t="n"/>
      <c r="J178" s="138" t="str">
        <f>IF(C178&lt;&gt;"Despesa","",IFERROR(INDEX('Config'!$J$6:$J$40,MATCH(D178,'Config'!$I$6:$I$40,0)),"—"))</f>
        <v/>
      </c>
      <c r="K178" s="138" t="str">
        <f>IF(COUNTA(B178:F178)=0,"",IF(OR(B178="",C178="",D178="",F178=""),"▲ Completar","✔"))</f>
        <v/>
      </c>
    </row>
    <row r="179">
      <c r="B179" s="130" t="n"/>
      <c r="C179" s="129" t="n"/>
      <c r="D179" s="129" t="n"/>
      <c r="E179" s="129" t="n"/>
      <c r="F179" s="145" t="n"/>
      <c r="G179" s="129" t="n"/>
      <c r="H179" s="129" t="n"/>
      <c r="I179" s="129" t="n"/>
      <c r="J179" s="138" t="str">
        <f>IF(C179&lt;&gt;"Despesa","",IFERROR(INDEX('Config'!$J$6:$J$40,MATCH(D179,'Config'!$I$6:$I$40,0)),"—"))</f>
        <v/>
      </c>
      <c r="K179" s="138" t="str">
        <f>IF(COUNTA(B179:F179)=0,"",IF(OR(B179="",C179="",D179="",F179=""),"▲ Completar","✔"))</f>
        <v/>
      </c>
    </row>
    <row r="180">
      <c r="B180" s="130" t="n"/>
      <c r="C180" s="129" t="n"/>
      <c r="D180" s="129" t="n"/>
      <c r="E180" s="129" t="n"/>
      <c r="F180" s="145" t="n"/>
      <c r="G180" s="129" t="n"/>
      <c r="H180" s="129" t="n"/>
      <c r="I180" s="129" t="n"/>
      <c r="J180" s="138" t="str">
        <f>IF(C180&lt;&gt;"Despesa","",IFERROR(INDEX('Config'!$J$6:$J$40,MATCH(D180,'Config'!$I$6:$I$40,0)),"—"))</f>
        <v/>
      </c>
      <c r="K180" s="138" t="str">
        <f>IF(COUNTA(B180:F180)=0,"",IF(OR(B180="",C180="",D180="",F180=""),"▲ Completar","✔"))</f>
        <v/>
      </c>
    </row>
    <row r="181">
      <c r="B181" s="130" t="n"/>
      <c r="C181" s="129" t="n"/>
      <c r="D181" s="129" t="n"/>
      <c r="E181" s="129" t="n"/>
      <c r="F181" s="145" t="n"/>
      <c r="G181" s="129" t="n"/>
      <c r="H181" s="129" t="n"/>
      <c r="I181" s="129" t="n"/>
      <c r="J181" s="138" t="str">
        <f>IF(C181&lt;&gt;"Despesa","",IFERROR(INDEX('Config'!$J$6:$J$40,MATCH(D181,'Config'!$I$6:$I$40,0)),"—"))</f>
        <v/>
      </c>
      <c r="K181" s="138" t="str">
        <f>IF(COUNTA(B181:F181)=0,"",IF(OR(B181="",C181="",D181="",F181=""),"▲ Completar","✔"))</f>
        <v/>
      </c>
    </row>
    <row r="182">
      <c r="B182" s="130" t="n"/>
      <c r="C182" s="129" t="n"/>
      <c r="D182" s="129" t="n"/>
      <c r="E182" s="129" t="n"/>
      <c r="F182" s="145" t="n"/>
      <c r="G182" s="129" t="n"/>
      <c r="H182" s="129" t="n"/>
      <c r="I182" s="129" t="n"/>
      <c r="J182" s="138" t="str">
        <f>IF(C182&lt;&gt;"Despesa","",IFERROR(INDEX('Config'!$J$6:$J$40,MATCH(D182,'Config'!$I$6:$I$40,0)),"—"))</f>
        <v/>
      </c>
      <c r="K182" s="138" t="str">
        <f>IF(COUNTA(B182:F182)=0,"",IF(OR(B182="",C182="",D182="",F182=""),"▲ Completar","✔"))</f>
        <v/>
      </c>
    </row>
    <row r="183">
      <c r="B183" s="130" t="n"/>
      <c r="C183" s="129" t="n"/>
      <c r="D183" s="129" t="n"/>
      <c r="E183" s="129" t="n"/>
      <c r="F183" s="145" t="n"/>
      <c r="G183" s="129" t="n"/>
      <c r="H183" s="129" t="n"/>
      <c r="I183" s="129" t="n"/>
      <c r="J183" s="138" t="str">
        <f>IF(C183&lt;&gt;"Despesa","",IFERROR(INDEX('Config'!$J$6:$J$40,MATCH(D183,'Config'!$I$6:$I$40,0)),"—"))</f>
        <v/>
      </c>
      <c r="K183" s="138" t="str">
        <f>IF(COUNTA(B183:F183)=0,"",IF(OR(B183="",C183="",D183="",F183=""),"▲ Completar","✔"))</f>
        <v/>
      </c>
    </row>
    <row r="184">
      <c r="B184" s="130" t="n"/>
      <c r="C184" s="129" t="n"/>
      <c r="D184" s="129" t="n"/>
      <c r="E184" s="129" t="n"/>
      <c r="F184" s="145" t="n"/>
      <c r="G184" s="129" t="n"/>
      <c r="H184" s="129" t="n"/>
      <c r="I184" s="129" t="n"/>
      <c r="J184" s="138" t="str">
        <f>IF(C184&lt;&gt;"Despesa","",IFERROR(INDEX('Config'!$J$6:$J$40,MATCH(D184,'Config'!$I$6:$I$40,0)),"—"))</f>
        <v/>
      </c>
      <c r="K184" s="138" t="str">
        <f>IF(COUNTA(B184:F184)=0,"",IF(OR(B184="",C184="",D184="",F184=""),"▲ Completar","✔"))</f>
        <v/>
      </c>
    </row>
    <row r="185">
      <c r="B185" s="130" t="n"/>
      <c r="C185" s="129" t="n"/>
      <c r="D185" s="129" t="n"/>
      <c r="E185" s="129" t="n"/>
      <c r="F185" s="145" t="n"/>
      <c r="G185" s="129" t="n"/>
      <c r="H185" s="129" t="n"/>
      <c r="I185" s="129" t="n"/>
      <c r="J185" s="138" t="str">
        <f>IF(C185&lt;&gt;"Despesa","",IFERROR(INDEX('Config'!$J$6:$J$40,MATCH(D185,'Config'!$I$6:$I$40,0)),"—"))</f>
        <v/>
      </c>
      <c r="K185" s="138" t="str">
        <f>IF(COUNTA(B185:F185)=0,"",IF(OR(B185="",C185="",D185="",F185=""),"▲ Completar","✔"))</f>
        <v/>
      </c>
    </row>
    <row r="186">
      <c r="B186" s="130" t="n"/>
      <c r="C186" s="129" t="n"/>
      <c r="D186" s="129" t="n"/>
      <c r="E186" s="129" t="n"/>
      <c r="F186" s="145" t="n"/>
      <c r="G186" s="129" t="n"/>
      <c r="H186" s="129" t="n"/>
      <c r="I186" s="129" t="n"/>
      <c r="J186" s="138" t="str">
        <f>IF(C186&lt;&gt;"Despesa","",IFERROR(INDEX('Config'!$J$6:$J$40,MATCH(D186,'Config'!$I$6:$I$40,0)),"—"))</f>
        <v/>
      </c>
      <c r="K186" s="138" t="str">
        <f>IF(COUNTA(B186:F186)=0,"",IF(OR(B186="",C186="",D186="",F186=""),"▲ Completar","✔"))</f>
        <v/>
      </c>
    </row>
    <row r="187">
      <c r="B187" s="130" t="n"/>
      <c r="C187" s="129" t="n"/>
      <c r="D187" s="129" t="n"/>
      <c r="E187" s="129" t="n"/>
      <c r="F187" s="145" t="n"/>
      <c r="G187" s="129" t="n"/>
      <c r="H187" s="129" t="n"/>
      <c r="I187" s="129" t="n"/>
      <c r="J187" s="138" t="str">
        <f>IF(C187&lt;&gt;"Despesa","",IFERROR(INDEX('Config'!$J$6:$J$40,MATCH(D187,'Config'!$I$6:$I$40,0)),"—"))</f>
        <v/>
      </c>
      <c r="K187" s="138" t="str">
        <f>IF(COUNTA(B187:F187)=0,"",IF(OR(B187="",C187="",D187="",F187=""),"▲ Completar","✔"))</f>
        <v/>
      </c>
    </row>
    <row r="188">
      <c r="B188" s="130" t="n"/>
      <c r="C188" s="129" t="n"/>
      <c r="D188" s="129" t="n"/>
      <c r="E188" s="129" t="n"/>
      <c r="F188" s="145" t="n"/>
      <c r="G188" s="129" t="n"/>
      <c r="H188" s="129" t="n"/>
      <c r="I188" s="129" t="n"/>
      <c r="J188" s="138" t="str">
        <f>IF(C188&lt;&gt;"Despesa","",IFERROR(INDEX('Config'!$J$6:$J$40,MATCH(D188,'Config'!$I$6:$I$40,0)),"—"))</f>
        <v/>
      </c>
      <c r="K188" s="138" t="str">
        <f>IF(COUNTA(B188:F188)=0,"",IF(OR(B188="",C188="",D188="",F188=""),"▲ Completar","✔"))</f>
        <v/>
      </c>
    </row>
    <row r="189">
      <c r="B189" s="130" t="n"/>
      <c r="C189" s="129" t="n"/>
      <c r="D189" s="129" t="n"/>
      <c r="E189" s="129" t="n"/>
      <c r="F189" s="145" t="n"/>
      <c r="G189" s="129" t="n"/>
      <c r="H189" s="129" t="n"/>
      <c r="I189" s="129" t="n"/>
      <c r="J189" s="138" t="str">
        <f>IF(C189&lt;&gt;"Despesa","",IFERROR(INDEX('Config'!$J$6:$J$40,MATCH(D189,'Config'!$I$6:$I$40,0)),"—"))</f>
        <v/>
      </c>
      <c r="K189" s="138" t="str">
        <f>IF(COUNTA(B189:F189)=0,"",IF(OR(B189="",C189="",D189="",F189=""),"▲ Completar","✔"))</f>
        <v/>
      </c>
    </row>
    <row r="190">
      <c r="B190" s="130" t="n"/>
      <c r="C190" s="129" t="n"/>
      <c r="D190" s="129" t="n"/>
      <c r="E190" s="129" t="n"/>
      <c r="F190" s="145" t="n"/>
      <c r="G190" s="129" t="n"/>
      <c r="H190" s="129" t="n"/>
      <c r="I190" s="129" t="n"/>
      <c r="J190" s="138" t="str">
        <f>IF(C190&lt;&gt;"Despesa","",IFERROR(INDEX('Config'!$J$6:$J$40,MATCH(D190,'Config'!$I$6:$I$40,0)),"—"))</f>
        <v/>
      </c>
      <c r="K190" s="138" t="str">
        <f>IF(COUNTA(B190:F190)=0,"",IF(OR(B190="",C190="",D190="",F190=""),"▲ Completar","✔"))</f>
        <v/>
      </c>
    </row>
    <row r="191">
      <c r="B191" s="130" t="n"/>
      <c r="C191" s="129" t="n"/>
      <c r="D191" s="129" t="n"/>
      <c r="E191" s="129" t="n"/>
      <c r="F191" s="145" t="n"/>
      <c r="G191" s="129" t="n"/>
      <c r="H191" s="129" t="n"/>
      <c r="I191" s="129" t="n"/>
      <c r="J191" s="138" t="str">
        <f>IF(C191&lt;&gt;"Despesa","",IFERROR(INDEX('Config'!$J$6:$J$40,MATCH(D191,'Config'!$I$6:$I$40,0)),"—"))</f>
        <v/>
      </c>
      <c r="K191" s="138" t="str">
        <f>IF(COUNTA(B191:F191)=0,"",IF(OR(B191="",C191="",D191="",F191=""),"▲ Completar","✔"))</f>
        <v/>
      </c>
    </row>
    <row r="192">
      <c r="B192" s="130" t="n"/>
      <c r="C192" s="129" t="n"/>
      <c r="D192" s="129" t="n"/>
      <c r="E192" s="129" t="n"/>
      <c r="F192" s="145" t="n"/>
      <c r="G192" s="129" t="n"/>
      <c r="H192" s="129" t="n"/>
      <c r="I192" s="129" t="n"/>
      <c r="J192" s="138" t="str">
        <f>IF(C192&lt;&gt;"Despesa","",IFERROR(INDEX('Config'!$J$6:$J$40,MATCH(D192,'Config'!$I$6:$I$40,0)),"—"))</f>
        <v/>
      </c>
      <c r="K192" s="138" t="str">
        <f>IF(COUNTA(B192:F192)=0,"",IF(OR(B192="",C192="",D192="",F192=""),"▲ Completar","✔"))</f>
        <v/>
      </c>
    </row>
    <row r="193">
      <c r="B193" s="130" t="n"/>
      <c r="C193" s="129" t="n"/>
      <c r="D193" s="129" t="n"/>
      <c r="E193" s="129" t="n"/>
      <c r="F193" s="145" t="n"/>
      <c r="G193" s="129" t="n"/>
      <c r="H193" s="129" t="n"/>
      <c r="I193" s="129" t="n"/>
      <c r="J193" s="138" t="str">
        <f>IF(C193&lt;&gt;"Despesa","",IFERROR(INDEX('Config'!$J$6:$J$40,MATCH(D193,'Config'!$I$6:$I$40,0)),"—"))</f>
        <v/>
      </c>
      <c r="K193" s="138" t="str">
        <f>IF(COUNTA(B193:F193)=0,"",IF(OR(B193="",C193="",D193="",F193=""),"▲ Completar","✔"))</f>
        <v/>
      </c>
    </row>
    <row r="194">
      <c r="B194" s="130" t="n"/>
      <c r="C194" s="129" t="n"/>
      <c r="D194" s="129" t="n"/>
      <c r="E194" s="129" t="n"/>
      <c r="F194" s="145" t="n"/>
      <c r="G194" s="129" t="n"/>
      <c r="H194" s="129" t="n"/>
      <c r="I194" s="129" t="n"/>
      <c r="J194" s="138" t="str">
        <f>IF(C194&lt;&gt;"Despesa","",IFERROR(INDEX('Config'!$J$6:$J$40,MATCH(D194,'Config'!$I$6:$I$40,0)),"—"))</f>
        <v/>
      </c>
      <c r="K194" s="138" t="str">
        <f>IF(COUNTA(B194:F194)=0,"",IF(OR(B194="",C194="",D194="",F194=""),"▲ Completar","✔"))</f>
        <v/>
      </c>
    </row>
    <row r="195">
      <c r="B195" s="130" t="n"/>
      <c r="C195" s="129" t="n"/>
      <c r="D195" s="129" t="n"/>
      <c r="E195" s="129" t="n"/>
      <c r="F195" s="145" t="n"/>
      <c r="G195" s="129" t="n"/>
      <c r="H195" s="129" t="n"/>
      <c r="I195" s="129" t="n"/>
      <c r="J195" s="138" t="str">
        <f>IF(C195&lt;&gt;"Despesa","",IFERROR(INDEX('Config'!$J$6:$J$40,MATCH(D195,'Config'!$I$6:$I$40,0)),"—"))</f>
        <v/>
      </c>
      <c r="K195" s="138" t="str">
        <f>IF(COUNTA(B195:F195)=0,"",IF(OR(B195="",C195="",D195="",F195=""),"▲ Completar","✔"))</f>
        <v/>
      </c>
    </row>
    <row r="196">
      <c r="B196" s="130" t="n"/>
      <c r="C196" s="129" t="n"/>
      <c r="D196" s="129" t="n"/>
      <c r="E196" s="129" t="n"/>
      <c r="F196" s="145" t="n"/>
      <c r="G196" s="129" t="n"/>
      <c r="H196" s="129" t="n"/>
      <c r="I196" s="129" t="n"/>
      <c r="J196" s="138" t="str">
        <f>IF(C196&lt;&gt;"Despesa","",IFERROR(INDEX('Config'!$J$6:$J$40,MATCH(D196,'Config'!$I$6:$I$40,0)),"—"))</f>
        <v/>
      </c>
      <c r="K196" s="138" t="str">
        <f>IF(COUNTA(B196:F196)=0,"",IF(OR(B196="",C196="",D196="",F196=""),"▲ Completar","✔"))</f>
        <v/>
      </c>
    </row>
    <row r="197">
      <c r="B197" s="130" t="n"/>
      <c r="C197" s="129" t="n"/>
      <c r="D197" s="129" t="n"/>
      <c r="E197" s="129" t="n"/>
      <c r="F197" s="145" t="n"/>
      <c r="G197" s="129" t="n"/>
      <c r="H197" s="129" t="n"/>
      <c r="I197" s="129" t="n"/>
      <c r="J197" s="138" t="str">
        <f>IF(C197&lt;&gt;"Despesa","",IFERROR(INDEX('Config'!$J$6:$J$40,MATCH(D197,'Config'!$I$6:$I$40,0)),"—"))</f>
        <v/>
      </c>
      <c r="K197" s="138" t="str">
        <f>IF(COUNTA(B197:F197)=0,"",IF(OR(B197="",C197="",D197="",F197=""),"▲ Completar","✔"))</f>
        <v/>
      </c>
    </row>
    <row r="198">
      <c r="B198" s="130" t="n"/>
      <c r="C198" s="129" t="n"/>
      <c r="D198" s="129" t="n"/>
      <c r="E198" s="129" t="n"/>
      <c r="F198" s="145" t="n"/>
      <c r="G198" s="129" t="n"/>
      <c r="H198" s="129" t="n"/>
      <c r="I198" s="129" t="n"/>
      <c r="J198" s="138" t="str">
        <f>IF(C198&lt;&gt;"Despesa","",IFERROR(INDEX('Config'!$J$6:$J$40,MATCH(D198,'Config'!$I$6:$I$40,0)),"—"))</f>
        <v/>
      </c>
      <c r="K198" s="138" t="str">
        <f>IF(COUNTA(B198:F198)=0,"",IF(OR(B198="",C198="",D198="",F198=""),"▲ Completar","✔"))</f>
        <v/>
      </c>
    </row>
    <row r="199">
      <c r="B199" s="130" t="n"/>
      <c r="C199" s="129" t="n"/>
      <c r="D199" s="129" t="n"/>
      <c r="E199" s="129" t="n"/>
      <c r="F199" s="145" t="n"/>
      <c r="G199" s="129" t="n"/>
      <c r="H199" s="129" t="n"/>
      <c r="I199" s="129" t="n"/>
      <c r="J199" s="138" t="str">
        <f>IF(C199&lt;&gt;"Despesa","",IFERROR(INDEX('Config'!$J$6:$J$40,MATCH(D199,'Config'!$I$6:$I$40,0)),"—"))</f>
        <v/>
      </c>
      <c r="K199" s="138" t="str">
        <f>IF(COUNTA(B199:F199)=0,"",IF(OR(B199="",C199="",D199="",F199=""),"▲ Completar","✔"))</f>
        <v/>
      </c>
    </row>
    <row r="200">
      <c r="B200" s="130" t="n"/>
      <c r="C200" s="129" t="n"/>
      <c r="D200" s="129" t="n"/>
      <c r="E200" s="129" t="n"/>
      <c r="F200" s="145" t="n"/>
      <c r="G200" s="129" t="n"/>
      <c r="H200" s="129" t="n"/>
      <c r="I200" s="129" t="n"/>
      <c r="J200" s="138" t="str">
        <f>IF(C200&lt;&gt;"Despesa","",IFERROR(INDEX('Config'!$J$6:$J$40,MATCH(D200,'Config'!$I$6:$I$40,0)),"—"))</f>
        <v/>
      </c>
      <c r="K200" s="138" t="str">
        <f>IF(COUNTA(B200:F200)=0,"",IF(OR(B200="",C200="",D200="",F200=""),"▲ Completar","✔"))</f>
        <v/>
      </c>
    </row>
    <row r="201">
      <c r="B201" s="130" t="n"/>
      <c r="C201" s="129" t="n"/>
      <c r="D201" s="129" t="n"/>
      <c r="E201" s="129" t="n"/>
      <c r="F201" s="145" t="n"/>
      <c r="G201" s="129" t="n"/>
      <c r="H201" s="129" t="n"/>
      <c r="I201" s="129" t="n"/>
      <c r="J201" s="138" t="str">
        <f>IF(C201&lt;&gt;"Despesa","",IFERROR(INDEX('Config'!$J$6:$J$40,MATCH(D201,'Config'!$I$6:$I$40,0)),"—"))</f>
        <v/>
      </c>
      <c r="K201" s="138" t="str">
        <f>IF(COUNTA(B201:F201)=0,"",IF(OR(B201="",C201="",D201="",F201=""),"▲ Completar","✔"))</f>
        <v/>
      </c>
    </row>
    <row r="202">
      <c r="B202" s="130" t="n"/>
      <c r="C202" s="129" t="n"/>
      <c r="D202" s="129" t="n"/>
      <c r="E202" s="129" t="n"/>
      <c r="F202" s="145" t="n"/>
      <c r="G202" s="129" t="n"/>
      <c r="H202" s="129" t="n"/>
      <c r="I202" s="129" t="n"/>
      <c r="J202" s="138" t="str">
        <f>IF(C202&lt;&gt;"Despesa","",IFERROR(INDEX('Config'!$J$6:$J$40,MATCH(D202,'Config'!$I$6:$I$40,0)),"—"))</f>
        <v/>
      </c>
      <c r="K202" s="138" t="str">
        <f>IF(COUNTA(B202:F202)=0,"",IF(OR(B202="",C202="",D202="",F202=""),"▲ Completar","✔"))</f>
        <v/>
      </c>
    </row>
    <row r="203">
      <c r="B203" s="130" t="n"/>
      <c r="C203" s="129" t="n"/>
      <c r="D203" s="129" t="n"/>
      <c r="E203" s="129" t="n"/>
      <c r="F203" s="145" t="n"/>
      <c r="G203" s="129" t="n"/>
      <c r="H203" s="129" t="n"/>
      <c r="I203" s="129" t="n"/>
      <c r="J203" s="138" t="str">
        <f>IF(C203&lt;&gt;"Despesa","",IFERROR(INDEX('Config'!$J$6:$J$40,MATCH(D203,'Config'!$I$6:$I$40,0)),"—"))</f>
        <v/>
      </c>
      <c r="K203" s="138" t="str">
        <f>IF(COUNTA(B203:F203)=0,"",IF(OR(B203="",C203="",D203="",F203=""),"▲ Completar","✔"))</f>
        <v/>
      </c>
    </row>
    <row r="204">
      <c r="B204" s="130" t="n"/>
      <c r="C204" s="129" t="n"/>
      <c r="D204" s="129" t="n"/>
      <c r="E204" s="129" t="n"/>
      <c r="F204" s="145" t="n"/>
      <c r="G204" s="129" t="n"/>
      <c r="H204" s="129" t="n"/>
      <c r="I204" s="129" t="n"/>
      <c r="J204" s="138" t="str">
        <f>IF(C204&lt;&gt;"Despesa","",IFERROR(INDEX('Config'!$J$6:$J$40,MATCH(D204,'Config'!$I$6:$I$40,0)),"—"))</f>
        <v/>
      </c>
      <c r="K204" s="138" t="str">
        <f>IF(COUNTA(B204:F204)=0,"",IF(OR(B204="",C204="",D204="",F204=""),"▲ Completar","✔"))</f>
        <v/>
      </c>
    </row>
    <row r="205">
      <c r="B205" s="130" t="n"/>
      <c r="C205" s="129" t="n"/>
      <c r="D205" s="129" t="n"/>
      <c r="E205" s="129" t="n"/>
      <c r="F205" s="145" t="n"/>
      <c r="G205" s="129" t="n"/>
      <c r="H205" s="129" t="n"/>
      <c r="I205" s="129" t="n"/>
      <c r="J205" s="138" t="str">
        <f>IF(C205&lt;&gt;"Despesa","",IFERROR(INDEX('Config'!$J$6:$J$40,MATCH(D205,'Config'!$I$6:$I$40,0)),"—"))</f>
        <v/>
      </c>
      <c r="K205" s="138" t="str">
        <f>IF(COUNTA(B205:F205)=0,"",IF(OR(B205="",C205="",D205="",F205=""),"▲ Completar","✔"))</f>
        <v/>
      </c>
    </row>
    <row r="206">
      <c r="B206" s="130" t="n"/>
      <c r="C206" s="129" t="n"/>
      <c r="D206" s="129" t="n"/>
      <c r="E206" s="129" t="n"/>
      <c r="F206" s="145" t="n"/>
      <c r="G206" s="129" t="n"/>
      <c r="H206" s="129" t="n"/>
      <c r="I206" s="129" t="n"/>
      <c r="J206" s="138" t="str">
        <f>IF(C206&lt;&gt;"Despesa","",IFERROR(INDEX('Config'!$J$6:$J$40,MATCH(D206,'Config'!$I$6:$I$40,0)),"—"))</f>
        <v/>
      </c>
      <c r="K206" s="138" t="str">
        <f>IF(COUNTA(B206:F206)=0,"",IF(OR(B206="",C206="",D206="",F206=""),"▲ Completar","✔"))</f>
        <v/>
      </c>
    </row>
    <row r="207">
      <c r="B207" s="130" t="n"/>
      <c r="C207" s="129" t="n"/>
      <c r="D207" s="129" t="n"/>
      <c r="E207" s="129" t="n"/>
      <c r="F207" s="145" t="n"/>
      <c r="G207" s="129" t="n"/>
      <c r="H207" s="129" t="n"/>
      <c r="I207" s="129" t="n"/>
      <c r="J207" s="138" t="str">
        <f>IF(C207&lt;&gt;"Despesa","",IFERROR(INDEX('Config'!$J$6:$J$40,MATCH(D207,'Config'!$I$6:$I$40,0)),"—"))</f>
        <v/>
      </c>
      <c r="K207" s="138" t="str">
        <f>IF(COUNTA(B207:F207)=0,"",IF(OR(B207="",C207="",D207="",F207=""),"▲ Completar","✔"))</f>
        <v/>
      </c>
    </row>
    <row r="208">
      <c r="B208" s="130" t="n"/>
      <c r="C208" s="129" t="n"/>
      <c r="D208" s="129" t="n"/>
      <c r="E208" s="129" t="n"/>
      <c r="F208" s="145" t="n"/>
      <c r="G208" s="129" t="n"/>
      <c r="H208" s="129" t="n"/>
      <c r="I208" s="129" t="n"/>
      <c r="J208" s="138" t="str">
        <f>IF(C208&lt;&gt;"Despesa","",IFERROR(INDEX('Config'!$J$6:$J$40,MATCH(D208,'Config'!$I$6:$I$40,0)),"—"))</f>
        <v/>
      </c>
      <c r="K208" s="138" t="str">
        <f>IF(COUNTA(B208:F208)=0,"",IF(OR(B208="",C208="",D208="",F208=""),"▲ Completar","✔"))</f>
        <v/>
      </c>
    </row>
    <row r="209">
      <c r="B209" s="130" t="n"/>
      <c r="C209" s="129" t="n"/>
      <c r="D209" s="129" t="n"/>
      <c r="E209" s="129" t="n"/>
      <c r="F209" s="145" t="n"/>
      <c r="G209" s="129" t="n"/>
      <c r="H209" s="129" t="n"/>
      <c r="I209" s="129" t="n"/>
      <c r="J209" s="138" t="str">
        <f>IF(C209&lt;&gt;"Despesa","",IFERROR(INDEX('Config'!$J$6:$J$40,MATCH(D209,'Config'!$I$6:$I$40,0)),"—"))</f>
        <v/>
      </c>
      <c r="K209" s="138" t="str">
        <f>IF(COUNTA(B209:F209)=0,"",IF(OR(B209="",C209="",D209="",F209=""),"▲ Completar","✔"))</f>
        <v/>
      </c>
    </row>
    <row r="210">
      <c r="B210" s="130" t="n"/>
      <c r="C210" s="129" t="n"/>
      <c r="D210" s="129" t="n"/>
      <c r="E210" s="129" t="n"/>
      <c r="F210" s="145" t="n"/>
      <c r="G210" s="129" t="n"/>
      <c r="H210" s="129" t="n"/>
      <c r="I210" s="129" t="n"/>
      <c r="J210" s="138" t="str">
        <f>IF(C210&lt;&gt;"Despesa","",IFERROR(INDEX('Config'!$J$6:$J$40,MATCH(D210,'Config'!$I$6:$I$40,0)),"—"))</f>
        <v/>
      </c>
      <c r="K210" s="138" t="str">
        <f>IF(COUNTA(B210:F210)=0,"",IF(OR(B210="",C210="",D210="",F210=""),"▲ Completar","✔"))</f>
        <v/>
      </c>
    </row>
    <row r="211">
      <c r="B211" s="130" t="n"/>
      <c r="C211" s="129" t="n"/>
      <c r="D211" s="129" t="n"/>
      <c r="E211" s="129" t="n"/>
      <c r="F211" s="145" t="n"/>
      <c r="G211" s="129" t="n"/>
      <c r="H211" s="129" t="n"/>
      <c r="I211" s="129" t="n"/>
      <c r="J211" s="138" t="str">
        <f>IF(C211&lt;&gt;"Despesa","",IFERROR(INDEX('Config'!$J$6:$J$40,MATCH(D211,'Config'!$I$6:$I$40,0)),"—"))</f>
        <v/>
      </c>
      <c r="K211" s="138" t="str">
        <f>IF(COUNTA(B211:F211)=0,"",IF(OR(B211="",C211="",D211="",F211=""),"▲ Completar","✔"))</f>
        <v/>
      </c>
    </row>
    <row r="212">
      <c r="B212" s="130" t="n"/>
      <c r="C212" s="129" t="n"/>
      <c r="D212" s="129" t="n"/>
      <c r="E212" s="129" t="n"/>
      <c r="F212" s="145" t="n"/>
      <c r="G212" s="129" t="n"/>
      <c r="H212" s="129" t="n"/>
      <c r="I212" s="129" t="n"/>
      <c r="J212" s="138" t="str">
        <f>IF(C212&lt;&gt;"Despesa","",IFERROR(INDEX('Config'!$J$6:$J$40,MATCH(D212,'Config'!$I$6:$I$40,0)),"—"))</f>
        <v/>
      </c>
      <c r="K212" s="138" t="str">
        <f>IF(COUNTA(B212:F212)=0,"",IF(OR(B212="",C212="",D212="",F212=""),"▲ Completar","✔"))</f>
        <v/>
      </c>
    </row>
    <row r="213">
      <c r="B213" s="130" t="n"/>
      <c r="C213" s="129" t="n"/>
      <c r="D213" s="129" t="n"/>
      <c r="E213" s="129" t="n"/>
      <c r="F213" s="145" t="n"/>
      <c r="G213" s="129" t="n"/>
      <c r="H213" s="129" t="n"/>
      <c r="I213" s="129" t="n"/>
      <c r="J213" s="138" t="str">
        <f>IF(C213&lt;&gt;"Despesa","",IFERROR(INDEX('Config'!$J$6:$J$40,MATCH(D213,'Config'!$I$6:$I$40,0)),"—"))</f>
        <v/>
      </c>
      <c r="K213" s="138" t="str">
        <f>IF(COUNTA(B213:F213)=0,"",IF(OR(B213="",C213="",D213="",F213=""),"▲ Completar","✔"))</f>
        <v/>
      </c>
    </row>
    <row r="214">
      <c r="B214" s="130" t="n"/>
      <c r="C214" s="129" t="n"/>
      <c r="D214" s="129" t="n"/>
      <c r="E214" s="129" t="n"/>
      <c r="F214" s="145" t="n"/>
      <c r="G214" s="129" t="n"/>
      <c r="H214" s="129" t="n"/>
      <c r="I214" s="129" t="n"/>
      <c r="J214" s="138" t="str">
        <f>IF(C214&lt;&gt;"Despesa","",IFERROR(INDEX('Config'!$J$6:$J$40,MATCH(D214,'Config'!$I$6:$I$40,0)),"—"))</f>
        <v/>
      </c>
      <c r="K214" s="138" t="str">
        <f>IF(COUNTA(B214:F214)=0,"",IF(OR(B214="",C214="",D214="",F214=""),"▲ Completar","✔"))</f>
        <v/>
      </c>
    </row>
    <row r="215">
      <c r="B215" s="130" t="n"/>
      <c r="C215" s="129" t="n"/>
      <c r="D215" s="129" t="n"/>
      <c r="E215" s="129" t="n"/>
      <c r="F215" s="145" t="n"/>
      <c r="G215" s="129" t="n"/>
      <c r="H215" s="129" t="n"/>
      <c r="I215" s="129" t="n"/>
      <c r="J215" s="138" t="str">
        <f>IF(C215&lt;&gt;"Despesa","",IFERROR(INDEX('Config'!$J$6:$J$40,MATCH(D215,'Config'!$I$6:$I$40,0)),"—"))</f>
        <v/>
      </c>
      <c r="K215" s="138" t="str">
        <f>IF(COUNTA(B215:F215)=0,"",IF(OR(B215="",C215="",D215="",F215=""),"▲ Completar","✔"))</f>
        <v/>
      </c>
    </row>
    <row r="216">
      <c r="B216" s="130" t="n"/>
      <c r="C216" s="129" t="n"/>
      <c r="D216" s="129" t="n"/>
      <c r="E216" s="129" t="n"/>
      <c r="F216" s="145" t="n"/>
      <c r="G216" s="129" t="n"/>
      <c r="H216" s="129" t="n"/>
      <c r="I216" s="129" t="n"/>
      <c r="J216" s="138" t="str">
        <f>IF(C216&lt;&gt;"Despesa","",IFERROR(INDEX('Config'!$J$6:$J$40,MATCH(D216,'Config'!$I$6:$I$40,0)),"—"))</f>
        <v/>
      </c>
      <c r="K216" s="138" t="str">
        <f>IF(COUNTA(B216:F216)=0,"",IF(OR(B216="",C216="",D216="",F216=""),"▲ Completar","✔"))</f>
        <v/>
      </c>
    </row>
    <row r="217">
      <c r="B217" s="130" t="n"/>
      <c r="C217" s="129" t="n"/>
      <c r="D217" s="129" t="n"/>
      <c r="E217" s="129" t="n"/>
      <c r="F217" s="145" t="n"/>
      <c r="G217" s="129" t="n"/>
      <c r="H217" s="129" t="n"/>
      <c r="I217" s="129" t="n"/>
      <c r="J217" s="138" t="str">
        <f>IF(C217&lt;&gt;"Despesa","",IFERROR(INDEX('Config'!$J$6:$J$40,MATCH(D217,'Config'!$I$6:$I$40,0)),"—"))</f>
        <v/>
      </c>
      <c r="K217" s="138" t="str">
        <f>IF(COUNTA(B217:F217)=0,"",IF(OR(B217="",C217="",D217="",F217=""),"▲ Completar","✔"))</f>
        <v/>
      </c>
    </row>
    <row r="218">
      <c r="B218" s="130" t="n"/>
      <c r="C218" s="129" t="n"/>
      <c r="D218" s="129" t="n"/>
      <c r="E218" s="129" t="n"/>
      <c r="F218" s="145" t="n"/>
      <c r="G218" s="129" t="n"/>
      <c r="H218" s="129" t="n"/>
      <c r="I218" s="129" t="n"/>
      <c r="J218" s="138" t="str">
        <f>IF(C218&lt;&gt;"Despesa","",IFERROR(INDEX('Config'!$J$6:$J$40,MATCH(D218,'Config'!$I$6:$I$40,0)),"—"))</f>
        <v/>
      </c>
      <c r="K218" s="138" t="str">
        <f>IF(COUNTA(B218:F218)=0,"",IF(OR(B218="",C218="",D218="",F218=""),"▲ Completar","✔"))</f>
        <v/>
      </c>
    </row>
    <row r="219">
      <c r="B219" s="130" t="n"/>
      <c r="C219" s="129" t="n"/>
      <c r="D219" s="129" t="n"/>
      <c r="E219" s="129" t="n"/>
      <c r="F219" s="145" t="n"/>
      <c r="G219" s="129" t="n"/>
      <c r="H219" s="129" t="n"/>
      <c r="I219" s="129" t="n"/>
      <c r="J219" s="138" t="str">
        <f>IF(C219&lt;&gt;"Despesa","",IFERROR(INDEX('Config'!$J$6:$J$40,MATCH(D219,'Config'!$I$6:$I$40,0)),"—"))</f>
        <v/>
      </c>
      <c r="K219" s="138" t="str">
        <f>IF(COUNTA(B219:F219)=0,"",IF(OR(B219="",C219="",D219="",F219=""),"▲ Completar","✔"))</f>
        <v/>
      </c>
    </row>
    <row r="220">
      <c r="B220" s="130" t="n"/>
      <c r="C220" s="129" t="n"/>
      <c r="D220" s="129" t="n"/>
      <c r="E220" s="129" t="n"/>
      <c r="F220" s="145" t="n"/>
      <c r="G220" s="129" t="n"/>
      <c r="H220" s="129" t="n"/>
      <c r="I220" s="129" t="n"/>
      <c r="J220" s="138" t="str">
        <f>IF(C220&lt;&gt;"Despesa","",IFERROR(INDEX('Config'!$J$6:$J$40,MATCH(D220,'Config'!$I$6:$I$40,0)),"—"))</f>
        <v/>
      </c>
      <c r="K220" s="138" t="str">
        <f>IF(COUNTA(B220:F220)=0,"",IF(OR(B220="",C220="",D220="",F220=""),"▲ Completar","✔"))</f>
        <v/>
      </c>
    </row>
    <row r="221">
      <c r="B221" s="130" t="n"/>
      <c r="C221" s="129" t="n"/>
      <c r="D221" s="129" t="n"/>
      <c r="E221" s="129" t="n"/>
      <c r="F221" s="145" t="n"/>
      <c r="G221" s="129" t="n"/>
      <c r="H221" s="129" t="n"/>
      <c r="I221" s="129" t="n"/>
      <c r="J221" s="138" t="str">
        <f>IF(C221&lt;&gt;"Despesa","",IFERROR(INDEX('Config'!$J$6:$J$40,MATCH(D221,'Config'!$I$6:$I$40,0)),"—"))</f>
        <v/>
      </c>
      <c r="K221" s="138" t="str">
        <f>IF(COUNTA(B221:F221)=0,"",IF(OR(B221="",C221="",D221="",F221=""),"▲ Completar","✔"))</f>
        <v/>
      </c>
    </row>
    <row r="222">
      <c r="B222" s="130" t="n"/>
      <c r="C222" s="129" t="n"/>
      <c r="D222" s="129" t="n"/>
      <c r="E222" s="129" t="n"/>
      <c r="F222" s="145" t="n"/>
      <c r="G222" s="129" t="n"/>
      <c r="H222" s="129" t="n"/>
      <c r="I222" s="129" t="n"/>
      <c r="J222" s="138" t="str">
        <f>IF(C222&lt;&gt;"Despesa","",IFERROR(INDEX('Config'!$J$6:$J$40,MATCH(D222,'Config'!$I$6:$I$40,0)),"—"))</f>
        <v/>
      </c>
      <c r="K222" s="138" t="str">
        <f>IF(COUNTA(B222:F222)=0,"",IF(OR(B222="",C222="",D222="",F222=""),"▲ Completar","✔"))</f>
        <v/>
      </c>
    </row>
    <row r="223">
      <c r="B223" s="130" t="n"/>
      <c r="C223" s="129" t="n"/>
      <c r="D223" s="129" t="n"/>
      <c r="E223" s="129" t="n"/>
      <c r="F223" s="145" t="n"/>
      <c r="G223" s="129" t="n"/>
      <c r="H223" s="129" t="n"/>
      <c r="I223" s="129" t="n"/>
      <c r="J223" s="138" t="str">
        <f>IF(C223&lt;&gt;"Despesa","",IFERROR(INDEX('Config'!$J$6:$J$40,MATCH(D223,'Config'!$I$6:$I$40,0)),"—"))</f>
        <v/>
      </c>
      <c r="K223" s="138" t="str">
        <f>IF(COUNTA(B223:F223)=0,"",IF(OR(B223="",C223="",D223="",F223=""),"▲ Completar","✔"))</f>
        <v/>
      </c>
    </row>
    <row r="224">
      <c r="B224" s="130" t="n"/>
      <c r="C224" s="129" t="n"/>
      <c r="D224" s="129" t="n"/>
      <c r="E224" s="129" t="n"/>
      <c r="F224" s="145" t="n"/>
      <c r="G224" s="129" t="n"/>
      <c r="H224" s="129" t="n"/>
      <c r="I224" s="129" t="n"/>
      <c r="J224" s="138" t="str">
        <f>IF(C224&lt;&gt;"Despesa","",IFERROR(INDEX('Config'!$J$6:$J$40,MATCH(D224,'Config'!$I$6:$I$40,0)),"—"))</f>
        <v/>
      </c>
      <c r="K224" s="138" t="str">
        <f>IF(COUNTA(B224:F224)=0,"",IF(OR(B224="",C224="",D224="",F224=""),"▲ Completar","✔"))</f>
        <v/>
      </c>
    </row>
    <row r="225">
      <c r="B225" s="130" t="n"/>
      <c r="C225" s="129" t="n"/>
      <c r="D225" s="129" t="n"/>
      <c r="E225" s="129" t="n"/>
      <c r="F225" s="145" t="n"/>
      <c r="G225" s="129" t="n"/>
      <c r="H225" s="129" t="n"/>
      <c r="I225" s="129" t="n"/>
      <c r="J225" s="138" t="str">
        <f>IF(C225&lt;&gt;"Despesa","",IFERROR(INDEX('Config'!$J$6:$J$40,MATCH(D225,'Config'!$I$6:$I$40,0)),"—"))</f>
        <v/>
      </c>
      <c r="K225" s="138" t="str">
        <f>IF(COUNTA(B225:F225)=0,"",IF(OR(B225="",C225="",D225="",F225=""),"▲ Completar","✔"))</f>
        <v/>
      </c>
    </row>
    <row r="226">
      <c r="B226" s="130" t="n"/>
      <c r="C226" s="129" t="n"/>
      <c r="D226" s="129" t="n"/>
      <c r="E226" s="129" t="n"/>
      <c r="F226" s="145" t="n"/>
      <c r="G226" s="129" t="n"/>
      <c r="H226" s="129" t="n"/>
      <c r="I226" s="129" t="n"/>
      <c r="J226" s="138" t="str">
        <f>IF(C226&lt;&gt;"Despesa","",IFERROR(INDEX('Config'!$J$6:$J$40,MATCH(D226,'Config'!$I$6:$I$40,0)),"—"))</f>
        <v/>
      </c>
      <c r="K226" s="138" t="str">
        <f>IF(COUNTA(B226:F226)=0,"",IF(OR(B226="",C226="",D226="",F226=""),"▲ Completar","✔"))</f>
        <v/>
      </c>
    </row>
    <row r="227">
      <c r="B227" s="130" t="n"/>
      <c r="C227" s="129" t="n"/>
      <c r="D227" s="129" t="n"/>
      <c r="E227" s="129" t="n"/>
      <c r="F227" s="145" t="n"/>
      <c r="G227" s="129" t="n"/>
      <c r="H227" s="129" t="n"/>
      <c r="I227" s="129" t="n"/>
      <c r="J227" s="138" t="str">
        <f>IF(C227&lt;&gt;"Despesa","",IFERROR(INDEX('Config'!$J$6:$J$40,MATCH(D227,'Config'!$I$6:$I$40,0)),"—"))</f>
        <v/>
      </c>
      <c r="K227" s="138" t="str">
        <f>IF(COUNTA(B227:F227)=0,"",IF(OR(B227="",C227="",D227="",F227=""),"▲ Completar","✔"))</f>
        <v/>
      </c>
    </row>
    <row r="228">
      <c r="B228" s="130" t="n"/>
      <c r="C228" s="129" t="n"/>
      <c r="D228" s="129" t="n"/>
      <c r="E228" s="129" t="n"/>
      <c r="F228" s="145" t="n"/>
      <c r="G228" s="129" t="n"/>
      <c r="H228" s="129" t="n"/>
      <c r="I228" s="129" t="n"/>
      <c r="J228" s="138" t="str">
        <f>IF(C228&lt;&gt;"Despesa","",IFERROR(INDEX('Config'!$J$6:$J$40,MATCH(D228,'Config'!$I$6:$I$40,0)),"—"))</f>
        <v/>
      </c>
      <c r="K228" s="138" t="str">
        <f>IF(COUNTA(B228:F228)=0,"",IF(OR(B228="",C228="",D228="",F228=""),"▲ Completar","✔"))</f>
        <v/>
      </c>
    </row>
    <row r="229">
      <c r="B229" s="130" t="n"/>
      <c r="C229" s="129" t="n"/>
      <c r="D229" s="129" t="n"/>
      <c r="E229" s="129" t="n"/>
      <c r="F229" s="145" t="n"/>
      <c r="G229" s="129" t="n"/>
      <c r="H229" s="129" t="n"/>
      <c r="I229" s="129" t="n"/>
      <c r="J229" s="138" t="str">
        <f>IF(C229&lt;&gt;"Despesa","",IFERROR(INDEX('Config'!$J$6:$J$40,MATCH(D229,'Config'!$I$6:$I$40,0)),"—"))</f>
        <v/>
      </c>
      <c r="K229" s="138" t="str">
        <f>IF(COUNTA(B229:F229)=0,"",IF(OR(B229="",C229="",D229="",F229=""),"▲ Completar","✔"))</f>
        <v/>
      </c>
    </row>
    <row r="230">
      <c r="B230" s="130" t="n"/>
      <c r="C230" s="129" t="n"/>
      <c r="D230" s="129" t="n"/>
      <c r="E230" s="129" t="n"/>
      <c r="F230" s="145" t="n"/>
      <c r="G230" s="129" t="n"/>
      <c r="H230" s="129" t="n"/>
      <c r="I230" s="129" t="n"/>
      <c r="J230" s="138" t="str">
        <f>IF(C230&lt;&gt;"Despesa","",IFERROR(INDEX('Config'!$J$6:$J$40,MATCH(D230,'Config'!$I$6:$I$40,0)),"—"))</f>
        <v/>
      </c>
      <c r="K230" s="138" t="str">
        <f>IF(COUNTA(B230:F230)=0,"",IF(OR(B230="",C230="",D230="",F230=""),"▲ Completar","✔"))</f>
        <v/>
      </c>
    </row>
    <row r="231">
      <c r="B231" s="130" t="n"/>
      <c r="C231" s="129" t="n"/>
      <c r="D231" s="129" t="n"/>
      <c r="E231" s="129" t="n"/>
      <c r="F231" s="145" t="n"/>
      <c r="G231" s="129" t="n"/>
      <c r="H231" s="129" t="n"/>
      <c r="I231" s="129" t="n"/>
      <c r="J231" s="138" t="str">
        <f>IF(C231&lt;&gt;"Despesa","",IFERROR(INDEX('Config'!$J$6:$J$40,MATCH(D231,'Config'!$I$6:$I$40,0)),"—"))</f>
        <v/>
      </c>
      <c r="K231" s="138" t="str">
        <f>IF(COUNTA(B231:F231)=0,"",IF(OR(B231="",C231="",D231="",F231=""),"▲ Completar","✔"))</f>
        <v/>
      </c>
    </row>
    <row r="232">
      <c r="B232" s="130" t="n"/>
      <c r="C232" s="129" t="n"/>
      <c r="D232" s="129" t="n"/>
      <c r="E232" s="129" t="n"/>
      <c r="F232" s="145" t="n"/>
      <c r="G232" s="129" t="n"/>
      <c r="H232" s="129" t="n"/>
      <c r="I232" s="129" t="n"/>
      <c r="J232" s="138" t="str">
        <f>IF(C232&lt;&gt;"Despesa","",IFERROR(INDEX('Config'!$J$6:$J$40,MATCH(D232,'Config'!$I$6:$I$40,0)),"—"))</f>
        <v/>
      </c>
      <c r="K232" s="138" t="str">
        <f>IF(COUNTA(B232:F232)=0,"",IF(OR(B232="",C232="",D232="",F232=""),"▲ Completar","✔"))</f>
        <v/>
      </c>
    </row>
    <row r="233">
      <c r="B233" s="130" t="n"/>
      <c r="C233" s="129" t="n"/>
      <c r="D233" s="129" t="n"/>
      <c r="E233" s="129" t="n"/>
      <c r="F233" s="145" t="n"/>
      <c r="G233" s="129" t="n"/>
      <c r="H233" s="129" t="n"/>
      <c r="I233" s="129" t="n"/>
      <c r="J233" s="138" t="str">
        <f>IF(C233&lt;&gt;"Despesa","",IFERROR(INDEX('Config'!$J$6:$J$40,MATCH(D233,'Config'!$I$6:$I$40,0)),"—"))</f>
        <v/>
      </c>
      <c r="K233" s="138" t="str">
        <f>IF(COUNTA(B233:F233)=0,"",IF(OR(B233="",C233="",D233="",F233=""),"▲ Completar","✔"))</f>
        <v/>
      </c>
    </row>
    <row r="234">
      <c r="B234" s="130" t="n"/>
      <c r="C234" s="129" t="n"/>
      <c r="D234" s="129" t="n"/>
      <c r="E234" s="129" t="n"/>
      <c r="F234" s="145" t="n"/>
      <c r="G234" s="129" t="n"/>
      <c r="H234" s="129" t="n"/>
      <c r="I234" s="129" t="n"/>
      <c r="J234" s="138" t="str">
        <f>IF(C234&lt;&gt;"Despesa","",IFERROR(INDEX('Config'!$J$6:$J$40,MATCH(D234,'Config'!$I$6:$I$40,0)),"—"))</f>
        <v/>
      </c>
      <c r="K234" s="138" t="str">
        <f>IF(COUNTA(B234:F234)=0,"",IF(OR(B234="",C234="",D234="",F234=""),"▲ Completar","✔"))</f>
        <v/>
      </c>
    </row>
    <row r="235">
      <c r="B235" s="130" t="n"/>
      <c r="C235" s="129" t="n"/>
      <c r="D235" s="129" t="n"/>
      <c r="E235" s="129" t="n"/>
      <c r="F235" s="145" t="n"/>
      <c r="G235" s="129" t="n"/>
      <c r="H235" s="129" t="n"/>
      <c r="I235" s="129" t="n"/>
      <c r="J235" s="138" t="str">
        <f>IF(C235&lt;&gt;"Despesa","",IFERROR(INDEX('Config'!$J$6:$J$40,MATCH(D235,'Config'!$I$6:$I$40,0)),"—"))</f>
        <v/>
      </c>
      <c r="K235" s="138" t="str">
        <f>IF(COUNTA(B235:F235)=0,"",IF(OR(B235="",C235="",D235="",F235=""),"▲ Completar","✔"))</f>
        <v/>
      </c>
    </row>
    <row r="236">
      <c r="B236" s="130" t="n"/>
      <c r="C236" s="129" t="n"/>
      <c r="D236" s="129" t="n"/>
      <c r="E236" s="129" t="n"/>
      <c r="F236" s="145" t="n"/>
      <c r="G236" s="129" t="n"/>
      <c r="H236" s="129" t="n"/>
      <c r="I236" s="129" t="n"/>
      <c r="J236" s="138" t="str">
        <f>IF(C236&lt;&gt;"Despesa","",IFERROR(INDEX('Config'!$J$6:$J$40,MATCH(D236,'Config'!$I$6:$I$40,0)),"—"))</f>
        <v/>
      </c>
      <c r="K236" s="138" t="str">
        <f>IF(COUNTA(B236:F236)=0,"",IF(OR(B236="",C236="",D236="",F236=""),"▲ Completar","✔"))</f>
        <v/>
      </c>
    </row>
    <row r="237">
      <c r="B237" s="130" t="n"/>
      <c r="C237" s="129" t="n"/>
      <c r="D237" s="129" t="n"/>
      <c r="E237" s="129" t="n"/>
      <c r="F237" s="145" t="n"/>
      <c r="G237" s="129" t="n"/>
      <c r="H237" s="129" t="n"/>
      <c r="I237" s="129" t="n"/>
      <c r="J237" s="138" t="str">
        <f>IF(C237&lt;&gt;"Despesa","",IFERROR(INDEX('Config'!$J$6:$J$40,MATCH(D237,'Config'!$I$6:$I$40,0)),"—"))</f>
        <v/>
      </c>
      <c r="K237" s="138" t="str">
        <f>IF(COUNTA(B237:F237)=0,"",IF(OR(B237="",C237="",D237="",F237=""),"▲ Completar","✔"))</f>
        <v/>
      </c>
    </row>
    <row r="238">
      <c r="B238" s="130" t="n"/>
      <c r="C238" s="129" t="n"/>
      <c r="D238" s="129" t="n"/>
      <c r="E238" s="129" t="n"/>
      <c r="F238" s="145" t="n"/>
      <c r="G238" s="129" t="n"/>
      <c r="H238" s="129" t="n"/>
      <c r="I238" s="129" t="n"/>
      <c r="J238" s="138" t="str">
        <f>IF(C238&lt;&gt;"Despesa","",IFERROR(INDEX('Config'!$J$6:$J$40,MATCH(D238,'Config'!$I$6:$I$40,0)),"—"))</f>
        <v/>
      </c>
      <c r="K238" s="138" t="str">
        <f>IF(COUNTA(B238:F238)=0,"",IF(OR(B238="",C238="",D238="",F238=""),"▲ Completar","✔"))</f>
        <v/>
      </c>
    </row>
    <row r="239">
      <c r="B239" s="130" t="n"/>
      <c r="C239" s="129" t="n"/>
      <c r="D239" s="129" t="n"/>
      <c r="E239" s="129" t="n"/>
      <c r="F239" s="145" t="n"/>
      <c r="G239" s="129" t="n"/>
      <c r="H239" s="129" t="n"/>
      <c r="I239" s="129" t="n"/>
      <c r="J239" s="138" t="str">
        <f>IF(C239&lt;&gt;"Despesa","",IFERROR(INDEX('Config'!$J$6:$J$40,MATCH(D239,'Config'!$I$6:$I$40,0)),"—"))</f>
        <v/>
      </c>
      <c r="K239" s="138" t="str">
        <f>IF(COUNTA(B239:F239)=0,"",IF(OR(B239="",C239="",D239="",F239=""),"▲ Completar","✔"))</f>
        <v/>
      </c>
    </row>
    <row r="240">
      <c r="B240" s="130" t="n"/>
      <c r="C240" s="129" t="n"/>
      <c r="D240" s="129" t="n"/>
      <c r="E240" s="129" t="n"/>
      <c r="F240" s="145" t="n"/>
      <c r="G240" s="129" t="n"/>
      <c r="H240" s="129" t="n"/>
      <c r="I240" s="129" t="n"/>
      <c r="J240" s="138" t="str">
        <f>IF(C240&lt;&gt;"Despesa","",IFERROR(INDEX('Config'!$J$6:$J$40,MATCH(D240,'Config'!$I$6:$I$40,0)),"—"))</f>
        <v/>
      </c>
      <c r="K240" s="138" t="str">
        <f>IF(COUNTA(B240:F240)=0,"",IF(OR(B240="",C240="",D240="",F240=""),"▲ Completar","✔"))</f>
        <v/>
      </c>
    </row>
    <row r="241">
      <c r="B241" s="130" t="n"/>
      <c r="C241" s="129" t="n"/>
      <c r="D241" s="129" t="n"/>
      <c r="E241" s="129" t="n"/>
      <c r="F241" s="145" t="n"/>
      <c r="G241" s="129" t="n"/>
      <c r="H241" s="129" t="n"/>
      <c r="I241" s="129" t="n"/>
      <c r="J241" s="138" t="str">
        <f>IF(C241&lt;&gt;"Despesa","",IFERROR(INDEX('Config'!$J$6:$J$40,MATCH(D241,'Config'!$I$6:$I$40,0)),"—"))</f>
        <v/>
      </c>
      <c r="K241" s="138" t="str">
        <f>IF(COUNTA(B241:F241)=0,"",IF(OR(B241="",C241="",D241="",F241=""),"▲ Completar","✔"))</f>
        <v/>
      </c>
    </row>
    <row r="242">
      <c r="B242" s="130" t="n"/>
      <c r="C242" s="129" t="n"/>
      <c r="D242" s="129" t="n"/>
      <c r="E242" s="129" t="n"/>
      <c r="F242" s="145" t="n"/>
      <c r="G242" s="129" t="n"/>
      <c r="H242" s="129" t="n"/>
      <c r="I242" s="129" t="n"/>
      <c r="J242" s="138" t="str">
        <f>IF(C242&lt;&gt;"Despesa","",IFERROR(INDEX('Config'!$J$6:$J$40,MATCH(D242,'Config'!$I$6:$I$40,0)),"—"))</f>
        <v/>
      </c>
      <c r="K242" s="138" t="str">
        <f>IF(COUNTA(B242:F242)=0,"",IF(OR(B242="",C242="",D242="",F242=""),"▲ Completar","✔"))</f>
        <v/>
      </c>
    </row>
    <row r="243">
      <c r="B243" s="130" t="n"/>
      <c r="C243" s="129" t="n"/>
      <c r="D243" s="129" t="n"/>
      <c r="E243" s="129" t="n"/>
      <c r="F243" s="145" t="n"/>
      <c r="G243" s="129" t="n"/>
      <c r="H243" s="129" t="n"/>
      <c r="I243" s="129" t="n"/>
      <c r="J243" s="138" t="str">
        <f>IF(C243&lt;&gt;"Despesa","",IFERROR(INDEX('Config'!$J$6:$J$40,MATCH(D243,'Config'!$I$6:$I$40,0)),"—"))</f>
        <v/>
      </c>
      <c r="K243" s="138" t="str">
        <f>IF(COUNTA(B243:F243)=0,"",IF(OR(B243="",C243="",D243="",F243=""),"▲ Completar","✔"))</f>
        <v/>
      </c>
    </row>
    <row r="244">
      <c r="B244" s="130" t="n"/>
      <c r="C244" s="129" t="n"/>
      <c r="D244" s="129" t="n"/>
      <c r="E244" s="129" t="n"/>
      <c r="F244" s="145" t="n"/>
      <c r="G244" s="129" t="n"/>
      <c r="H244" s="129" t="n"/>
      <c r="I244" s="129" t="n"/>
      <c r="J244" s="138" t="str">
        <f>IF(C244&lt;&gt;"Despesa","",IFERROR(INDEX('Config'!$J$6:$J$40,MATCH(D244,'Config'!$I$6:$I$40,0)),"—"))</f>
        <v/>
      </c>
      <c r="K244" s="138" t="str">
        <f>IF(COUNTA(B244:F244)=0,"",IF(OR(B244="",C244="",D244="",F244=""),"▲ Completar","✔"))</f>
        <v/>
      </c>
    </row>
    <row r="245">
      <c r="B245" s="130" t="n"/>
      <c r="C245" s="129" t="n"/>
      <c r="D245" s="129" t="n"/>
      <c r="E245" s="129" t="n"/>
      <c r="F245" s="145" t="n"/>
      <c r="G245" s="129" t="n"/>
      <c r="H245" s="129" t="n"/>
      <c r="I245" s="129" t="n"/>
      <c r="J245" s="138" t="str">
        <f>IF(C245&lt;&gt;"Despesa","",IFERROR(INDEX('Config'!$J$6:$J$40,MATCH(D245,'Config'!$I$6:$I$40,0)),"—"))</f>
        <v/>
      </c>
      <c r="K245" s="138" t="str">
        <f>IF(COUNTA(B245:F245)=0,"",IF(OR(B245="",C245="",D245="",F245=""),"▲ Completar","✔"))</f>
        <v/>
      </c>
    </row>
    <row r="246">
      <c r="B246" s="130" t="n"/>
      <c r="C246" s="129" t="n"/>
      <c r="D246" s="129" t="n"/>
      <c r="E246" s="129" t="n"/>
      <c r="F246" s="145" t="n"/>
      <c r="G246" s="129" t="n"/>
      <c r="H246" s="129" t="n"/>
      <c r="I246" s="129" t="n"/>
      <c r="J246" s="138" t="str">
        <f>IF(C246&lt;&gt;"Despesa","",IFERROR(INDEX('Config'!$J$6:$J$40,MATCH(D246,'Config'!$I$6:$I$40,0)),"—"))</f>
        <v/>
      </c>
      <c r="K246" s="138" t="str">
        <f>IF(COUNTA(B246:F246)=0,"",IF(OR(B246="",C246="",D246="",F246=""),"▲ Completar","✔"))</f>
        <v/>
      </c>
    </row>
    <row r="247">
      <c r="B247" s="130" t="n"/>
      <c r="C247" s="129" t="n"/>
      <c r="D247" s="129" t="n"/>
      <c r="E247" s="129" t="n"/>
      <c r="F247" s="145" t="n"/>
      <c r="G247" s="129" t="n"/>
      <c r="H247" s="129" t="n"/>
      <c r="I247" s="129" t="n"/>
      <c r="J247" s="138" t="str">
        <f>IF(C247&lt;&gt;"Despesa","",IFERROR(INDEX('Config'!$J$6:$J$40,MATCH(D247,'Config'!$I$6:$I$40,0)),"—"))</f>
        <v/>
      </c>
      <c r="K247" s="138" t="str">
        <f>IF(COUNTA(B247:F247)=0,"",IF(OR(B247="",C247="",D247="",F247=""),"▲ Completar","✔"))</f>
        <v/>
      </c>
    </row>
    <row r="248">
      <c r="B248" s="130" t="n"/>
      <c r="C248" s="129" t="n"/>
      <c r="D248" s="129" t="n"/>
      <c r="E248" s="129" t="n"/>
      <c r="F248" s="145" t="n"/>
      <c r="G248" s="129" t="n"/>
      <c r="H248" s="129" t="n"/>
      <c r="I248" s="129" t="n"/>
      <c r="J248" s="138" t="str">
        <f>IF(C248&lt;&gt;"Despesa","",IFERROR(INDEX('Config'!$J$6:$J$40,MATCH(D248,'Config'!$I$6:$I$40,0)),"—"))</f>
        <v/>
      </c>
      <c r="K248" s="138" t="str">
        <f>IF(COUNTA(B248:F248)=0,"",IF(OR(B248="",C248="",D248="",F248=""),"▲ Completar","✔"))</f>
        <v/>
      </c>
    </row>
    <row r="249">
      <c r="B249" s="130" t="n"/>
      <c r="C249" s="129" t="n"/>
      <c r="D249" s="129" t="n"/>
      <c r="E249" s="129" t="n"/>
      <c r="F249" s="145" t="n"/>
      <c r="G249" s="129" t="n"/>
      <c r="H249" s="129" t="n"/>
      <c r="I249" s="129" t="n"/>
      <c r="J249" s="138" t="str">
        <f>IF(C249&lt;&gt;"Despesa","",IFERROR(INDEX('Config'!$J$6:$J$40,MATCH(D249,'Config'!$I$6:$I$40,0)),"—"))</f>
        <v/>
      </c>
      <c r="K249" s="138" t="str">
        <f>IF(COUNTA(B249:F249)=0,"",IF(OR(B249="",C249="",D249="",F249=""),"▲ Completar","✔"))</f>
        <v/>
      </c>
    </row>
    <row r="250">
      <c r="B250" s="130" t="n"/>
      <c r="C250" s="129" t="n"/>
      <c r="D250" s="129" t="n"/>
      <c r="E250" s="129" t="n"/>
      <c r="F250" s="145" t="n"/>
      <c r="G250" s="129" t="n"/>
      <c r="H250" s="129" t="n"/>
      <c r="I250" s="129" t="n"/>
      <c r="J250" s="138" t="str">
        <f>IF(C250&lt;&gt;"Despesa","",IFERROR(INDEX('Config'!$J$6:$J$40,MATCH(D250,'Config'!$I$6:$I$40,0)),"—"))</f>
        <v/>
      </c>
      <c r="K250" s="138" t="str">
        <f>IF(COUNTA(B250:F250)=0,"",IF(OR(B250="",C250="",D250="",F250=""),"▲ Completar","✔"))</f>
        <v/>
      </c>
    </row>
    <row r="251">
      <c r="B251" s="130" t="n"/>
      <c r="C251" s="129" t="n"/>
      <c r="D251" s="129" t="n"/>
      <c r="E251" s="129" t="n"/>
      <c r="F251" s="145" t="n"/>
      <c r="G251" s="129" t="n"/>
      <c r="H251" s="129" t="n"/>
      <c r="I251" s="129" t="n"/>
      <c r="J251" s="138" t="str">
        <f>IF(C251&lt;&gt;"Despesa","",IFERROR(INDEX('Config'!$J$6:$J$40,MATCH(D251,'Config'!$I$6:$I$40,0)),"—"))</f>
        <v/>
      </c>
      <c r="K251" s="138" t="str">
        <f>IF(COUNTA(B251:F251)=0,"",IF(OR(B251="",C251="",D251="",F251=""),"▲ Completar","✔"))</f>
        <v/>
      </c>
    </row>
    <row r="252">
      <c r="B252" s="130" t="n"/>
      <c r="C252" s="129" t="n"/>
      <c r="D252" s="129" t="n"/>
      <c r="E252" s="129" t="n"/>
      <c r="F252" s="145" t="n"/>
      <c r="G252" s="129" t="n"/>
      <c r="H252" s="129" t="n"/>
      <c r="I252" s="129" t="n"/>
      <c r="J252" s="138" t="str">
        <f>IF(C252&lt;&gt;"Despesa","",IFERROR(INDEX('Config'!$J$6:$J$40,MATCH(D252,'Config'!$I$6:$I$40,0)),"—"))</f>
        <v/>
      </c>
      <c r="K252" s="138" t="str">
        <f>IF(COUNTA(B252:F252)=0,"",IF(OR(B252="",C252="",D252="",F252=""),"▲ Completar","✔"))</f>
        <v/>
      </c>
    </row>
    <row r="253">
      <c r="B253" s="130" t="n"/>
      <c r="C253" s="129" t="n"/>
      <c r="D253" s="129" t="n"/>
      <c r="E253" s="129" t="n"/>
      <c r="F253" s="145" t="n"/>
      <c r="G253" s="129" t="n"/>
      <c r="H253" s="129" t="n"/>
      <c r="I253" s="129" t="n"/>
      <c r="J253" s="138" t="str">
        <f>IF(C253&lt;&gt;"Despesa","",IFERROR(INDEX('Config'!$J$6:$J$40,MATCH(D253,'Config'!$I$6:$I$40,0)),"—"))</f>
        <v/>
      </c>
      <c r="K253" s="138" t="str">
        <f>IF(COUNTA(B253:F253)=0,"",IF(OR(B253="",C253="",D253="",F253=""),"▲ Completar","✔"))</f>
        <v/>
      </c>
    </row>
    <row r="254">
      <c r="B254" s="130" t="n"/>
      <c r="C254" s="129" t="n"/>
      <c r="D254" s="129" t="n"/>
      <c r="E254" s="129" t="n"/>
      <c r="F254" s="145" t="n"/>
      <c r="G254" s="129" t="n"/>
      <c r="H254" s="129" t="n"/>
      <c r="I254" s="129" t="n"/>
      <c r="J254" s="138" t="str">
        <f>IF(C254&lt;&gt;"Despesa","",IFERROR(INDEX('Config'!$J$6:$J$40,MATCH(D254,'Config'!$I$6:$I$40,0)),"—"))</f>
        <v/>
      </c>
      <c r="K254" s="138" t="str">
        <f>IF(COUNTA(B254:F254)=0,"",IF(OR(B254="",C254="",D254="",F254=""),"▲ Completar","✔"))</f>
        <v/>
      </c>
    </row>
    <row r="255">
      <c r="B255" s="130" t="n"/>
      <c r="C255" s="129" t="n"/>
      <c r="D255" s="129" t="n"/>
      <c r="E255" s="129" t="n"/>
      <c r="F255" s="145" t="n"/>
      <c r="G255" s="129" t="n"/>
      <c r="H255" s="129" t="n"/>
      <c r="I255" s="129" t="n"/>
      <c r="J255" s="138" t="str">
        <f>IF(C255&lt;&gt;"Despesa","",IFERROR(INDEX('Config'!$J$6:$J$40,MATCH(D255,'Config'!$I$6:$I$40,0)),"—"))</f>
        <v/>
      </c>
      <c r="K255" s="138" t="str">
        <f>IF(COUNTA(B255:F255)=0,"",IF(OR(B255="",C255="",D255="",F255=""),"▲ Completar","✔"))</f>
        <v/>
      </c>
    </row>
    <row r="256">
      <c r="B256" s="130" t="n"/>
      <c r="C256" s="129" t="n"/>
      <c r="D256" s="129" t="n"/>
      <c r="E256" s="129" t="n"/>
      <c r="F256" s="145" t="n"/>
      <c r="G256" s="129" t="n"/>
      <c r="H256" s="129" t="n"/>
      <c r="I256" s="129" t="n"/>
      <c r="J256" s="138" t="str">
        <f>IF(C256&lt;&gt;"Despesa","",IFERROR(INDEX('Config'!$J$6:$J$40,MATCH(D256,'Config'!$I$6:$I$40,0)),"—"))</f>
        <v/>
      </c>
      <c r="K256" s="138" t="str">
        <f>IF(COUNTA(B256:F256)=0,"",IF(OR(B256="",C256="",D256="",F256=""),"▲ Completar","✔"))</f>
        <v/>
      </c>
    </row>
    <row r="257">
      <c r="B257" s="130" t="n"/>
      <c r="C257" s="129" t="n"/>
      <c r="D257" s="129" t="n"/>
      <c r="E257" s="129" t="n"/>
      <c r="F257" s="145" t="n"/>
      <c r="G257" s="129" t="n"/>
      <c r="H257" s="129" t="n"/>
      <c r="I257" s="129" t="n"/>
      <c r="J257" s="138" t="str">
        <f>IF(C257&lt;&gt;"Despesa","",IFERROR(INDEX('Config'!$J$6:$J$40,MATCH(D257,'Config'!$I$6:$I$40,0)),"—"))</f>
        <v/>
      </c>
      <c r="K257" s="138" t="str">
        <f>IF(COUNTA(B257:F257)=0,"",IF(OR(B257="",C257="",D257="",F257=""),"▲ Completar","✔"))</f>
        <v/>
      </c>
    </row>
    <row r="258">
      <c r="B258" s="130" t="n"/>
      <c r="C258" s="129" t="n"/>
      <c r="D258" s="129" t="n"/>
      <c r="E258" s="129" t="n"/>
      <c r="F258" s="145" t="n"/>
      <c r="G258" s="129" t="n"/>
      <c r="H258" s="129" t="n"/>
      <c r="I258" s="129" t="n"/>
      <c r="J258" s="138" t="str">
        <f>IF(C258&lt;&gt;"Despesa","",IFERROR(INDEX('Config'!$J$6:$J$40,MATCH(D258,'Config'!$I$6:$I$40,0)),"—"))</f>
        <v/>
      </c>
      <c r="K258" s="138" t="str">
        <f>IF(COUNTA(B258:F258)=0,"",IF(OR(B258="",C258="",D258="",F258=""),"▲ Completar","✔"))</f>
        <v/>
      </c>
    </row>
    <row r="259">
      <c r="B259" s="130" t="n"/>
      <c r="C259" s="129" t="n"/>
      <c r="D259" s="129" t="n"/>
      <c r="E259" s="129" t="n"/>
      <c r="F259" s="145" t="n"/>
      <c r="G259" s="129" t="n"/>
      <c r="H259" s="129" t="n"/>
      <c r="I259" s="129" t="n"/>
      <c r="J259" s="138" t="str">
        <f>IF(C259&lt;&gt;"Despesa","",IFERROR(INDEX('Config'!$J$6:$J$40,MATCH(D259,'Config'!$I$6:$I$40,0)),"—"))</f>
        <v/>
      </c>
      <c r="K259" s="138" t="str">
        <f>IF(COUNTA(B259:F259)=0,"",IF(OR(B259="",C259="",D259="",F259=""),"▲ Completar","✔"))</f>
        <v/>
      </c>
    </row>
    <row r="260">
      <c r="B260" s="130" t="n"/>
      <c r="C260" s="129" t="n"/>
      <c r="D260" s="129" t="n"/>
      <c r="E260" s="129" t="n"/>
      <c r="F260" s="145" t="n"/>
      <c r="G260" s="129" t="n"/>
      <c r="H260" s="129" t="n"/>
      <c r="I260" s="129" t="n"/>
      <c r="J260" s="138" t="str">
        <f>IF(C260&lt;&gt;"Despesa","",IFERROR(INDEX('Config'!$J$6:$J$40,MATCH(D260,'Config'!$I$6:$I$40,0)),"—"))</f>
        <v/>
      </c>
      <c r="K260" s="138" t="str">
        <f>IF(COUNTA(B260:F260)=0,"",IF(OR(B260="",C260="",D260="",F260=""),"▲ Completar","✔"))</f>
        <v/>
      </c>
    </row>
    <row r="261">
      <c r="B261" s="130" t="n"/>
      <c r="C261" s="129" t="n"/>
      <c r="D261" s="129" t="n"/>
      <c r="E261" s="129" t="n"/>
      <c r="F261" s="145" t="n"/>
      <c r="G261" s="129" t="n"/>
      <c r="H261" s="129" t="n"/>
      <c r="I261" s="129" t="n"/>
      <c r="J261" s="138" t="str">
        <f>IF(C261&lt;&gt;"Despesa","",IFERROR(INDEX('Config'!$J$6:$J$40,MATCH(D261,'Config'!$I$6:$I$40,0)),"—"))</f>
        <v/>
      </c>
      <c r="K261" s="138" t="str">
        <f>IF(COUNTA(B261:F261)=0,"",IF(OR(B261="",C261="",D261="",F261=""),"▲ Completar","✔"))</f>
        <v/>
      </c>
    </row>
    <row r="262">
      <c r="B262" s="130" t="n"/>
      <c r="C262" s="129" t="n"/>
      <c r="D262" s="129" t="n"/>
      <c r="E262" s="129" t="n"/>
      <c r="F262" s="145" t="n"/>
      <c r="G262" s="129" t="n"/>
      <c r="H262" s="129" t="n"/>
      <c r="I262" s="129" t="n"/>
      <c r="J262" s="138" t="str">
        <f>IF(C262&lt;&gt;"Despesa","",IFERROR(INDEX('Config'!$J$6:$J$40,MATCH(D262,'Config'!$I$6:$I$40,0)),"—"))</f>
        <v/>
      </c>
      <c r="K262" s="138" t="str">
        <f>IF(COUNTA(B262:F262)=0,"",IF(OR(B262="",C262="",D262="",F262=""),"▲ Completar","✔"))</f>
        <v/>
      </c>
    </row>
    <row r="263">
      <c r="B263" s="130" t="n"/>
      <c r="C263" s="129" t="n"/>
      <c r="D263" s="129" t="n"/>
      <c r="E263" s="129" t="n"/>
      <c r="F263" s="145" t="n"/>
      <c r="G263" s="129" t="n"/>
      <c r="H263" s="129" t="n"/>
      <c r="I263" s="129" t="n"/>
      <c r="J263" s="138" t="str">
        <f>IF(C263&lt;&gt;"Despesa","",IFERROR(INDEX('Config'!$J$6:$J$40,MATCH(D263,'Config'!$I$6:$I$40,0)),"—"))</f>
        <v/>
      </c>
      <c r="K263" s="138" t="str">
        <f>IF(COUNTA(B263:F263)=0,"",IF(OR(B263="",C263="",D263="",F263=""),"▲ Completar","✔"))</f>
        <v/>
      </c>
    </row>
    <row r="264">
      <c r="B264" s="130" t="n"/>
      <c r="C264" s="129" t="n"/>
      <c r="D264" s="129" t="n"/>
      <c r="E264" s="129" t="n"/>
      <c r="F264" s="145" t="n"/>
      <c r="G264" s="129" t="n"/>
      <c r="H264" s="129" t="n"/>
      <c r="I264" s="129" t="n"/>
      <c r="J264" s="138" t="str">
        <f>IF(C264&lt;&gt;"Despesa","",IFERROR(INDEX('Config'!$J$6:$J$40,MATCH(D264,'Config'!$I$6:$I$40,0)),"—"))</f>
        <v/>
      </c>
      <c r="K264" s="138" t="str">
        <f>IF(COUNTA(B264:F264)=0,"",IF(OR(B264="",C264="",D264="",F264=""),"▲ Completar","✔"))</f>
        <v/>
      </c>
    </row>
    <row r="265">
      <c r="B265" s="130" t="n"/>
      <c r="C265" s="129" t="n"/>
      <c r="D265" s="129" t="n"/>
      <c r="E265" s="129" t="n"/>
      <c r="F265" s="145" t="n"/>
      <c r="G265" s="129" t="n"/>
      <c r="H265" s="129" t="n"/>
      <c r="I265" s="129" t="n"/>
      <c r="J265" s="138" t="str">
        <f>IF(C265&lt;&gt;"Despesa","",IFERROR(INDEX('Config'!$J$6:$J$40,MATCH(D265,'Config'!$I$6:$I$40,0)),"—"))</f>
        <v/>
      </c>
      <c r="K265" s="138" t="str">
        <f>IF(COUNTA(B265:F265)=0,"",IF(OR(B265="",C265="",D265="",F265=""),"▲ Completar","✔"))</f>
        <v/>
      </c>
    </row>
    <row r="266">
      <c r="B266" s="130" t="n"/>
      <c r="C266" s="129" t="n"/>
      <c r="D266" s="129" t="n"/>
      <c r="E266" s="129" t="n"/>
      <c r="F266" s="145" t="n"/>
      <c r="G266" s="129" t="n"/>
      <c r="H266" s="129" t="n"/>
      <c r="I266" s="129" t="n"/>
      <c r="J266" s="138" t="str">
        <f>IF(C266&lt;&gt;"Despesa","",IFERROR(INDEX('Config'!$J$6:$J$40,MATCH(D266,'Config'!$I$6:$I$40,0)),"—"))</f>
        <v/>
      </c>
      <c r="K266" s="138" t="str">
        <f>IF(COUNTA(B266:F266)=0,"",IF(OR(B266="",C266="",D266="",F266=""),"▲ Completar","✔"))</f>
        <v/>
      </c>
    </row>
    <row r="267">
      <c r="B267" s="130" t="n"/>
      <c r="C267" s="129" t="n"/>
      <c r="D267" s="129" t="n"/>
      <c r="E267" s="129" t="n"/>
      <c r="F267" s="145" t="n"/>
      <c r="G267" s="129" t="n"/>
      <c r="H267" s="129" t="n"/>
      <c r="I267" s="129" t="n"/>
      <c r="J267" s="138" t="str">
        <f>IF(C267&lt;&gt;"Despesa","",IFERROR(INDEX('Config'!$J$6:$J$40,MATCH(D267,'Config'!$I$6:$I$40,0)),"—"))</f>
        <v/>
      </c>
      <c r="K267" s="138" t="str">
        <f>IF(COUNTA(B267:F267)=0,"",IF(OR(B267="",C267="",D267="",F267=""),"▲ Completar","✔"))</f>
        <v/>
      </c>
    </row>
    <row r="268">
      <c r="B268" s="130" t="n"/>
      <c r="C268" s="129" t="n"/>
      <c r="D268" s="129" t="n"/>
      <c r="E268" s="129" t="n"/>
      <c r="F268" s="145" t="n"/>
      <c r="G268" s="129" t="n"/>
      <c r="H268" s="129" t="n"/>
      <c r="I268" s="129" t="n"/>
      <c r="J268" s="138" t="str">
        <f>IF(C268&lt;&gt;"Despesa","",IFERROR(INDEX('Config'!$J$6:$J$40,MATCH(D268,'Config'!$I$6:$I$40,0)),"—"))</f>
        <v/>
      </c>
      <c r="K268" s="138" t="str">
        <f>IF(COUNTA(B268:F268)=0,"",IF(OR(B268="",C268="",D268="",F268=""),"▲ Completar","✔"))</f>
        <v/>
      </c>
    </row>
    <row r="269">
      <c r="B269" s="130" t="n"/>
      <c r="C269" s="129" t="n"/>
      <c r="D269" s="129" t="n"/>
      <c r="E269" s="129" t="n"/>
      <c r="F269" s="145" t="n"/>
      <c r="G269" s="129" t="n"/>
      <c r="H269" s="129" t="n"/>
      <c r="I269" s="129" t="n"/>
      <c r="J269" s="138" t="str">
        <f>IF(C269&lt;&gt;"Despesa","",IFERROR(INDEX('Config'!$J$6:$J$40,MATCH(D269,'Config'!$I$6:$I$40,0)),"—"))</f>
        <v/>
      </c>
      <c r="K269" s="138" t="str">
        <f>IF(COUNTA(B269:F269)=0,"",IF(OR(B269="",C269="",D269="",F269=""),"▲ Completar","✔"))</f>
        <v/>
      </c>
    </row>
    <row r="270">
      <c r="B270" s="130" t="n"/>
      <c r="C270" s="129" t="n"/>
      <c r="D270" s="129" t="n"/>
      <c r="E270" s="129" t="n"/>
      <c r="F270" s="145" t="n"/>
      <c r="G270" s="129" t="n"/>
      <c r="H270" s="129" t="n"/>
      <c r="I270" s="129" t="n"/>
      <c r="J270" s="138" t="str">
        <f>IF(C270&lt;&gt;"Despesa","",IFERROR(INDEX('Config'!$J$6:$J$40,MATCH(D270,'Config'!$I$6:$I$40,0)),"—"))</f>
        <v/>
      </c>
      <c r="K270" s="138" t="str">
        <f>IF(COUNTA(B270:F270)=0,"",IF(OR(B270="",C270="",D270="",F270=""),"▲ Completar","✔"))</f>
        <v/>
      </c>
    </row>
    <row r="271">
      <c r="B271" s="130" t="n"/>
      <c r="C271" s="129" t="n"/>
      <c r="D271" s="129" t="n"/>
      <c r="E271" s="129" t="n"/>
      <c r="F271" s="145" t="n"/>
      <c r="G271" s="129" t="n"/>
      <c r="H271" s="129" t="n"/>
      <c r="I271" s="129" t="n"/>
      <c r="J271" s="138" t="str">
        <f>IF(C271&lt;&gt;"Despesa","",IFERROR(INDEX('Config'!$J$6:$J$40,MATCH(D271,'Config'!$I$6:$I$40,0)),"—"))</f>
        <v/>
      </c>
      <c r="K271" s="138" t="str">
        <f>IF(COUNTA(B271:F271)=0,"",IF(OR(B271="",C271="",D271="",F271=""),"▲ Completar","✔"))</f>
        <v/>
      </c>
    </row>
    <row r="272">
      <c r="B272" s="130" t="n"/>
      <c r="C272" s="129" t="n"/>
      <c r="D272" s="129" t="n"/>
      <c r="E272" s="129" t="n"/>
      <c r="F272" s="145" t="n"/>
      <c r="G272" s="129" t="n"/>
      <c r="H272" s="129" t="n"/>
      <c r="I272" s="129" t="n"/>
      <c r="J272" s="138" t="str">
        <f>IF(C272&lt;&gt;"Despesa","",IFERROR(INDEX('Config'!$J$6:$J$40,MATCH(D272,'Config'!$I$6:$I$40,0)),"—"))</f>
        <v/>
      </c>
      <c r="K272" s="138" t="str">
        <f>IF(COUNTA(B272:F272)=0,"",IF(OR(B272="",C272="",D272="",F272=""),"▲ Completar","✔"))</f>
        <v/>
      </c>
    </row>
    <row r="273">
      <c r="B273" s="130" t="n"/>
      <c r="C273" s="129" t="n"/>
      <c r="D273" s="129" t="n"/>
      <c r="E273" s="129" t="n"/>
      <c r="F273" s="145" t="n"/>
      <c r="G273" s="129" t="n"/>
      <c r="H273" s="129" t="n"/>
      <c r="I273" s="129" t="n"/>
      <c r="J273" s="138" t="str">
        <f>IF(C273&lt;&gt;"Despesa","",IFERROR(INDEX('Config'!$J$6:$J$40,MATCH(D273,'Config'!$I$6:$I$40,0)),"—"))</f>
        <v/>
      </c>
      <c r="K273" s="138" t="str">
        <f>IF(COUNTA(B273:F273)=0,"",IF(OR(B273="",C273="",D273="",F273=""),"▲ Completar","✔"))</f>
        <v/>
      </c>
    </row>
    <row r="274">
      <c r="B274" s="130" t="n"/>
      <c r="C274" s="129" t="n"/>
      <c r="D274" s="129" t="n"/>
      <c r="E274" s="129" t="n"/>
      <c r="F274" s="145" t="n"/>
      <c r="G274" s="129" t="n"/>
      <c r="H274" s="129" t="n"/>
      <c r="I274" s="129" t="n"/>
      <c r="J274" s="138" t="str">
        <f>IF(C274&lt;&gt;"Despesa","",IFERROR(INDEX('Config'!$J$6:$J$40,MATCH(D274,'Config'!$I$6:$I$40,0)),"—"))</f>
        <v/>
      </c>
      <c r="K274" s="138" t="str">
        <f>IF(COUNTA(B274:F274)=0,"",IF(OR(B274="",C274="",D274="",F274=""),"▲ Completar","✔"))</f>
        <v/>
      </c>
    </row>
    <row r="275">
      <c r="B275" s="130" t="n"/>
      <c r="C275" s="129" t="n"/>
      <c r="D275" s="129" t="n"/>
      <c r="E275" s="129" t="n"/>
      <c r="F275" s="145" t="n"/>
      <c r="G275" s="129" t="n"/>
      <c r="H275" s="129" t="n"/>
      <c r="I275" s="129" t="n"/>
      <c r="J275" s="138" t="str">
        <f>IF(C275&lt;&gt;"Despesa","",IFERROR(INDEX('Config'!$J$6:$J$40,MATCH(D275,'Config'!$I$6:$I$40,0)),"—"))</f>
        <v/>
      </c>
      <c r="K275" s="138" t="str">
        <f>IF(COUNTA(B275:F275)=0,"",IF(OR(B275="",C275="",D275="",F275=""),"▲ Completar","✔"))</f>
        <v/>
      </c>
    </row>
    <row r="276">
      <c r="B276" s="130" t="n"/>
      <c r="C276" s="129" t="n"/>
      <c r="D276" s="129" t="n"/>
      <c r="E276" s="129" t="n"/>
      <c r="F276" s="145" t="n"/>
      <c r="G276" s="129" t="n"/>
      <c r="H276" s="129" t="n"/>
      <c r="I276" s="129" t="n"/>
      <c r="J276" s="138" t="str">
        <f>IF(C276&lt;&gt;"Despesa","",IFERROR(INDEX('Config'!$J$6:$J$40,MATCH(D276,'Config'!$I$6:$I$40,0)),"—"))</f>
        <v/>
      </c>
      <c r="K276" s="138" t="str">
        <f>IF(COUNTA(B276:F276)=0,"",IF(OR(B276="",C276="",D276="",F276=""),"▲ Completar","✔"))</f>
        <v/>
      </c>
    </row>
    <row r="277">
      <c r="B277" s="130" t="n"/>
      <c r="C277" s="129" t="n"/>
      <c r="D277" s="129" t="n"/>
      <c r="E277" s="129" t="n"/>
      <c r="F277" s="145" t="n"/>
      <c r="G277" s="129" t="n"/>
      <c r="H277" s="129" t="n"/>
      <c r="I277" s="129" t="n"/>
      <c r="J277" s="138" t="str">
        <f>IF(C277&lt;&gt;"Despesa","",IFERROR(INDEX('Config'!$J$6:$J$40,MATCH(D277,'Config'!$I$6:$I$40,0)),"—"))</f>
        <v/>
      </c>
      <c r="K277" s="138" t="str">
        <f>IF(COUNTA(B277:F277)=0,"",IF(OR(B277="",C277="",D277="",F277=""),"▲ Completar","✔"))</f>
        <v/>
      </c>
    </row>
    <row r="278">
      <c r="B278" s="130" t="n"/>
      <c r="C278" s="129" t="n"/>
      <c r="D278" s="129" t="n"/>
      <c r="E278" s="129" t="n"/>
      <c r="F278" s="145" t="n"/>
      <c r="G278" s="129" t="n"/>
      <c r="H278" s="129" t="n"/>
      <c r="I278" s="129" t="n"/>
      <c r="J278" s="138" t="str">
        <f>IF(C278&lt;&gt;"Despesa","",IFERROR(INDEX('Config'!$J$6:$J$40,MATCH(D278,'Config'!$I$6:$I$40,0)),"—"))</f>
        <v/>
      </c>
      <c r="K278" s="138" t="str">
        <f>IF(COUNTA(B278:F278)=0,"",IF(OR(B278="",C278="",D278="",F278=""),"▲ Completar","✔"))</f>
        <v/>
      </c>
    </row>
    <row r="279">
      <c r="B279" s="130" t="n"/>
      <c r="C279" s="129" t="n"/>
      <c r="D279" s="129" t="n"/>
      <c r="E279" s="129" t="n"/>
      <c r="F279" s="145" t="n"/>
      <c r="G279" s="129" t="n"/>
      <c r="H279" s="129" t="n"/>
      <c r="I279" s="129" t="n"/>
      <c r="J279" s="138" t="str">
        <f>IF(C279&lt;&gt;"Despesa","",IFERROR(INDEX('Config'!$J$6:$J$40,MATCH(D279,'Config'!$I$6:$I$40,0)),"—"))</f>
        <v/>
      </c>
      <c r="K279" s="138" t="str">
        <f>IF(COUNTA(B279:F279)=0,"",IF(OR(B279="",C279="",D279="",F279=""),"▲ Completar","✔"))</f>
        <v/>
      </c>
    </row>
    <row r="280">
      <c r="B280" s="130" t="n"/>
      <c r="C280" s="129" t="n"/>
      <c r="D280" s="129" t="n"/>
      <c r="E280" s="129" t="n"/>
      <c r="F280" s="145" t="n"/>
      <c r="G280" s="129" t="n"/>
      <c r="H280" s="129" t="n"/>
      <c r="I280" s="129" t="n"/>
      <c r="J280" s="138" t="str">
        <f>IF(C280&lt;&gt;"Despesa","",IFERROR(INDEX('Config'!$J$6:$J$40,MATCH(D280,'Config'!$I$6:$I$40,0)),"—"))</f>
        <v/>
      </c>
      <c r="K280" s="138" t="str">
        <f>IF(COUNTA(B280:F280)=0,"",IF(OR(B280="",C280="",D280="",F280=""),"▲ Completar","✔"))</f>
        <v/>
      </c>
    </row>
    <row r="281">
      <c r="B281" s="130" t="n"/>
      <c r="C281" s="129" t="n"/>
      <c r="D281" s="129" t="n"/>
      <c r="E281" s="129" t="n"/>
      <c r="F281" s="145" t="n"/>
      <c r="G281" s="129" t="n"/>
      <c r="H281" s="129" t="n"/>
      <c r="I281" s="129" t="n"/>
      <c r="J281" s="138" t="str">
        <f>IF(C281&lt;&gt;"Despesa","",IFERROR(INDEX('Config'!$J$6:$J$40,MATCH(D281,'Config'!$I$6:$I$40,0)),"—"))</f>
        <v/>
      </c>
      <c r="K281" s="138" t="str">
        <f>IF(COUNTA(B281:F281)=0,"",IF(OR(B281="",C281="",D281="",F281=""),"▲ Completar","✔"))</f>
        <v/>
      </c>
    </row>
    <row r="282">
      <c r="B282" s="130" t="n"/>
      <c r="C282" s="129" t="n"/>
      <c r="D282" s="129" t="n"/>
      <c r="E282" s="129" t="n"/>
      <c r="F282" s="145" t="n"/>
      <c r="G282" s="129" t="n"/>
      <c r="H282" s="129" t="n"/>
      <c r="I282" s="129" t="n"/>
      <c r="J282" s="138" t="str">
        <f>IF(C282&lt;&gt;"Despesa","",IFERROR(INDEX('Config'!$J$6:$J$40,MATCH(D282,'Config'!$I$6:$I$40,0)),"—"))</f>
        <v/>
      </c>
      <c r="K282" s="138" t="str">
        <f>IF(COUNTA(B282:F282)=0,"",IF(OR(B282="",C282="",D282="",F282=""),"▲ Completar","✔"))</f>
        <v/>
      </c>
    </row>
    <row r="283">
      <c r="B283" s="130" t="n"/>
      <c r="C283" s="129" t="n"/>
      <c r="D283" s="129" t="n"/>
      <c r="E283" s="129" t="n"/>
      <c r="F283" s="145" t="n"/>
      <c r="G283" s="129" t="n"/>
      <c r="H283" s="129" t="n"/>
      <c r="I283" s="129" t="n"/>
      <c r="J283" s="138" t="str">
        <f>IF(C283&lt;&gt;"Despesa","",IFERROR(INDEX('Config'!$J$6:$J$40,MATCH(D283,'Config'!$I$6:$I$40,0)),"—"))</f>
        <v/>
      </c>
      <c r="K283" s="138" t="str">
        <f>IF(COUNTA(B283:F283)=0,"",IF(OR(B283="",C283="",D283="",F283=""),"▲ Completar","✔"))</f>
        <v/>
      </c>
    </row>
    <row r="284">
      <c r="B284" s="130" t="n"/>
      <c r="C284" s="129" t="n"/>
      <c r="D284" s="129" t="n"/>
      <c r="E284" s="129" t="n"/>
      <c r="F284" s="145" t="n"/>
      <c r="G284" s="129" t="n"/>
      <c r="H284" s="129" t="n"/>
      <c r="I284" s="129" t="n"/>
      <c r="J284" s="138" t="str">
        <f>IF(C284&lt;&gt;"Despesa","",IFERROR(INDEX('Config'!$J$6:$J$40,MATCH(D284,'Config'!$I$6:$I$40,0)),"—"))</f>
        <v/>
      </c>
      <c r="K284" s="138" t="str">
        <f>IF(COUNTA(B284:F284)=0,"",IF(OR(B284="",C284="",D284="",F284=""),"▲ Completar","✔"))</f>
        <v/>
      </c>
    </row>
    <row r="285">
      <c r="B285" s="130" t="n"/>
      <c r="C285" s="129" t="n"/>
      <c r="D285" s="129" t="n"/>
      <c r="E285" s="129" t="n"/>
      <c r="F285" s="145" t="n"/>
      <c r="G285" s="129" t="n"/>
      <c r="H285" s="129" t="n"/>
      <c r="I285" s="129" t="n"/>
      <c r="J285" s="138" t="str">
        <f>IF(C285&lt;&gt;"Despesa","",IFERROR(INDEX('Config'!$J$6:$J$40,MATCH(D285,'Config'!$I$6:$I$40,0)),"—"))</f>
        <v/>
      </c>
      <c r="K285" s="138" t="str">
        <f>IF(COUNTA(B285:F285)=0,"",IF(OR(B285="",C285="",D285="",F285=""),"▲ Completar","✔"))</f>
        <v/>
      </c>
    </row>
    <row r="286">
      <c r="B286" s="130" t="n"/>
      <c r="C286" s="129" t="n"/>
      <c r="D286" s="129" t="n"/>
      <c r="E286" s="129" t="n"/>
      <c r="F286" s="145" t="n"/>
      <c r="G286" s="129" t="n"/>
      <c r="H286" s="129" t="n"/>
      <c r="I286" s="129" t="n"/>
      <c r="J286" s="138" t="str">
        <f>IF(C286&lt;&gt;"Despesa","",IFERROR(INDEX('Config'!$J$6:$J$40,MATCH(D286,'Config'!$I$6:$I$40,0)),"—"))</f>
        <v/>
      </c>
      <c r="K286" s="138" t="str">
        <f>IF(COUNTA(B286:F286)=0,"",IF(OR(B286="",C286="",D286="",F286=""),"▲ Completar","✔"))</f>
        <v/>
      </c>
    </row>
    <row r="287">
      <c r="B287" s="130" t="n"/>
      <c r="C287" s="129" t="n"/>
      <c r="D287" s="129" t="n"/>
      <c r="E287" s="129" t="n"/>
      <c r="F287" s="145" t="n"/>
      <c r="G287" s="129" t="n"/>
      <c r="H287" s="129" t="n"/>
      <c r="I287" s="129" t="n"/>
      <c r="J287" s="138" t="str">
        <f>IF(C287&lt;&gt;"Despesa","",IFERROR(INDEX('Config'!$J$6:$J$40,MATCH(D287,'Config'!$I$6:$I$40,0)),"—"))</f>
        <v/>
      </c>
      <c r="K287" s="138" t="str">
        <f>IF(COUNTA(B287:F287)=0,"",IF(OR(B287="",C287="",D287="",F287=""),"▲ Completar","✔"))</f>
        <v/>
      </c>
    </row>
    <row r="288">
      <c r="B288" s="130" t="n"/>
      <c r="C288" s="129" t="n"/>
      <c r="D288" s="129" t="n"/>
      <c r="E288" s="129" t="n"/>
      <c r="F288" s="145" t="n"/>
      <c r="G288" s="129" t="n"/>
      <c r="H288" s="129" t="n"/>
      <c r="I288" s="129" t="n"/>
      <c r="J288" s="138" t="str">
        <f>IF(C288&lt;&gt;"Despesa","",IFERROR(INDEX('Config'!$J$6:$J$40,MATCH(D288,'Config'!$I$6:$I$40,0)),"—"))</f>
        <v/>
      </c>
      <c r="K288" s="138" t="str">
        <f>IF(COUNTA(B288:F288)=0,"",IF(OR(B288="",C288="",D288="",F288=""),"▲ Completar","✔"))</f>
        <v/>
      </c>
    </row>
    <row r="289">
      <c r="B289" s="130" t="n"/>
      <c r="C289" s="129" t="n"/>
      <c r="D289" s="129" t="n"/>
      <c r="E289" s="129" t="n"/>
      <c r="F289" s="145" t="n"/>
      <c r="G289" s="129" t="n"/>
      <c r="H289" s="129" t="n"/>
      <c r="I289" s="129" t="n"/>
      <c r="J289" s="138" t="str">
        <f>IF(C289&lt;&gt;"Despesa","",IFERROR(INDEX('Config'!$J$6:$J$40,MATCH(D289,'Config'!$I$6:$I$40,0)),"—"))</f>
        <v/>
      </c>
      <c r="K289" s="138" t="str">
        <f>IF(COUNTA(B289:F289)=0,"",IF(OR(B289="",C289="",D289="",F289=""),"▲ Completar","✔"))</f>
        <v/>
      </c>
    </row>
    <row r="290">
      <c r="B290" s="130" t="n"/>
      <c r="C290" s="129" t="n"/>
      <c r="D290" s="129" t="n"/>
      <c r="E290" s="129" t="n"/>
      <c r="F290" s="145" t="n"/>
      <c r="G290" s="129" t="n"/>
      <c r="H290" s="129" t="n"/>
      <c r="I290" s="129" t="n"/>
      <c r="J290" s="138" t="str">
        <f>IF(C290&lt;&gt;"Despesa","",IFERROR(INDEX('Config'!$J$6:$J$40,MATCH(D290,'Config'!$I$6:$I$40,0)),"—"))</f>
        <v/>
      </c>
      <c r="K290" s="138" t="str">
        <f>IF(COUNTA(B290:F290)=0,"",IF(OR(B290="",C290="",D290="",F290=""),"▲ Completar","✔"))</f>
        <v/>
      </c>
    </row>
    <row r="291">
      <c r="B291" s="130" t="n"/>
      <c r="C291" s="129" t="n"/>
      <c r="D291" s="129" t="n"/>
      <c r="E291" s="129" t="n"/>
      <c r="F291" s="145" t="n"/>
      <c r="G291" s="129" t="n"/>
      <c r="H291" s="129" t="n"/>
      <c r="I291" s="129" t="n"/>
      <c r="J291" s="138" t="str">
        <f>IF(C291&lt;&gt;"Despesa","",IFERROR(INDEX('Config'!$J$6:$J$40,MATCH(D291,'Config'!$I$6:$I$40,0)),"—"))</f>
        <v/>
      </c>
      <c r="K291" s="138" t="str">
        <f>IF(COUNTA(B291:F291)=0,"",IF(OR(B291="",C291="",D291="",F291=""),"▲ Completar","✔"))</f>
        <v/>
      </c>
    </row>
    <row r="292">
      <c r="B292" s="130" t="n"/>
      <c r="C292" s="129" t="n"/>
      <c r="D292" s="129" t="n"/>
      <c r="E292" s="129" t="n"/>
      <c r="F292" s="145" t="n"/>
      <c r="G292" s="129" t="n"/>
      <c r="H292" s="129" t="n"/>
      <c r="I292" s="129" t="n"/>
      <c r="J292" s="138" t="str">
        <f>IF(C292&lt;&gt;"Despesa","",IFERROR(INDEX('Config'!$J$6:$J$40,MATCH(D292,'Config'!$I$6:$I$40,0)),"—"))</f>
        <v/>
      </c>
      <c r="K292" s="138" t="str">
        <f>IF(COUNTA(B292:F292)=0,"",IF(OR(B292="",C292="",D292="",F292=""),"▲ Completar","✔"))</f>
        <v/>
      </c>
    </row>
    <row r="293">
      <c r="B293" s="130" t="n"/>
      <c r="C293" s="129" t="n"/>
      <c r="D293" s="129" t="n"/>
      <c r="E293" s="129" t="n"/>
      <c r="F293" s="145" t="n"/>
      <c r="G293" s="129" t="n"/>
      <c r="H293" s="129" t="n"/>
      <c r="I293" s="129" t="n"/>
      <c r="J293" s="138" t="str">
        <f>IF(C293&lt;&gt;"Despesa","",IFERROR(INDEX('Config'!$J$6:$J$40,MATCH(D293,'Config'!$I$6:$I$40,0)),"—"))</f>
        <v/>
      </c>
      <c r="K293" s="138" t="str">
        <f>IF(COUNTA(B293:F293)=0,"",IF(OR(B293="",C293="",D293="",F293=""),"▲ Completar","✔"))</f>
        <v/>
      </c>
    </row>
    <row r="294">
      <c r="B294" s="130" t="n"/>
      <c r="C294" s="129" t="n"/>
      <c r="D294" s="129" t="n"/>
      <c r="E294" s="129" t="n"/>
      <c r="F294" s="145" t="n"/>
      <c r="G294" s="129" t="n"/>
      <c r="H294" s="129" t="n"/>
      <c r="I294" s="129" t="n"/>
      <c r="J294" s="138" t="str">
        <f>IF(C294&lt;&gt;"Despesa","",IFERROR(INDEX('Config'!$J$6:$J$40,MATCH(D294,'Config'!$I$6:$I$40,0)),"—"))</f>
        <v/>
      </c>
      <c r="K294" s="138" t="str">
        <f>IF(COUNTA(B294:F294)=0,"",IF(OR(B294="",C294="",D294="",F294=""),"▲ Completar","✔"))</f>
        <v/>
      </c>
    </row>
    <row r="295">
      <c r="B295" s="130" t="n"/>
      <c r="C295" s="129" t="n"/>
      <c r="D295" s="129" t="n"/>
      <c r="E295" s="129" t="n"/>
      <c r="F295" s="145" t="n"/>
      <c r="G295" s="129" t="n"/>
      <c r="H295" s="129" t="n"/>
      <c r="I295" s="129" t="n"/>
      <c r="J295" s="138" t="str">
        <f>IF(C295&lt;&gt;"Despesa","",IFERROR(INDEX('Config'!$J$6:$J$40,MATCH(D295,'Config'!$I$6:$I$40,0)),"—"))</f>
        <v/>
      </c>
      <c r="K295" s="138" t="str">
        <f>IF(COUNTA(B295:F295)=0,"",IF(OR(B295="",C295="",D295="",F295=""),"▲ Completar","✔"))</f>
        <v/>
      </c>
    </row>
    <row r="296">
      <c r="B296" s="130" t="n"/>
      <c r="C296" s="129" t="n"/>
      <c r="D296" s="129" t="n"/>
      <c r="E296" s="129" t="n"/>
      <c r="F296" s="145" t="n"/>
      <c r="G296" s="129" t="n"/>
      <c r="H296" s="129" t="n"/>
      <c r="I296" s="129" t="n"/>
      <c r="J296" s="138" t="str">
        <f>IF(C296&lt;&gt;"Despesa","",IFERROR(INDEX('Config'!$J$6:$J$40,MATCH(D296,'Config'!$I$6:$I$40,0)),"—"))</f>
        <v/>
      </c>
      <c r="K296" s="138" t="str">
        <f>IF(COUNTA(B296:F296)=0,"",IF(OR(B296="",C296="",D296="",F296=""),"▲ Completar","✔"))</f>
        <v/>
      </c>
    </row>
    <row r="297">
      <c r="B297" s="130" t="n"/>
      <c r="C297" s="129" t="n"/>
      <c r="D297" s="129" t="n"/>
      <c r="E297" s="129" t="n"/>
      <c r="F297" s="145" t="n"/>
      <c r="G297" s="129" t="n"/>
      <c r="H297" s="129" t="n"/>
      <c r="I297" s="129" t="n"/>
      <c r="J297" s="138" t="str">
        <f>IF(C297&lt;&gt;"Despesa","",IFERROR(INDEX('Config'!$J$6:$J$40,MATCH(D297,'Config'!$I$6:$I$40,0)),"—"))</f>
        <v/>
      </c>
      <c r="K297" s="138" t="str">
        <f>IF(COUNTA(B297:F297)=0,"",IF(OR(B297="",C297="",D297="",F297=""),"▲ Completar","✔"))</f>
        <v/>
      </c>
    </row>
    <row r="298">
      <c r="B298" s="130" t="n"/>
      <c r="C298" s="129" t="n"/>
      <c r="D298" s="129" t="n"/>
      <c r="E298" s="129" t="n"/>
      <c r="F298" s="145" t="n"/>
      <c r="G298" s="129" t="n"/>
      <c r="H298" s="129" t="n"/>
      <c r="I298" s="129" t="n"/>
      <c r="J298" s="138" t="str">
        <f>IF(C298&lt;&gt;"Despesa","",IFERROR(INDEX('Config'!$J$6:$J$40,MATCH(D298,'Config'!$I$6:$I$40,0)),"—"))</f>
        <v/>
      </c>
      <c r="K298" s="138" t="str">
        <f>IF(COUNTA(B298:F298)=0,"",IF(OR(B298="",C298="",D298="",F298=""),"▲ Completar","✔"))</f>
        <v/>
      </c>
    </row>
    <row r="299">
      <c r="B299" s="130" t="n"/>
      <c r="C299" s="129" t="n"/>
      <c r="D299" s="129" t="n"/>
      <c r="E299" s="129" t="n"/>
      <c r="F299" s="145" t="n"/>
      <c r="G299" s="129" t="n"/>
      <c r="H299" s="129" t="n"/>
      <c r="I299" s="129" t="n"/>
      <c r="J299" s="138" t="str">
        <f>IF(C299&lt;&gt;"Despesa","",IFERROR(INDEX('Config'!$J$6:$J$40,MATCH(D299,'Config'!$I$6:$I$40,0)),"—"))</f>
        <v/>
      </c>
      <c r="K299" s="138" t="str">
        <f>IF(COUNTA(B299:F299)=0,"",IF(OR(B299="",C299="",D299="",F299=""),"▲ Completar","✔"))</f>
        <v/>
      </c>
    </row>
    <row r="300">
      <c r="B300" s="130" t="n"/>
      <c r="C300" s="129" t="n"/>
      <c r="D300" s="129" t="n"/>
      <c r="E300" s="129" t="n"/>
      <c r="F300" s="145" t="n"/>
      <c r="G300" s="129" t="n"/>
      <c r="H300" s="129" t="n"/>
      <c r="I300" s="129" t="n"/>
      <c r="J300" s="138" t="str">
        <f>IF(C300&lt;&gt;"Despesa","",IFERROR(INDEX('Config'!$J$6:$J$40,MATCH(D300,'Config'!$I$6:$I$40,0)),"—"))</f>
        <v/>
      </c>
      <c r="K300" s="138" t="str">
        <f>IF(COUNTA(B300:F300)=0,"",IF(OR(B300="",C300="",D300="",F300=""),"▲ Completar","✔"))</f>
        <v/>
      </c>
    </row>
    <row r="301">
      <c r="B301" s="130" t="n"/>
      <c r="C301" s="129" t="n"/>
      <c r="D301" s="129" t="n"/>
      <c r="E301" s="129" t="n"/>
      <c r="F301" s="145" t="n"/>
      <c r="G301" s="129" t="n"/>
      <c r="H301" s="129" t="n"/>
      <c r="I301" s="129" t="n"/>
      <c r="J301" s="138" t="str">
        <f>IF(C301&lt;&gt;"Despesa","",IFERROR(INDEX('Config'!$J$6:$J$40,MATCH(D301,'Config'!$I$6:$I$40,0)),"—"))</f>
        <v/>
      </c>
      <c r="K301" s="138" t="str">
        <f>IF(COUNTA(B301:F301)=0,"",IF(OR(B301="",C301="",D301="",F301=""),"▲ Completar","✔"))</f>
        <v/>
      </c>
    </row>
    <row r="302">
      <c r="B302" s="130" t="n"/>
      <c r="C302" s="129" t="n"/>
      <c r="D302" s="129" t="n"/>
      <c r="E302" s="129" t="n"/>
      <c r="F302" s="145" t="n"/>
      <c r="G302" s="129" t="n"/>
      <c r="H302" s="129" t="n"/>
      <c r="I302" s="129" t="n"/>
      <c r="J302" s="138" t="str">
        <f>IF(C302&lt;&gt;"Despesa","",IFERROR(INDEX('Config'!$J$6:$J$40,MATCH(D302,'Config'!$I$6:$I$40,0)),"—"))</f>
        <v/>
      </c>
      <c r="K302" s="138" t="str">
        <f>IF(COUNTA(B302:F302)=0,"",IF(OR(B302="",C302="",D302="",F302=""),"▲ Completar","✔"))</f>
        <v/>
      </c>
    </row>
    <row r="303">
      <c r="B303" s="130" t="n"/>
      <c r="C303" s="129" t="n"/>
      <c r="D303" s="129" t="n"/>
      <c r="E303" s="129" t="n"/>
      <c r="F303" s="145" t="n"/>
      <c r="G303" s="129" t="n"/>
      <c r="H303" s="129" t="n"/>
      <c r="I303" s="129" t="n"/>
      <c r="J303" s="138" t="str">
        <f>IF(C303&lt;&gt;"Despesa","",IFERROR(INDEX('Config'!$J$6:$J$40,MATCH(D303,'Config'!$I$6:$I$40,0)),"—"))</f>
        <v/>
      </c>
      <c r="K303" s="138" t="str">
        <f>IF(COUNTA(B303:F303)=0,"",IF(OR(B303="",C303="",D303="",F303=""),"▲ Completar","✔"))</f>
        <v/>
      </c>
    </row>
    <row r="304">
      <c r="B304" s="130" t="n"/>
      <c r="C304" s="129" t="n"/>
      <c r="D304" s="129" t="n"/>
      <c r="E304" s="129" t="n"/>
      <c r="F304" s="145" t="n"/>
      <c r="G304" s="129" t="n"/>
      <c r="H304" s="129" t="n"/>
      <c r="I304" s="129" t="n"/>
      <c r="J304" s="138" t="str">
        <f>IF(C304&lt;&gt;"Despesa","",IFERROR(INDEX('Config'!$J$6:$J$40,MATCH(D304,'Config'!$I$6:$I$40,0)),"—"))</f>
        <v/>
      </c>
      <c r="K304" s="138" t="str">
        <f>IF(COUNTA(B304:F304)=0,"",IF(OR(B304="",C304="",D304="",F304=""),"▲ Completar","✔"))</f>
        <v/>
      </c>
    </row>
    <row r="305">
      <c r="B305" s="130" t="n"/>
      <c r="C305" s="129" t="n"/>
      <c r="D305" s="129" t="n"/>
      <c r="E305" s="129" t="n"/>
      <c r="F305" s="145" t="n"/>
      <c r="G305" s="129" t="n"/>
      <c r="H305" s="129" t="n"/>
      <c r="I305" s="129" t="n"/>
      <c r="J305" s="138" t="str">
        <f>IF(C305&lt;&gt;"Despesa","",IFERROR(INDEX('Config'!$J$6:$J$40,MATCH(D305,'Config'!$I$6:$I$40,0)),"—"))</f>
        <v/>
      </c>
      <c r="K305" s="138" t="str">
        <f>IF(COUNTA(B305:F305)=0,"",IF(OR(B305="",C305="",D305="",F305=""),"▲ Completar","✔"))</f>
        <v/>
      </c>
    </row>
    <row r="306">
      <c r="B306" s="130" t="n"/>
      <c r="C306" s="129" t="n"/>
      <c r="D306" s="129" t="n"/>
      <c r="E306" s="129" t="n"/>
      <c r="F306" s="145" t="n"/>
      <c r="G306" s="129" t="n"/>
      <c r="H306" s="129" t="n"/>
      <c r="I306" s="129" t="n"/>
      <c r="J306" s="138" t="str">
        <f>IF(C306&lt;&gt;"Despesa","",IFERROR(INDEX('Config'!$J$6:$J$40,MATCH(D306,'Config'!$I$6:$I$40,0)),"—"))</f>
        <v/>
      </c>
      <c r="K306" s="138" t="str">
        <f>IF(COUNTA(B306:F306)=0,"",IF(OR(B306="",C306="",D306="",F306=""),"▲ Completar","✔"))</f>
        <v/>
      </c>
    </row>
    <row r="307">
      <c r="B307" s="130" t="n"/>
      <c r="C307" s="129" t="n"/>
      <c r="D307" s="129" t="n"/>
      <c r="E307" s="129" t="n"/>
      <c r="F307" s="145" t="n"/>
      <c r="G307" s="129" t="n"/>
      <c r="H307" s="129" t="n"/>
      <c r="I307" s="129" t="n"/>
      <c r="J307" s="138" t="str">
        <f>IF(C307&lt;&gt;"Despesa","",IFERROR(INDEX('Config'!$J$6:$J$40,MATCH(D307,'Config'!$I$6:$I$40,0)),"—"))</f>
        <v/>
      </c>
      <c r="K307" s="138" t="str">
        <f>IF(COUNTA(B307:F307)=0,"",IF(OR(B307="",C307="",D307="",F307=""),"▲ Completar","✔"))</f>
        <v/>
      </c>
    </row>
    <row r="308">
      <c r="B308" s="130" t="n"/>
      <c r="C308" s="129" t="n"/>
      <c r="D308" s="129" t="n"/>
      <c r="E308" s="129" t="n"/>
      <c r="F308" s="145" t="n"/>
      <c r="G308" s="129" t="n"/>
      <c r="H308" s="129" t="n"/>
      <c r="I308" s="129" t="n"/>
      <c r="J308" s="138" t="str">
        <f>IF(C308&lt;&gt;"Despesa","",IFERROR(INDEX('Config'!$J$6:$J$40,MATCH(D308,'Config'!$I$6:$I$40,0)),"—"))</f>
        <v/>
      </c>
      <c r="K308" s="138" t="str">
        <f>IF(COUNTA(B308:F308)=0,"",IF(OR(B308="",C308="",D308="",F308=""),"▲ Completar","✔"))</f>
        <v/>
      </c>
    </row>
    <row r="309">
      <c r="B309" s="130" t="n"/>
      <c r="C309" s="129" t="n"/>
      <c r="D309" s="129" t="n"/>
      <c r="E309" s="129" t="n"/>
      <c r="F309" s="145" t="n"/>
      <c r="G309" s="129" t="n"/>
      <c r="H309" s="129" t="n"/>
      <c r="I309" s="129" t="n"/>
      <c r="J309" s="138" t="str">
        <f>IF(C309&lt;&gt;"Despesa","",IFERROR(INDEX('Config'!$J$6:$J$40,MATCH(D309,'Config'!$I$6:$I$40,0)),"—"))</f>
        <v/>
      </c>
      <c r="K309" s="138" t="str">
        <f>IF(COUNTA(B309:F309)=0,"",IF(OR(B309="",C309="",D309="",F309=""),"▲ Completar","✔"))</f>
        <v/>
      </c>
    </row>
    <row r="310">
      <c r="B310" s="130" t="n"/>
      <c r="C310" s="129" t="n"/>
      <c r="D310" s="129" t="n"/>
      <c r="E310" s="129" t="n"/>
      <c r="F310" s="145" t="n"/>
      <c r="G310" s="129" t="n"/>
      <c r="H310" s="129" t="n"/>
      <c r="I310" s="129" t="n"/>
      <c r="J310" s="138" t="str">
        <f>IF(C310&lt;&gt;"Despesa","",IFERROR(INDEX('Config'!$J$6:$J$40,MATCH(D310,'Config'!$I$6:$I$40,0)),"—"))</f>
        <v/>
      </c>
      <c r="K310" s="138" t="str">
        <f>IF(COUNTA(B310:F310)=0,"",IF(OR(B310="",C310="",D310="",F310=""),"▲ Completar","✔"))</f>
        <v/>
      </c>
    </row>
    <row r="311">
      <c r="B311" s="130" t="n"/>
      <c r="C311" s="129" t="n"/>
      <c r="D311" s="129" t="n"/>
      <c r="E311" s="129" t="n"/>
      <c r="F311" s="145" t="n"/>
      <c r="G311" s="129" t="n"/>
      <c r="H311" s="129" t="n"/>
      <c r="I311" s="129" t="n"/>
      <c r="J311" s="138" t="str">
        <f>IF(C311&lt;&gt;"Despesa","",IFERROR(INDEX('Config'!$J$6:$J$40,MATCH(D311,'Config'!$I$6:$I$40,0)),"—"))</f>
        <v/>
      </c>
      <c r="K311" s="138" t="str">
        <f>IF(COUNTA(B311:F311)=0,"",IF(OR(B311="",C311="",D311="",F311=""),"▲ Completar","✔"))</f>
        <v/>
      </c>
    </row>
    <row r="312">
      <c r="B312" s="130" t="n"/>
      <c r="C312" s="129" t="n"/>
      <c r="D312" s="129" t="n"/>
      <c r="E312" s="129" t="n"/>
      <c r="F312" s="145" t="n"/>
      <c r="G312" s="129" t="n"/>
      <c r="H312" s="129" t="n"/>
      <c r="I312" s="129" t="n"/>
      <c r="J312" s="138" t="str">
        <f>IF(C312&lt;&gt;"Despesa","",IFERROR(INDEX('Config'!$J$6:$J$40,MATCH(D312,'Config'!$I$6:$I$40,0)),"—"))</f>
        <v/>
      </c>
      <c r="K312" s="138" t="str">
        <f>IF(COUNTA(B312:F312)=0,"",IF(OR(B312="",C312="",D312="",F312=""),"▲ Completar","✔"))</f>
        <v/>
      </c>
    </row>
    <row r="313">
      <c r="B313" s="130" t="n"/>
      <c r="C313" s="129" t="n"/>
      <c r="D313" s="129" t="n"/>
      <c r="E313" s="129" t="n"/>
      <c r="F313" s="145" t="n"/>
      <c r="G313" s="129" t="n"/>
      <c r="H313" s="129" t="n"/>
      <c r="I313" s="129" t="n"/>
      <c r="J313" s="138" t="str">
        <f>IF(C313&lt;&gt;"Despesa","",IFERROR(INDEX('Config'!$J$6:$J$40,MATCH(D313,'Config'!$I$6:$I$40,0)),"—"))</f>
        <v/>
      </c>
      <c r="K313" s="138" t="str">
        <f>IF(COUNTA(B313:F313)=0,"",IF(OR(B313="",C313="",D313="",F313=""),"▲ Completar","✔"))</f>
        <v/>
      </c>
    </row>
    <row r="314">
      <c r="B314" s="130" t="n"/>
      <c r="C314" s="129" t="n"/>
      <c r="D314" s="129" t="n"/>
      <c r="E314" s="129" t="n"/>
      <c r="F314" s="145" t="n"/>
      <c r="G314" s="129" t="n"/>
      <c r="H314" s="129" t="n"/>
      <c r="I314" s="129" t="n"/>
      <c r="J314" s="138" t="str">
        <f>IF(C314&lt;&gt;"Despesa","",IFERROR(INDEX('Config'!$J$6:$J$40,MATCH(D314,'Config'!$I$6:$I$40,0)),"—"))</f>
        <v/>
      </c>
      <c r="K314" s="138" t="str">
        <f>IF(COUNTA(B314:F314)=0,"",IF(OR(B314="",C314="",D314="",F314=""),"▲ Completar","✔"))</f>
        <v/>
      </c>
    </row>
    <row r="315">
      <c r="B315" s="130" t="n"/>
      <c r="C315" s="129" t="n"/>
      <c r="D315" s="129" t="n"/>
      <c r="E315" s="129" t="n"/>
      <c r="F315" s="145" t="n"/>
      <c r="G315" s="129" t="n"/>
      <c r="H315" s="129" t="n"/>
      <c r="I315" s="129" t="n"/>
      <c r="J315" s="138" t="str">
        <f>IF(C315&lt;&gt;"Despesa","",IFERROR(INDEX('Config'!$J$6:$J$40,MATCH(D315,'Config'!$I$6:$I$40,0)),"—"))</f>
        <v/>
      </c>
      <c r="K315" s="138" t="str">
        <f>IF(COUNTA(B315:F315)=0,"",IF(OR(B315="",C315="",D315="",F315=""),"▲ Completar","✔"))</f>
        <v/>
      </c>
    </row>
    <row r="316">
      <c r="B316" s="130" t="n"/>
      <c r="C316" s="129" t="n"/>
      <c r="D316" s="129" t="n"/>
      <c r="E316" s="129" t="n"/>
      <c r="F316" s="145" t="n"/>
      <c r="G316" s="129" t="n"/>
      <c r="H316" s="129" t="n"/>
      <c r="I316" s="129" t="n"/>
      <c r="J316" s="138" t="str">
        <f>IF(C316&lt;&gt;"Despesa","",IFERROR(INDEX('Config'!$J$6:$J$40,MATCH(D316,'Config'!$I$6:$I$40,0)),"—"))</f>
        <v/>
      </c>
      <c r="K316" s="138" t="str">
        <f>IF(COUNTA(B316:F316)=0,"",IF(OR(B316="",C316="",D316="",F316=""),"▲ Completar","✔"))</f>
        <v/>
      </c>
    </row>
    <row r="317">
      <c r="B317" s="130" t="n"/>
      <c r="C317" s="129" t="n"/>
      <c r="D317" s="129" t="n"/>
      <c r="E317" s="129" t="n"/>
      <c r="F317" s="145" t="n"/>
      <c r="G317" s="129" t="n"/>
      <c r="H317" s="129" t="n"/>
      <c r="I317" s="129" t="n"/>
      <c r="J317" s="138" t="str">
        <f>IF(C317&lt;&gt;"Despesa","",IFERROR(INDEX('Config'!$J$6:$J$40,MATCH(D317,'Config'!$I$6:$I$40,0)),"—"))</f>
        <v/>
      </c>
      <c r="K317" s="138" t="str">
        <f>IF(COUNTA(B317:F317)=0,"",IF(OR(B317="",C317="",D317="",F317=""),"▲ Completar","✔"))</f>
        <v/>
      </c>
    </row>
    <row r="318">
      <c r="B318" s="130" t="n"/>
      <c r="C318" s="129" t="n"/>
      <c r="D318" s="129" t="n"/>
      <c r="E318" s="129" t="n"/>
      <c r="F318" s="145" t="n"/>
      <c r="G318" s="129" t="n"/>
      <c r="H318" s="129" t="n"/>
      <c r="I318" s="129" t="n"/>
      <c r="J318" s="138" t="str">
        <f>IF(C318&lt;&gt;"Despesa","",IFERROR(INDEX('Config'!$J$6:$J$40,MATCH(D318,'Config'!$I$6:$I$40,0)),"—"))</f>
        <v/>
      </c>
      <c r="K318" s="138" t="str">
        <f>IF(COUNTA(B318:F318)=0,"",IF(OR(B318="",C318="",D318="",F318=""),"▲ Completar","✔"))</f>
        <v/>
      </c>
    </row>
    <row r="319">
      <c r="B319" s="130" t="n"/>
      <c r="C319" s="129" t="n"/>
      <c r="D319" s="129" t="n"/>
      <c r="E319" s="129" t="n"/>
      <c r="F319" s="145" t="n"/>
      <c r="G319" s="129" t="n"/>
      <c r="H319" s="129" t="n"/>
      <c r="I319" s="129" t="n"/>
      <c r="J319" s="138" t="str">
        <f>IF(C319&lt;&gt;"Despesa","",IFERROR(INDEX('Config'!$J$6:$J$40,MATCH(D319,'Config'!$I$6:$I$40,0)),"—"))</f>
        <v/>
      </c>
      <c r="K319" s="138" t="str">
        <f>IF(COUNTA(B319:F319)=0,"",IF(OR(B319="",C319="",D319="",F319=""),"▲ Completar","✔"))</f>
        <v/>
      </c>
    </row>
    <row r="320">
      <c r="B320" s="130" t="n"/>
      <c r="C320" s="129" t="n"/>
      <c r="D320" s="129" t="n"/>
      <c r="E320" s="129" t="n"/>
      <c r="F320" s="145" t="n"/>
      <c r="G320" s="129" t="n"/>
      <c r="H320" s="129" t="n"/>
      <c r="I320" s="129" t="n"/>
      <c r="J320" s="138" t="str">
        <f>IF(C320&lt;&gt;"Despesa","",IFERROR(INDEX('Config'!$J$6:$J$40,MATCH(D320,'Config'!$I$6:$I$40,0)),"—"))</f>
        <v/>
      </c>
      <c r="K320" s="138" t="str">
        <f>IF(COUNTA(B320:F320)=0,"",IF(OR(B320="",C320="",D320="",F320=""),"▲ Completar","✔"))</f>
        <v/>
      </c>
    </row>
    <row r="321">
      <c r="B321" s="130" t="n"/>
      <c r="C321" s="129" t="n"/>
      <c r="D321" s="129" t="n"/>
      <c r="E321" s="129" t="n"/>
      <c r="F321" s="145" t="n"/>
      <c r="G321" s="129" t="n"/>
      <c r="H321" s="129" t="n"/>
      <c r="I321" s="129" t="n"/>
      <c r="J321" s="138" t="str">
        <f>IF(C321&lt;&gt;"Despesa","",IFERROR(INDEX('Config'!$J$6:$J$40,MATCH(D321,'Config'!$I$6:$I$40,0)),"—"))</f>
        <v/>
      </c>
      <c r="K321" s="138" t="str">
        <f>IF(COUNTA(B321:F321)=0,"",IF(OR(B321="",C321="",D321="",F321=""),"▲ Completar","✔"))</f>
        <v/>
      </c>
    </row>
    <row r="322">
      <c r="B322" s="130" t="n"/>
      <c r="C322" s="129" t="n"/>
      <c r="D322" s="129" t="n"/>
      <c r="E322" s="129" t="n"/>
      <c r="F322" s="145" t="n"/>
      <c r="G322" s="129" t="n"/>
      <c r="H322" s="129" t="n"/>
      <c r="I322" s="129" t="n"/>
      <c r="J322" s="138" t="str">
        <f>IF(C322&lt;&gt;"Despesa","",IFERROR(INDEX('Config'!$J$6:$J$40,MATCH(D322,'Config'!$I$6:$I$40,0)),"—"))</f>
        <v/>
      </c>
      <c r="K322" s="138" t="str">
        <f>IF(COUNTA(B322:F322)=0,"",IF(OR(B322="",C322="",D322="",F322=""),"▲ Completar","✔"))</f>
        <v/>
      </c>
    </row>
    <row r="323">
      <c r="B323" s="130" t="n"/>
      <c r="C323" s="129" t="n"/>
      <c r="D323" s="129" t="n"/>
      <c r="E323" s="129" t="n"/>
      <c r="F323" s="145" t="n"/>
      <c r="G323" s="129" t="n"/>
      <c r="H323" s="129" t="n"/>
      <c r="I323" s="129" t="n"/>
      <c r="J323" s="138" t="str">
        <f>IF(C323&lt;&gt;"Despesa","",IFERROR(INDEX('Config'!$J$6:$J$40,MATCH(D323,'Config'!$I$6:$I$40,0)),"—"))</f>
        <v/>
      </c>
      <c r="K323" s="138" t="str">
        <f>IF(COUNTA(B323:F323)=0,"",IF(OR(B323="",C323="",D323="",F323=""),"▲ Completar","✔"))</f>
        <v/>
      </c>
    </row>
    <row r="324">
      <c r="B324" s="130" t="n"/>
      <c r="C324" s="129" t="n"/>
      <c r="D324" s="129" t="n"/>
      <c r="E324" s="129" t="n"/>
      <c r="F324" s="145" t="n"/>
      <c r="G324" s="129" t="n"/>
      <c r="H324" s="129" t="n"/>
      <c r="I324" s="129" t="n"/>
      <c r="J324" s="138" t="str">
        <f>IF(C324&lt;&gt;"Despesa","",IFERROR(INDEX('Config'!$J$6:$J$40,MATCH(D324,'Config'!$I$6:$I$40,0)),"—"))</f>
        <v/>
      </c>
      <c r="K324" s="138" t="str">
        <f>IF(COUNTA(B324:F324)=0,"",IF(OR(B324="",C324="",D324="",F324=""),"▲ Completar","✔"))</f>
        <v/>
      </c>
    </row>
    <row r="325">
      <c r="B325" s="130" t="n"/>
      <c r="C325" s="129" t="n"/>
      <c r="D325" s="129" t="n"/>
      <c r="E325" s="129" t="n"/>
      <c r="F325" s="145" t="n"/>
      <c r="G325" s="129" t="n"/>
      <c r="H325" s="129" t="n"/>
      <c r="I325" s="129" t="n"/>
      <c r="J325" s="138" t="str">
        <f>IF(C325&lt;&gt;"Despesa","",IFERROR(INDEX('Config'!$J$6:$J$40,MATCH(D325,'Config'!$I$6:$I$40,0)),"—"))</f>
        <v/>
      </c>
      <c r="K325" s="138" t="str">
        <f>IF(COUNTA(B325:F325)=0,"",IF(OR(B325="",C325="",D325="",F325=""),"▲ Completar","✔"))</f>
        <v/>
      </c>
    </row>
    <row r="326">
      <c r="B326" s="130" t="n"/>
      <c r="C326" s="129" t="n"/>
      <c r="D326" s="129" t="n"/>
      <c r="E326" s="129" t="n"/>
      <c r="F326" s="145" t="n"/>
      <c r="G326" s="129" t="n"/>
      <c r="H326" s="129" t="n"/>
      <c r="I326" s="129" t="n"/>
      <c r="J326" s="138" t="str">
        <f>IF(C326&lt;&gt;"Despesa","",IFERROR(INDEX('Config'!$J$6:$J$40,MATCH(D326,'Config'!$I$6:$I$40,0)),"—"))</f>
        <v/>
      </c>
      <c r="K326" s="138" t="str">
        <f>IF(COUNTA(B326:F326)=0,"",IF(OR(B326="",C326="",D326="",F326=""),"▲ Completar","✔"))</f>
        <v/>
      </c>
    </row>
    <row r="327">
      <c r="B327" s="130" t="n"/>
      <c r="C327" s="129" t="n"/>
      <c r="D327" s="129" t="n"/>
      <c r="E327" s="129" t="n"/>
      <c r="F327" s="145" t="n"/>
      <c r="G327" s="129" t="n"/>
      <c r="H327" s="129" t="n"/>
      <c r="I327" s="129" t="n"/>
      <c r="J327" s="138" t="str">
        <f>IF(C327&lt;&gt;"Despesa","",IFERROR(INDEX('Config'!$J$6:$J$40,MATCH(D327,'Config'!$I$6:$I$40,0)),"—"))</f>
        <v/>
      </c>
      <c r="K327" s="138" t="str">
        <f>IF(COUNTA(B327:F327)=0,"",IF(OR(B327="",C327="",D327="",F327=""),"▲ Completar","✔"))</f>
        <v/>
      </c>
    </row>
    <row r="328">
      <c r="B328" s="130" t="n"/>
      <c r="C328" s="129" t="n"/>
      <c r="D328" s="129" t="n"/>
      <c r="E328" s="129" t="n"/>
      <c r="F328" s="145" t="n"/>
      <c r="G328" s="129" t="n"/>
      <c r="H328" s="129" t="n"/>
      <c r="I328" s="129" t="n"/>
      <c r="J328" s="138" t="str">
        <f>IF(C328&lt;&gt;"Despesa","",IFERROR(INDEX('Config'!$J$6:$J$40,MATCH(D328,'Config'!$I$6:$I$40,0)),"—"))</f>
        <v/>
      </c>
      <c r="K328" s="138" t="str">
        <f>IF(COUNTA(B328:F328)=0,"",IF(OR(B328="",C328="",D328="",F328=""),"▲ Completar","✔"))</f>
        <v/>
      </c>
    </row>
    <row r="329">
      <c r="B329" s="130" t="n"/>
      <c r="C329" s="129" t="n"/>
      <c r="D329" s="129" t="n"/>
      <c r="E329" s="129" t="n"/>
      <c r="F329" s="145" t="n"/>
      <c r="G329" s="129" t="n"/>
      <c r="H329" s="129" t="n"/>
      <c r="I329" s="129" t="n"/>
      <c r="J329" s="138" t="str">
        <f>IF(C329&lt;&gt;"Despesa","",IFERROR(INDEX('Config'!$J$6:$J$40,MATCH(D329,'Config'!$I$6:$I$40,0)),"—"))</f>
        <v/>
      </c>
      <c r="K329" s="138" t="str">
        <f>IF(COUNTA(B329:F329)=0,"",IF(OR(B329="",C329="",D329="",F329=""),"▲ Completar","✔"))</f>
        <v/>
      </c>
    </row>
    <row r="330">
      <c r="B330" s="130" t="n"/>
      <c r="C330" s="129" t="n"/>
      <c r="D330" s="129" t="n"/>
      <c r="E330" s="129" t="n"/>
      <c r="F330" s="145" t="n"/>
      <c r="G330" s="129" t="n"/>
      <c r="H330" s="129" t="n"/>
      <c r="I330" s="129" t="n"/>
      <c r="J330" s="138" t="str">
        <f>IF(C330&lt;&gt;"Despesa","",IFERROR(INDEX('Config'!$J$6:$J$40,MATCH(D330,'Config'!$I$6:$I$40,0)),"—"))</f>
        <v/>
      </c>
      <c r="K330" s="138" t="str">
        <f>IF(COUNTA(B330:F330)=0,"",IF(OR(B330="",C330="",D330="",F330=""),"▲ Completar","✔"))</f>
        <v/>
      </c>
    </row>
    <row r="331">
      <c r="B331" s="130" t="n"/>
      <c r="C331" s="129" t="n"/>
      <c r="D331" s="129" t="n"/>
      <c r="E331" s="129" t="n"/>
      <c r="F331" s="145" t="n"/>
      <c r="G331" s="129" t="n"/>
      <c r="H331" s="129" t="n"/>
      <c r="I331" s="129" t="n"/>
      <c r="J331" s="138" t="str">
        <f>IF(C331&lt;&gt;"Despesa","",IFERROR(INDEX('Config'!$J$6:$J$40,MATCH(D331,'Config'!$I$6:$I$40,0)),"—"))</f>
        <v/>
      </c>
      <c r="K331" s="138" t="str">
        <f>IF(COUNTA(B331:F331)=0,"",IF(OR(B331="",C331="",D331="",F331=""),"▲ Completar","✔"))</f>
        <v/>
      </c>
    </row>
    <row r="332">
      <c r="B332" s="130" t="n"/>
      <c r="C332" s="129" t="n"/>
      <c r="D332" s="129" t="n"/>
      <c r="E332" s="129" t="n"/>
      <c r="F332" s="145" t="n"/>
      <c r="G332" s="129" t="n"/>
      <c r="H332" s="129" t="n"/>
      <c r="I332" s="129" t="n"/>
      <c r="J332" s="138" t="str">
        <f>IF(C332&lt;&gt;"Despesa","",IFERROR(INDEX('Config'!$J$6:$J$40,MATCH(D332,'Config'!$I$6:$I$40,0)),"—"))</f>
        <v/>
      </c>
      <c r="K332" s="138" t="str">
        <f>IF(COUNTA(B332:F332)=0,"",IF(OR(B332="",C332="",D332="",F332=""),"▲ Completar","✔"))</f>
        <v/>
      </c>
    </row>
    <row r="333">
      <c r="B333" s="130" t="n"/>
      <c r="C333" s="129" t="n"/>
      <c r="D333" s="129" t="n"/>
      <c r="E333" s="129" t="n"/>
      <c r="F333" s="145" t="n"/>
      <c r="G333" s="129" t="n"/>
      <c r="H333" s="129" t="n"/>
      <c r="I333" s="129" t="n"/>
      <c r="J333" s="138" t="str">
        <f>IF(C333&lt;&gt;"Despesa","",IFERROR(INDEX('Config'!$J$6:$J$40,MATCH(D333,'Config'!$I$6:$I$40,0)),"—"))</f>
        <v/>
      </c>
      <c r="K333" s="138" t="str">
        <f>IF(COUNTA(B333:F333)=0,"",IF(OR(B333="",C333="",D333="",F333=""),"▲ Completar","✔"))</f>
        <v/>
      </c>
    </row>
    <row r="334">
      <c r="B334" s="130" t="n"/>
      <c r="C334" s="129" t="n"/>
      <c r="D334" s="129" t="n"/>
      <c r="E334" s="129" t="n"/>
      <c r="F334" s="145" t="n"/>
      <c r="G334" s="129" t="n"/>
      <c r="H334" s="129" t="n"/>
      <c r="I334" s="129" t="n"/>
      <c r="J334" s="138" t="str">
        <f>IF(C334&lt;&gt;"Despesa","",IFERROR(INDEX('Config'!$J$6:$J$40,MATCH(D334,'Config'!$I$6:$I$40,0)),"—"))</f>
        <v/>
      </c>
      <c r="K334" s="138" t="str">
        <f>IF(COUNTA(B334:F334)=0,"",IF(OR(B334="",C334="",D334="",F334=""),"▲ Completar","✔"))</f>
        <v/>
      </c>
    </row>
    <row r="335">
      <c r="B335" s="130" t="n"/>
      <c r="C335" s="129" t="n"/>
      <c r="D335" s="129" t="n"/>
      <c r="E335" s="129" t="n"/>
      <c r="F335" s="145" t="n"/>
      <c r="G335" s="129" t="n"/>
      <c r="H335" s="129" t="n"/>
      <c r="I335" s="129" t="n"/>
      <c r="J335" s="138" t="str">
        <f>IF(C335&lt;&gt;"Despesa","",IFERROR(INDEX('Config'!$J$6:$J$40,MATCH(D335,'Config'!$I$6:$I$40,0)),"—"))</f>
        <v/>
      </c>
      <c r="K335" s="138" t="str">
        <f>IF(COUNTA(B335:F335)=0,"",IF(OR(B335="",C335="",D335="",F335=""),"▲ Completar","✔"))</f>
        <v/>
      </c>
    </row>
    <row r="336">
      <c r="B336" s="130" t="n"/>
      <c r="C336" s="129" t="n"/>
      <c r="D336" s="129" t="n"/>
      <c r="E336" s="129" t="n"/>
      <c r="F336" s="145" t="n"/>
      <c r="G336" s="129" t="n"/>
      <c r="H336" s="129" t="n"/>
      <c r="I336" s="129" t="n"/>
      <c r="J336" s="138" t="str">
        <f>IF(C336&lt;&gt;"Despesa","",IFERROR(INDEX('Config'!$J$6:$J$40,MATCH(D336,'Config'!$I$6:$I$40,0)),"—"))</f>
        <v/>
      </c>
      <c r="K336" s="138" t="str">
        <f>IF(COUNTA(B336:F336)=0,"",IF(OR(B336="",C336="",D336="",F336=""),"▲ Completar","✔"))</f>
        <v/>
      </c>
    </row>
    <row r="337">
      <c r="B337" s="130" t="n"/>
      <c r="C337" s="129" t="n"/>
      <c r="D337" s="129" t="n"/>
      <c r="E337" s="129" t="n"/>
      <c r="F337" s="145" t="n"/>
      <c r="G337" s="129" t="n"/>
      <c r="H337" s="129" t="n"/>
      <c r="I337" s="129" t="n"/>
      <c r="J337" s="138" t="str">
        <f>IF(C337&lt;&gt;"Despesa","",IFERROR(INDEX('Config'!$J$6:$J$40,MATCH(D337,'Config'!$I$6:$I$40,0)),"—"))</f>
        <v/>
      </c>
      <c r="K337" s="138" t="str">
        <f>IF(COUNTA(B337:F337)=0,"",IF(OR(B337="",C337="",D337="",F337=""),"▲ Completar","✔"))</f>
        <v/>
      </c>
    </row>
    <row r="338">
      <c r="B338" s="130" t="n"/>
      <c r="C338" s="129" t="n"/>
      <c r="D338" s="129" t="n"/>
      <c r="E338" s="129" t="n"/>
      <c r="F338" s="145" t="n"/>
      <c r="G338" s="129" t="n"/>
      <c r="H338" s="129" t="n"/>
      <c r="I338" s="129" t="n"/>
      <c r="J338" s="138" t="str">
        <f>IF(C338&lt;&gt;"Despesa","",IFERROR(INDEX('Config'!$J$6:$J$40,MATCH(D338,'Config'!$I$6:$I$40,0)),"—"))</f>
        <v/>
      </c>
      <c r="K338" s="138" t="str">
        <f>IF(COUNTA(B338:F338)=0,"",IF(OR(B338="",C338="",D338="",F338=""),"▲ Completar","✔"))</f>
        <v/>
      </c>
    </row>
    <row r="339">
      <c r="B339" s="130" t="n"/>
      <c r="C339" s="129" t="n"/>
      <c r="D339" s="129" t="n"/>
      <c r="E339" s="129" t="n"/>
      <c r="F339" s="145" t="n"/>
      <c r="G339" s="129" t="n"/>
      <c r="H339" s="129" t="n"/>
      <c r="I339" s="129" t="n"/>
      <c r="J339" s="138" t="str">
        <f>IF(C339&lt;&gt;"Despesa","",IFERROR(INDEX('Config'!$J$6:$J$40,MATCH(D339,'Config'!$I$6:$I$40,0)),"—"))</f>
        <v/>
      </c>
      <c r="K339" s="138" t="str">
        <f>IF(COUNTA(B339:F339)=0,"",IF(OR(B339="",C339="",D339="",F339=""),"▲ Completar","✔"))</f>
        <v/>
      </c>
    </row>
    <row r="340">
      <c r="B340" s="130" t="n"/>
      <c r="C340" s="129" t="n"/>
      <c r="D340" s="129" t="n"/>
      <c r="E340" s="129" t="n"/>
      <c r="F340" s="145" t="n"/>
      <c r="G340" s="129" t="n"/>
      <c r="H340" s="129" t="n"/>
      <c r="I340" s="129" t="n"/>
      <c r="J340" s="138" t="str">
        <f>IF(C340&lt;&gt;"Despesa","",IFERROR(INDEX('Config'!$J$6:$J$40,MATCH(D340,'Config'!$I$6:$I$40,0)),"—"))</f>
        <v/>
      </c>
      <c r="K340" s="138" t="str">
        <f>IF(COUNTA(B340:F340)=0,"",IF(OR(B340="",C340="",D340="",F340=""),"▲ Completar","✔"))</f>
        <v/>
      </c>
    </row>
    <row r="341">
      <c r="B341" s="130" t="n"/>
      <c r="C341" s="129" t="n"/>
      <c r="D341" s="129" t="n"/>
      <c r="E341" s="129" t="n"/>
      <c r="F341" s="145" t="n"/>
      <c r="G341" s="129" t="n"/>
      <c r="H341" s="129" t="n"/>
      <c r="I341" s="129" t="n"/>
      <c r="J341" s="138" t="str">
        <f>IF(C341&lt;&gt;"Despesa","",IFERROR(INDEX('Config'!$J$6:$J$40,MATCH(D341,'Config'!$I$6:$I$40,0)),"—"))</f>
        <v/>
      </c>
      <c r="K341" s="138" t="str">
        <f>IF(COUNTA(B341:F341)=0,"",IF(OR(B341="",C341="",D341="",F341=""),"▲ Completar","✔"))</f>
        <v/>
      </c>
    </row>
    <row r="342">
      <c r="B342" s="130" t="n"/>
      <c r="C342" s="129" t="n"/>
      <c r="D342" s="129" t="n"/>
      <c r="E342" s="129" t="n"/>
      <c r="F342" s="145" t="n"/>
      <c r="G342" s="129" t="n"/>
      <c r="H342" s="129" t="n"/>
      <c r="I342" s="129" t="n"/>
      <c r="J342" s="138" t="str">
        <f>IF(C342&lt;&gt;"Despesa","",IFERROR(INDEX('Config'!$J$6:$J$40,MATCH(D342,'Config'!$I$6:$I$40,0)),"—"))</f>
        <v/>
      </c>
      <c r="K342" s="138" t="str">
        <f>IF(COUNTA(B342:F342)=0,"",IF(OR(B342="",C342="",D342="",F342=""),"▲ Completar","✔"))</f>
        <v/>
      </c>
    </row>
    <row r="343">
      <c r="B343" s="130" t="n"/>
      <c r="C343" s="129" t="n"/>
      <c r="D343" s="129" t="n"/>
      <c r="E343" s="129" t="n"/>
      <c r="F343" s="145" t="n"/>
      <c r="G343" s="129" t="n"/>
      <c r="H343" s="129" t="n"/>
      <c r="I343" s="129" t="n"/>
      <c r="J343" s="138" t="str">
        <f>IF(C343&lt;&gt;"Despesa","",IFERROR(INDEX('Config'!$J$6:$J$40,MATCH(D343,'Config'!$I$6:$I$40,0)),"—"))</f>
        <v/>
      </c>
      <c r="K343" s="138" t="str">
        <f>IF(COUNTA(B343:F343)=0,"",IF(OR(B343="",C343="",D343="",F343=""),"▲ Completar","✔"))</f>
        <v/>
      </c>
    </row>
    <row r="344">
      <c r="B344" s="130" t="n"/>
      <c r="C344" s="129" t="n"/>
      <c r="D344" s="129" t="n"/>
      <c r="E344" s="129" t="n"/>
      <c r="F344" s="145" t="n"/>
      <c r="G344" s="129" t="n"/>
      <c r="H344" s="129" t="n"/>
      <c r="I344" s="129" t="n"/>
      <c r="J344" s="138" t="str">
        <f>IF(C344&lt;&gt;"Despesa","",IFERROR(INDEX('Config'!$J$6:$J$40,MATCH(D344,'Config'!$I$6:$I$40,0)),"—"))</f>
        <v/>
      </c>
      <c r="K344" s="138" t="str">
        <f>IF(COUNTA(B344:F344)=0,"",IF(OR(B344="",C344="",D344="",F344=""),"▲ Completar","✔"))</f>
        <v/>
      </c>
    </row>
    <row r="345">
      <c r="B345" s="130" t="n"/>
      <c r="C345" s="129" t="n"/>
      <c r="D345" s="129" t="n"/>
      <c r="E345" s="129" t="n"/>
      <c r="F345" s="145" t="n"/>
      <c r="G345" s="129" t="n"/>
      <c r="H345" s="129" t="n"/>
      <c r="I345" s="129" t="n"/>
      <c r="J345" s="138" t="str">
        <f>IF(C345&lt;&gt;"Despesa","",IFERROR(INDEX('Config'!$J$6:$J$40,MATCH(D345,'Config'!$I$6:$I$40,0)),"—"))</f>
        <v/>
      </c>
      <c r="K345" s="138" t="str">
        <f>IF(COUNTA(B345:F345)=0,"",IF(OR(B345="",C345="",D345="",F345=""),"▲ Completar","✔"))</f>
        <v/>
      </c>
    </row>
    <row r="346">
      <c r="B346" s="130" t="n"/>
      <c r="C346" s="129" t="n"/>
      <c r="D346" s="129" t="n"/>
      <c r="E346" s="129" t="n"/>
      <c r="F346" s="145" t="n"/>
      <c r="G346" s="129" t="n"/>
      <c r="H346" s="129" t="n"/>
      <c r="I346" s="129" t="n"/>
      <c r="J346" s="138" t="str">
        <f>IF(C346&lt;&gt;"Despesa","",IFERROR(INDEX('Config'!$J$6:$J$40,MATCH(D346,'Config'!$I$6:$I$40,0)),"—"))</f>
        <v/>
      </c>
      <c r="K346" s="138" t="str">
        <f>IF(COUNTA(B346:F346)=0,"",IF(OR(B346="",C346="",D346="",F346=""),"▲ Completar","✔"))</f>
        <v/>
      </c>
    </row>
    <row r="347">
      <c r="B347" s="130" t="n"/>
      <c r="C347" s="129" t="n"/>
      <c r="D347" s="129" t="n"/>
      <c r="E347" s="129" t="n"/>
      <c r="F347" s="145" t="n"/>
      <c r="G347" s="129" t="n"/>
      <c r="H347" s="129" t="n"/>
      <c r="I347" s="129" t="n"/>
      <c r="J347" s="138" t="str">
        <f>IF(C347&lt;&gt;"Despesa","",IFERROR(INDEX('Config'!$J$6:$J$40,MATCH(D347,'Config'!$I$6:$I$40,0)),"—"))</f>
        <v/>
      </c>
      <c r="K347" s="138" t="str">
        <f>IF(COUNTA(B347:F347)=0,"",IF(OR(B347="",C347="",D347="",F347=""),"▲ Completar","✔"))</f>
        <v/>
      </c>
    </row>
    <row r="348">
      <c r="B348" s="130" t="n"/>
      <c r="C348" s="129" t="n"/>
      <c r="D348" s="129" t="n"/>
      <c r="E348" s="129" t="n"/>
      <c r="F348" s="145" t="n"/>
      <c r="G348" s="129" t="n"/>
      <c r="H348" s="129" t="n"/>
      <c r="I348" s="129" t="n"/>
      <c r="J348" s="138" t="str">
        <f>IF(C348&lt;&gt;"Despesa","",IFERROR(INDEX('Config'!$J$6:$J$40,MATCH(D348,'Config'!$I$6:$I$40,0)),"—"))</f>
        <v/>
      </c>
      <c r="K348" s="138" t="str">
        <f>IF(COUNTA(B348:F348)=0,"",IF(OR(B348="",C348="",D348="",F348=""),"▲ Completar","✔"))</f>
        <v/>
      </c>
    </row>
    <row r="349">
      <c r="B349" s="130" t="n"/>
      <c r="C349" s="129" t="n"/>
      <c r="D349" s="129" t="n"/>
      <c r="E349" s="129" t="n"/>
      <c r="F349" s="145" t="n"/>
      <c r="G349" s="129" t="n"/>
      <c r="H349" s="129" t="n"/>
      <c r="I349" s="129" t="n"/>
      <c r="J349" s="138" t="str">
        <f>IF(C349&lt;&gt;"Despesa","",IFERROR(INDEX('Config'!$J$6:$J$40,MATCH(D349,'Config'!$I$6:$I$40,0)),"—"))</f>
        <v/>
      </c>
      <c r="K349" s="138" t="str">
        <f>IF(COUNTA(B349:F349)=0,"",IF(OR(B349="",C349="",D349="",F349=""),"▲ Completar","✔"))</f>
        <v/>
      </c>
    </row>
    <row r="350">
      <c r="B350" s="130" t="n"/>
      <c r="C350" s="129" t="n"/>
      <c r="D350" s="129" t="n"/>
      <c r="E350" s="129" t="n"/>
      <c r="F350" s="145" t="n"/>
      <c r="G350" s="129" t="n"/>
      <c r="H350" s="129" t="n"/>
      <c r="I350" s="129" t="n"/>
      <c r="J350" s="138" t="str">
        <f>IF(C350&lt;&gt;"Despesa","",IFERROR(INDEX('Config'!$J$6:$J$40,MATCH(D350,'Config'!$I$6:$I$40,0)),"—"))</f>
        <v/>
      </c>
      <c r="K350" s="138" t="str">
        <f>IF(COUNTA(B350:F350)=0,"",IF(OR(B350="",C350="",D350="",F350=""),"▲ Completar","✔"))</f>
        <v/>
      </c>
    </row>
    <row r="351">
      <c r="B351" s="130" t="n"/>
      <c r="C351" s="129" t="n"/>
      <c r="D351" s="129" t="n"/>
      <c r="E351" s="129" t="n"/>
      <c r="F351" s="145" t="n"/>
      <c r="G351" s="129" t="n"/>
      <c r="H351" s="129" t="n"/>
      <c r="I351" s="129" t="n"/>
      <c r="J351" s="138" t="str">
        <f>IF(C351&lt;&gt;"Despesa","",IFERROR(INDEX('Config'!$J$6:$J$40,MATCH(D351,'Config'!$I$6:$I$40,0)),"—"))</f>
        <v/>
      </c>
      <c r="K351" s="138" t="str">
        <f>IF(COUNTA(B351:F351)=0,"",IF(OR(B351="",C351="",D351="",F351=""),"▲ Completar","✔"))</f>
        <v/>
      </c>
    </row>
    <row r="352">
      <c r="B352" s="130" t="n"/>
      <c r="C352" s="129" t="n"/>
      <c r="D352" s="129" t="n"/>
      <c r="E352" s="129" t="n"/>
      <c r="F352" s="145" t="n"/>
      <c r="G352" s="129" t="n"/>
      <c r="H352" s="129" t="n"/>
      <c r="I352" s="129" t="n"/>
      <c r="J352" s="138" t="str">
        <f>IF(C352&lt;&gt;"Despesa","",IFERROR(INDEX('Config'!$J$6:$J$40,MATCH(D352,'Config'!$I$6:$I$40,0)),"—"))</f>
        <v/>
      </c>
      <c r="K352" s="138" t="str">
        <f>IF(COUNTA(B352:F352)=0,"",IF(OR(B352="",C352="",D352="",F352=""),"▲ Completar","✔"))</f>
        <v/>
      </c>
    </row>
    <row r="353">
      <c r="B353" s="130" t="n"/>
      <c r="C353" s="129" t="n"/>
      <c r="D353" s="129" t="n"/>
      <c r="E353" s="129" t="n"/>
      <c r="F353" s="145" t="n"/>
      <c r="G353" s="129" t="n"/>
      <c r="H353" s="129" t="n"/>
      <c r="I353" s="129" t="n"/>
      <c r="J353" s="138" t="str">
        <f>IF(C353&lt;&gt;"Despesa","",IFERROR(INDEX('Config'!$J$6:$J$40,MATCH(D353,'Config'!$I$6:$I$40,0)),"—"))</f>
        <v/>
      </c>
      <c r="K353" s="138" t="str">
        <f>IF(COUNTA(B353:F353)=0,"",IF(OR(B353="",C353="",D353="",F353=""),"▲ Completar","✔"))</f>
        <v/>
      </c>
    </row>
    <row r="354">
      <c r="B354" s="130" t="n"/>
      <c r="C354" s="129" t="n"/>
      <c r="D354" s="129" t="n"/>
      <c r="E354" s="129" t="n"/>
      <c r="F354" s="145" t="n"/>
      <c r="G354" s="129" t="n"/>
      <c r="H354" s="129" t="n"/>
      <c r="I354" s="129" t="n"/>
      <c r="J354" s="138" t="str">
        <f>IF(C354&lt;&gt;"Despesa","",IFERROR(INDEX('Config'!$J$6:$J$40,MATCH(D354,'Config'!$I$6:$I$40,0)),"—"))</f>
        <v/>
      </c>
      <c r="K354" s="138" t="str">
        <f>IF(COUNTA(B354:F354)=0,"",IF(OR(B354="",C354="",D354="",F354=""),"▲ Completar","✔"))</f>
        <v/>
      </c>
    </row>
    <row r="355">
      <c r="B355" s="130" t="n"/>
      <c r="C355" s="129" t="n"/>
      <c r="D355" s="129" t="n"/>
      <c r="E355" s="129" t="n"/>
      <c r="F355" s="145" t="n"/>
      <c r="G355" s="129" t="n"/>
      <c r="H355" s="129" t="n"/>
      <c r="I355" s="129" t="n"/>
      <c r="J355" s="138" t="str">
        <f>IF(C355&lt;&gt;"Despesa","",IFERROR(INDEX('Config'!$J$6:$J$40,MATCH(D355,'Config'!$I$6:$I$40,0)),"—"))</f>
        <v/>
      </c>
      <c r="K355" s="138" t="str">
        <f>IF(COUNTA(B355:F355)=0,"",IF(OR(B355="",C355="",D355="",F355=""),"▲ Completar","✔"))</f>
        <v/>
      </c>
    </row>
    <row r="356">
      <c r="B356" s="130" t="n"/>
      <c r="C356" s="129" t="n"/>
      <c r="D356" s="129" t="n"/>
      <c r="E356" s="129" t="n"/>
      <c r="F356" s="145" t="n"/>
      <c r="G356" s="129" t="n"/>
      <c r="H356" s="129" t="n"/>
      <c r="I356" s="129" t="n"/>
      <c r="J356" s="138" t="str">
        <f>IF(C356&lt;&gt;"Despesa","",IFERROR(INDEX('Config'!$J$6:$J$40,MATCH(D356,'Config'!$I$6:$I$40,0)),"—"))</f>
        <v/>
      </c>
      <c r="K356" s="138" t="str">
        <f>IF(COUNTA(B356:F356)=0,"",IF(OR(B356="",C356="",D356="",F356=""),"▲ Completar","✔"))</f>
        <v/>
      </c>
    </row>
    <row r="357">
      <c r="B357" s="130" t="n"/>
      <c r="C357" s="129" t="n"/>
      <c r="D357" s="129" t="n"/>
      <c r="E357" s="129" t="n"/>
      <c r="F357" s="145" t="n"/>
      <c r="G357" s="129" t="n"/>
      <c r="H357" s="129" t="n"/>
      <c r="I357" s="129" t="n"/>
      <c r="J357" s="138" t="str">
        <f>IF(C357&lt;&gt;"Despesa","",IFERROR(INDEX('Config'!$J$6:$J$40,MATCH(D357,'Config'!$I$6:$I$40,0)),"—"))</f>
        <v/>
      </c>
      <c r="K357" s="138" t="str">
        <f>IF(COUNTA(B357:F357)=0,"",IF(OR(B357="",C357="",D357="",F357=""),"▲ Completar","✔"))</f>
        <v/>
      </c>
    </row>
    <row r="358">
      <c r="B358" s="130" t="n"/>
      <c r="C358" s="129" t="n"/>
      <c r="D358" s="129" t="n"/>
      <c r="E358" s="129" t="n"/>
      <c r="F358" s="145" t="n"/>
      <c r="G358" s="129" t="n"/>
      <c r="H358" s="129" t="n"/>
      <c r="I358" s="129" t="n"/>
      <c r="J358" s="138" t="str">
        <f>IF(C358&lt;&gt;"Despesa","",IFERROR(INDEX('Config'!$J$6:$J$40,MATCH(D358,'Config'!$I$6:$I$40,0)),"—"))</f>
        <v/>
      </c>
      <c r="K358" s="138" t="str">
        <f>IF(COUNTA(B358:F358)=0,"",IF(OR(B358="",C358="",D358="",F358=""),"▲ Completar","✔"))</f>
        <v/>
      </c>
    </row>
    <row r="359">
      <c r="B359" s="130" t="n"/>
      <c r="C359" s="129" t="n"/>
      <c r="D359" s="129" t="n"/>
      <c r="E359" s="129" t="n"/>
      <c r="F359" s="145" t="n"/>
      <c r="G359" s="129" t="n"/>
      <c r="H359" s="129" t="n"/>
      <c r="I359" s="129" t="n"/>
      <c r="J359" s="138" t="str">
        <f>IF(C359&lt;&gt;"Despesa","",IFERROR(INDEX('Config'!$J$6:$J$40,MATCH(D359,'Config'!$I$6:$I$40,0)),"—"))</f>
        <v/>
      </c>
      <c r="K359" s="138" t="str">
        <f>IF(COUNTA(B359:F359)=0,"",IF(OR(B359="",C359="",D359="",F359=""),"▲ Completar","✔"))</f>
        <v/>
      </c>
    </row>
    <row r="360">
      <c r="B360" s="130" t="n"/>
      <c r="C360" s="129" t="n"/>
      <c r="D360" s="129" t="n"/>
      <c r="E360" s="129" t="n"/>
      <c r="F360" s="145" t="n"/>
      <c r="G360" s="129" t="n"/>
      <c r="H360" s="129" t="n"/>
      <c r="I360" s="129" t="n"/>
      <c r="J360" s="138" t="str">
        <f>IF(C360&lt;&gt;"Despesa","",IFERROR(INDEX('Config'!$J$6:$J$40,MATCH(D360,'Config'!$I$6:$I$40,0)),"—"))</f>
        <v/>
      </c>
      <c r="K360" s="138" t="str">
        <f>IF(COUNTA(B360:F360)=0,"",IF(OR(B360="",C360="",D360="",F360=""),"▲ Completar","✔"))</f>
        <v/>
      </c>
    </row>
    <row r="361">
      <c r="B361" s="130" t="n"/>
      <c r="C361" s="129" t="n"/>
      <c r="D361" s="129" t="n"/>
      <c r="E361" s="129" t="n"/>
      <c r="F361" s="145" t="n"/>
      <c r="G361" s="129" t="n"/>
      <c r="H361" s="129" t="n"/>
      <c r="I361" s="129" t="n"/>
      <c r="J361" s="138" t="str">
        <f>IF(C361&lt;&gt;"Despesa","",IFERROR(INDEX('Config'!$J$6:$J$40,MATCH(D361,'Config'!$I$6:$I$40,0)),"—"))</f>
        <v/>
      </c>
      <c r="K361" s="138" t="str">
        <f>IF(COUNTA(B361:F361)=0,"",IF(OR(B361="",C361="",D361="",F361=""),"▲ Completar","✔"))</f>
        <v/>
      </c>
    </row>
    <row r="362">
      <c r="B362" s="130" t="n"/>
      <c r="C362" s="129" t="n"/>
      <c r="D362" s="129" t="n"/>
      <c r="E362" s="129" t="n"/>
      <c r="F362" s="145" t="n"/>
      <c r="G362" s="129" t="n"/>
      <c r="H362" s="129" t="n"/>
      <c r="I362" s="129" t="n"/>
      <c r="J362" s="138" t="str">
        <f>IF(C362&lt;&gt;"Despesa","",IFERROR(INDEX('Config'!$J$6:$J$40,MATCH(D362,'Config'!$I$6:$I$40,0)),"—"))</f>
        <v/>
      </c>
      <c r="K362" s="138" t="str">
        <f>IF(COUNTA(B362:F362)=0,"",IF(OR(B362="",C362="",D362="",F362=""),"▲ Completar","✔"))</f>
        <v/>
      </c>
    </row>
    <row r="363">
      <c r="B363" s="130" t="n"/>
      <c r="C363" s="129" t="n"/>
      <c r="D363" s="129" t="n"/>
      <c r="E363" s="129" t="n"/>
      <c r="F363" s="145" t="n"/>
      <c r="G363" s="129" t="n"/>
      <c r="H363" s="129" t="n"/>
      <c r="I363" s="129" t="n"/>
      <c r="J363" s="138" t="str">
        <f>IF(C363&lt;&gt;"Despesa","",IFERROR(INDEX('Config'!$J$6:$J$40,MATCH(D363,'Config'!$I$6:$I$40,0)),"—"))</f>
        <v/>
      </c>
      <c r="K363" s="138" t="str">
        <f>IF(COUNTA(B363:F363)=0,"",IF(OR(B363="",C363="",D363="",F363=""),"▲ Completar","✔"))</f>
        <v/>
      </c>
    </row>
    <row r="364">
      <c r="B364" s="130" t="n"/>
      <c r="C364" s="129" t="n"/>
      <c r="D364" s="129" t="n"/>
      <c r="E364" s="129" t="n"/>
      <c r="F364" s="145" t="n"/>
      <c r="G364" s="129" t="n"/>
      <c r="H364" s="129" t="n"/>
      <c r="I364" s="129" t="n"/>
      <c r="J364" s="138" t="str">
        <f>IF(C364&lt;&gt;"Despesa","",IFERROR(INDEX('Config'!$J$6:$J$40,MATCH(D364,'Config'!$I$6:$I$40,0)),"—"))</f>
        <v/>
      </c>
      <c r="K364" s="138" t="str">
        <f>IF(COUNTA(B364:F364)=0,"",IF(OR(B364="",C364="",D364="",F364=""),"▲ Completar","✔"))</f>
        <v/>
      </c>
    </row>
    <row r="365">
      <c r="B365" s="130" t="n"/>
      <c r="C365" s="129" t="n"/>
      <c r="D365" s="129" t="n"/>
      <c r="E365" s="129" t="n"/>
      <c r="F365" s="145" t="n"/>
      <c r="G365" s="129" t="n"/>
      <c r="H365" s="129" t="n"/>
      <c r="I365" s="129" t="n"/>
      <c r="J365" s="138" t="str">
        <f>IF(C365&lt;&gt;"Despesa","",IFERROR(INDEX('Config'!$J$6:$J$40,MATCH(D365,'Config'!$I$6:$I$40,0)),"—"))</f>
        <v/>
      </c>
      <c r="K365" s="138" t="str">
        <f>IF(COUNTA(B365:F365)=0,"",IF(OR(B365="",C365="",D365="",F365=""),"▲ Completar","✔"))</f>
        <v/>
      </c>
    </row>
    <row r="366">
      <c r="B366" s="130" t="n"/>
      <c r="C366" s="129" t="n"/>
      <c r="D366" s="129" t="n"/>
      <c r="E366" s="129" t="n"/>
      <c r="F366" s="145" t="n"/>
      <c r="G366" s="129" t="n"/>
      <c r="H366" s="129" t="n"/>
      <c r="I366" s="129" t="n"/>
      <c r="J366" s="138" t="str">
        <f>IF(C366&lt;&gt;"Despesa","",IFERROR(INDEX('Config'!$J$6:$J$40,MATCH(D366,'Config'!$I$6:$I$40,0)),"—"))</f>
        <v/>
      </c>
      <c r="K366" s="138" t="str">
        <f>IF(COUNTA(B366:F366)=0,"",IF(OR(B366="",C366="",D366="",F366=""),"▲ Completar","✔"))</f>
        <v/>
      </c>
    </row>
    <row r="367">
      <c r="B367" s="130" t="n"/>
      <c r="C367" s="129" t="n"/>
      <c r="D367" s="129" t="n"/>
      <c r="E367" s="129" t="n"/>
      <c r="F367" s="145" t="n"/>
      <c r="G367" s="129" t="n"/>
      <c r="H367" s="129" t="n"/>
      <c r="I367" s="129" t="n"/>
      <c r="J367" s="138" t="str">
        <f>IF(C367&lt;&gt;"Despesa","",IFERROR(INDEX('Config'!$J$6:$J$40,MATCH(D367,'Config'!$I$6:$I$40,0)),"—"))</f>
        <v/>
      </c>
      <c r="K367" s="138" t="str">
        <f>IF(COUNTA(B367:F367)=0,"",IF(OR(B367="",C367="",D367="",F367=""),"▲ Completar","✔"))</f>
        <v/>
      </c>
    </row>
    <row r="368">
      <c r="B368" s="130" t="n"/>
      <c r="C368" s="129" t="n"/>
      <c r="D368" s="129" t="n"/>
      <c r="E368" s="129" t="n"/>
      <c r="F368" s="145" t="n"/>
      <c r="G368" s="129" t="n"/>
      <c r="H368" s="129" t="n"/>
      <c r="I368" s="129" t="n"/>
      <c r="J368" s="138" t="str">
        <f>IF(C368&lt;&gt;"Despesa","",IFERROR(INDEX('Config'!$J$6:$J$40,MATCH(D368,'Config'!$I$6:$I$40,0)),"—"))</f>
        <v/>
      </c>
      <c r="K368" s="138" t="str">
        <f>IF(COUNTA(B368:F368)=0,"",IF(OR(B368="",C368="",D368="",F368=""),"▲ Completar","✔"))</f>
        <v/>
      </c>
    </row>
    <row r="369">
      <c r="B369" s="130" t="n"/>
      <c r="C369" s="129" t="n"/>
      <c r="D369" s="129" t="n"/>
      <c r="E369" s="129" t="n"/>
      <c r="F369" s="145" t="n"/>
      <c r="G369" s="129" t="n"/>
      <c r="H369" s="129" t="n"/>
      <c r="I369" s="129" t="n"/>
      <c r="J369" s="138" t="str">
        <f>IF(C369&lt;&gt;"Despesa","",IFERROR(INDEX('Config'!$J$6:$J$40,MATCH(D369,'Config'!$I$6:$I$40,0)),"—"))</f>
        <v/>
      </c>
      <c r="K369" s="138" t="str">
        <f>IF(COUNTA(B369:F369)=0,"",IF(OR(B369="",C369="",D369="",F369=""),"▲ Completar","✔"))</f>
        <v/>
      </c>
    </row>
    <row r="370">
      <c r="B370" s="130" t="n"/>
      <c r="C370" s="129" t="n"/>
      <c r="D370" s="129" t="n"/>
      <c r="E370" s="129" t="n"/>
      <c r="F370" s="145" t="n"/>
      <c r="G370" s="129" t="n"/>
      <c r="H370" s="129" t="n"/>
      <c r="I370" s="129" t="n"/>
      <c r="J370" s="138" t="str">
        <f>IF(C370&lt;&gt;"Despesa","",IFERROR(INDEX('Config'!$J$6:$J$40,MATCH(D370,'Config'!$I$6:$I$40,0)),"—"))</f>
        <v/>
      </c>
      <c r="K370" s="138" t="str">
        <f>IF(COUNTA(B370:F370)=0,"",IF(OR(B370="",C370="",D370="",F370=""),"▲ Completar","✔"))</f>
        <v/>
      </c>
    </row>
    <row r="371">
      <c r="B371" s="130" t="n"/>
      <c r="C371" s="129" t="n"/>
      <c r="D371" s="129" t="n"/>
      <c r="E371" s="129" t="n"/>
      <c r="F371" s="145" t="n"/>
      <c r="G371" s="129" t="n"/>
      <c r="H371" s="129" t="n"/>
      <c r="I371" s="129" t="n"/>
      <c r="J371" s="138" t="str">
        <f>IF(C371&lt;&gt;"Despesa","",IFERROR(INDEX('Config'!$J$6:$J$40,MATCH(D371,'Config'!$I$6:$I$40,0)),"—"))</f>
        <v/>
      </c>
      <c r="K371" s="138" t="str">
        <f>IF(COUNTA(B371:F371)=0,"",IF(OR(B371="",C371="",D371="",F371=""),"▲ Completar","✔"))</f>
        <v/>
      </c>
    </row>
    <row r="372">
      <c r="B372" s="130" t="n"/>
      <c r="C372" s="129" t="n"/>
      <c r="D372" s="129" t="n"/>
      <c r="E372" s="129" t="n"/>
      <c r="F372" s="145" t="n"/>
      <c r="G372" s="129" t="n"/>
      <c r="H372" s="129" t="n"/>
      <c r="I372" s="129" t="n"/>
      <c r="J372" s="138" t="str">
        <f>IF(C372&lt;&gt;"Despesa","",IFERROR(INDEX('Config'!$J$6:$J$40,MATCH(D372,'Config'!$I$6:$I$40,0)),"—"))</f>
        <v/>
      </c>
      <c r="K372" s="138" t="str">
        <f>IF(COUNTA(B372:F372)=0,"",IF(OR(B372="",C372="",D372="",F372=""),"▲ Completar","✔"))</f>
        <v/>
      </c>
    </row>
    <row r="373">
      <c r="B373" s="130" t="n"/>
      <c r="C373" s="129" t="n"/>
      <c r="D373" s="129" t="n"/>
      <c r="E373" s="129" t="n"/>
      <c r="F373" s="145" t="n"/>
      <c r="G373" s="129" t="n"/>
      <c r="H373" s="129" t="n"/>
      <c r="I373" s="129" t="n"/>
      <c r="J373" s="138" t="str">
        <f>IF(C373&lt;&gt;"Despesa","",IFERROR(INDEX('Config'!$J$6:$J$40,MATCH(D373,'Config'!$I$6:$I$40,0)),"—"))</f>
        <v/>
      </c>
      <c r="K373" s="138" t="str">
        <f>IF(COUNTA(B373:F373)=0,"",IF(OR(B373="",C373="",D373="",F373=""),"▲ Completar","✔"))</f>
        <v/>
      </c>
    </row>
    <row r="374">
      <c r="B374" s="130" t="n"/>
      <c r="C374" s="129" t="n"/>
      <c r="D374" s="129" t="n"/>
      <c r="E374" s="129" t="n"/>
      <c r="F374" s="145" t="n"/>
      <c r="G374" s="129" t="n"/>
      <c r="H374" s="129" t="n"/>
      <c r="I374" s="129" t="n"/>
      <c r="J374" s="138" t="str">
        <f>IF(C374&lt;&gt;"Despesa","",IFERROR(INDEX('Config'!$J$6:$J$40,MATCH(D374,'Config'!$I$6:$I$40,0)),"—"))</f>
        <v/>
      </c>
      <c r="K374" s="138" t="str">
        <f>IF(COUNTA(B374:F374)=0,"",IF(OR(B374="",C374="",D374="",F374=""),"▲ Completar","✔"))</f>
        <v/>
      </c>
    </row>
    <row r="375">
      <c r="B375" s="130" t="n"/>
      <c r="C375" s="129" t="n"/>
      <c r="D375" s="129" t="n"/>
      <c r="E375" s="129" t="n"/>
      <c r="F375" s="145" t="n"/>
      <c r="G375" s="129" t="n"/>
      <c r="H375" s="129" t="n"/>
      <c r="I375" s="129" t="n"/>
      <c r="J375" s="138" t="str">
        <f>IF(C375&lt;&gt;"Despesa","",IFERROR(INDEX('Config'!$J$6:$J$40,MATCH(D375,'Config'!$I$6:$I$40,0)),"—"))</f>
        <v/>
      </c>
      <c r="K375" s="138" t="str">
        <f>IF(COUNTA(B375:F375)=0,"",IF(OR(B375="",C375="",D375="",F375=""),"▲ Completar","✔"))</f>
        <v/>
      </c>
    </row>
    <row r="376">
      <c r="B376" s="130" t="n"/>
      <c r="C376" s="129" t="n"/>
      <c r="D376" s="129" t="n"/>
      <c r="E376" s="129" t="n"/>
      <c r="F376" s="145" t="n"/>
      <c r="G376" s="129" t="n"/>
      <c r="H376" s="129" t="n"/>
      <c r="I376" s="129" t="n"/>
      <c r="J376" s="138" t="str">
        <f>IF(C376&lt;&gt;"Despesa","",IFERROR(INDEX('Config'!$J$6:$J$40,MATCH(D376,'Config'!$I$6:$I$40,0)),"—"))</f>
        <v/>
      </c>
      <c r="K376" s="138" t="str">
        <f>IF(COUNTA(B376:F376)=0,"",IF(OR(B376="",C376="",D376="",F376=""),"▲ Completar","✔"))</f>
        <v/>
      </c>
    </row>
    <row r="377">
      <c r="B377" s="130" t="n"/>
      <c r="C377" s="129" t="n"/>
      <c r="D377" s="129" t="n"/>
      <c r="E377" s="129" t="n"/>
      <c r="F377" s="145" t="n"/>
      <c r="G377" s="129" t="n"/>
      <c r="H377" s="129" t="n"/>
      <c r="I377" s="129" t="n"/>
      <c r="J377" s="138" t="str">
        <f>IF(C377&lt;&gt;"Despesa","",IFERROR(INDEX('Config'!$J$6:$J$40,MATCH(D377,'Config'!$I$6:$I$40,0)),"—"))</f>
        <v/>
      </c>
      <c r="K377" s="138" t="str">
        <f>IF(COUNTA(B377:F377)=0,"",IF(OR(B377="",C377="",D377="",F377=""),"▲ Completar","✔"))</f>
        <v/>
      </c>
    </row>
    <row r="378">
      <c r="B378" s="130" t="n"/>
      <c r="C378" s="129" t="n"/>
      <c r="D378" s="129" t="n"/>
      <c r="E378" s="129" t="n"/>
      <c r="F378" s="145" t="n"/>
      <c r="G378" s="129" t="n"/>
      <c r="H378" s="129" t="n"/>
      <c r="I378" s="129" t="n"/>
      <c r="J378" s="138" t="str">
        <f>IF(C378&lt;&gt;"Despesa","",IFERROR(INDEX('Config'!$J$6:$J$40,MATCH(D378,'Config'!$I$6:$I$40,0)),"—"))</f>
        <v/>
      </c>
      <c r="K378" s="138" t="str">
        <f>IF(COUNTA(B378:F378)=0,"",IF(OR(B378="",C378="",D378="",F378=""),"▲ Completar","✔"))</f>
        <v/>
      </c>
    </row>
    <row r="379">
      <c r="B379" s="130" t="n"/>
      <c r="C379" s="129" t="n"/>
      <c r="D379" s="129" t="n"/>
      <c r="E379" s="129" t="n"/>
      <c r="F379" s="145" t="n"/>
      <c r="G379" s="129" t="n"/>
      <c r="H379" s="129" t="n"/>
      <c r="I379" s="129" t="n"/>
      <c r="J379" s="138" t="str">
        <f>IF(C379&lt;&gt;"Despesa","",IFERROR(INDEX('Config'!$J$6:$J$40,MATCH(D379,'Config'!$I$6:$I$40,0)),"—"))</f>
        <v/>
      </c>
      <c r="K379" s="138" t="str">
        <f>IF(COUNTA(B379:F379)=0,"",IF(OR(B379="",C379="",D379="",F379=""),"▲ Completar","✔"))</f>
        <v/>
      </c>
    </row>
    <row r="380">
      <c r="B380" s="130" t="n"/>
      <c r="C380" s="129" t="n"/>
      <c r="D380" s="129" t="n"/>
      <c r="E380" s="129" t="n"/>
      <c r="F380" s="145" t="n"/>
      <c r="G380" s="129" t="n"/>
      <c r="H380" s="129" t="n"/>
      <c r="I380" s="129" t="n"/>
      <c r="J380" s="138" t="str">
        <f>IF(C380&lt;&gt;"Despesa","",IFERROR(INDEX('Config'!$J$6:$J$40,MATCH(D380,'Config'!$I$6:$I$40,0)),"—"))</f>
        <v/>
      </c>
      <c r="K380" s="138" t="str">
        <f>IF(COUNTA(B380:F380)=0,"",IF(OR(B380="",C380="",D380="",F380=""),"▲ Completar","✔"))</f>
        <v/>
      </c>
    </row>
    <row r="381">
      <c r="B381" s="130" t="n"/>
      <c r="C381" s="129" t="n"/>
      <c r="D381" s="129" t="n"/>
      <c r="E381" s="129" t="n"/>
      <c r="F381" s="145" t="n"/>
      <c r="G381" s="129" t="n"/>
      <c r="H381" s="129" t="n"/>
      <c r="I381" s="129" t="n"/>
      <c r="J381" s="138" t="str">
        <f>IF(C381&lt;&gt;"Despesa","",IFERROR(INDEX('Config'!$J$6:$J$40,MATCH(D381,'Config'!$I$6:$I$40,0)),"—"))</f>
        <v/>
      </c>
      <c r="K381" s="138" t="str">
        <f>IF(COUNTA(B381:F381)=0,"",IF(OR(B381="",C381="",D381="",F381=""),"▲ Completar","✔"))</f>
        <v/>
      </c>
    </row>
    <row r="382">
      <c r="B382" s="130" t="n"/>
      <c r="C382" s="129" t="n"/>
      <c r="D382" s="129" t="n"/>
      <c r="E382" s="129" t="n"/>
      <c r="F382" s="145" t="n"/>
      <c r="G382" s="129" t="n"/>
      <c r="H382" s="129" t="n"/>
      <c r="I382" s="129" t="n"/>
      <c r="J382" s="138" t="str">
        <f>IF(C382&lt;&gt;"Despesa","",IFERROR(INDEX('Config'!$J$6:$J$40,MATCH(D382,'Config'!$I$6:$I$40,0)),"—"))</f>
        <v/>
      </c>
      <c r="K382" s="138" t="str">
        <f>IF(COUNTA(B382:F382)=0,"",IF(OR(B382="",C382="",D382="",F382=""),"▲ Completar","✔"))</f>
        <v/>
      </c>
    </row>
    <row r="383">
      <c r="B383" s="130" t="n"/>
      <c r="C383" s="129" t="n"/>
      <c r="D383" s="129" t="n"/>
      <c r="E383" s="129" t="n"/>
      <c r="F383" s="145" t="n"/>
      <c r="G383" s="129" t="n"/>
      <c r="H383" s="129" t="n"/>
      <c r="I383" s="129" t="n"/>
      <c r="J383" s="138" t="str">
        <f>IF(C383&lt;&gt;"Despesa","",IFERROR(INDEX('Config'!$J$6:$J$40,MATCH(D383,'Config'!$I$6:$I$40,0)),"—"))</f>
        <v/>
      </c>
      <c r="K383" s="138" t="str">
        <f>IF(COUNTA(B383:F383)=0,"",IF(OR(B383="",C383="",D383="",F383=""),"▲ Completar","✔"))</f>
        <v/>
      </c>
    </row>
    <row r="384">
      <c r="B384" s="130" t="n"/>
      <c r="C384" s="129" t="n"/>
      <c r="D384" s="129" t="n"/>
      <c r="E384" s="129" t="n"/>
      <c r="F384" s="145" t="n"/>
      <c r="G384" s="129" t="n"/>
      <c r="H384" s="129" t="n"/>
      <c r="I384" s="129" t="n"/>
      <c r="J384" s="138" t="str">
        <f>IF(C384&lt;&gt;"Despesa","",IFERROR(INDEX('Config'!$J$6:$J$40,MATCH(D384,'Config'!$I$6:$I$40,0)),"—"))</f>
        <v/>
      </c>
      <c r="K384" s="138" t="str">
        <f>IF(COUNTA(B384:F384)=0,"",IF(OR(B384="",C384="",D384="",F384=""),"▲ Completar","✔"))</f>
        <v/>
      </c>
    </row>
    <row r="385">
      <c r="B385" s="130" t="n"/>
      <c r="C385" s="129" t="n"/>
      <c r="D385" s="129" t="n"/>
      <c r="E385" s="129" t="n"/>
      <c r="F385" s="145" t="n"/>
      <c r="G385" s="129" t="n"/>
      <c r="H385" s="129" t="n"/>
      <c r="I385" s="129" t="n"/>
      <c r="J385" s="138" t="str">
        <f>IF(C385&lt;&gt;"Despesa","",IFERROR(INDEX('Config'!$J$6:$J$40,MATCH(D385,'Config'!$I$6:$I$40,0)),"—"))</f>
        <v/>
      </c>
      <c r="K385" s="138" t="str">
        <f>IF(COUNTA(B385:F385)=0,"",IF(OR(B385="",C385="",D385="",F385=""),"▲ Completar","✔"))</f>
        <v/>
      </c>
    </row>
    <row r="386">
      <c r="B386" s="130" t="n"/>
      <c r="C386" s="129" t="n"/>
      <c r="D386" s="129" t="n"/>
      <c r="E386" s="129" t="n"/>
      <c r="F386" s="145" t="n"/>
      <c r="G386" s="129" t="n"/>
      <c r="H386" s="129" t="n"/>
      <c r="I386" s="129" t="n"/>
      <c r="J386" s="138" t="str">
        <f>IF(C386&lt;&gt;"Despesa","",IFERROR(INDEX('Config'!$J$6:$J$40,MATCH(D386,'Config'!$I$6:$I$40,0)),"—"))</f>
        <v/>
      </c>
      <c r="K386" s="138" t="str">
        <f>IF(COUNTA(B386:F386)=0,"",IF(OR(B386="",C386="",D386="",F386=""),"▲ Completar","✔"))</f>
        <v/>
      </c>
    </row>
    <row r="387">
      <c r="B387" s="130" t="n"/>
      <c r="C387" s="129" t="n"/>
      <c r="D387" s="129" t="n"/>
      <c r="E387" s="129" t="n"/>
      <c r="F387" s="145" t="n"/>
      <c r="G387" s="129" t="n"/>
      <c r="H387" s="129" t="n"/>
      <c r="I387" s="129" t="n"/>
      <c r="J387" s="138" t="str">
        <f>IF(C387&lt;&gt;"Despesa","",IFERROR(INDEX('Config'!$J$6:$J$40,MATCH(D387,'Config'!$I$6:$I$40,0)),"—"))</f>
        <v/>
      </c>
      <c r="K387" s="138" t="str">
        <f>IF(COUNTA(B387:F387)=0,"",IF(OR(B387="",C387="",D387="",F387=""),"▲ Completar","✔"))</f>
        <v/>
      </c>
    </row>
    <row r="388">
      <c r="B388" s="130" t="n"/>
      <c r="C388" s="129" t="n"/>
      <c r="D388" s="129" t="n"/>
      <c r="E388" s="129" t="n"/>
      <c r="F388" s="145" t="n"/>
      <c r="G388" s="129" t="n"/>
      <c r="H388" s="129" t="n"/>
      <c r="I388" s="129" t="n"/>
      <c r="J388" s="138" t="str">
        <f>IF(C388&lt;&gt;"Despesa","",IFERROR(INDEX('Config'!$J$6:$J$40,MATCH(D388,'Config'!$I$6:$I$40,0)),"—"))</f>
        <v/>
      </c>
      <c r="K388" s="138" t="str">
        <f>IF(COUNTA(B388:F388)=0,"",IF(OR(B388="",C388="",D388="",F388=""),"▲ Completar","✔"))</f>
        <v/>
      </c>
    </row>
    <row r="389">
      <c r="B389" s="130" t="n"/>
      <c r="C389" s="129" t="n"/>
      <c r="D389" s="129" t="n"/>
      <c r="E389" s="129" t="n"/>
      <c r="F389" s="145" t="n"/>
      <c r="G389" s="129" t="n"/>
      <c r="H389" s="129" t="n"/>
      <c r="I389" s="129" t="n"/>
      <c r="J389" s="138" t="str">
        <f>IF(C389&lt;&gt;"Despesa","",IFERROR(INDEX('Config'!$J$6:$J$40,MATCH(D389,'Config'!$I$6:$I$40,0)),"—"))</f>
        <v/>
      </c>
      <c r="K389" s="138" t="str">
        <f>IF(COUNTA(B389:F389)=0,"",IF(OR(B389="",C389="",D389="",F389=""),"▲ Completar","✔"))</f>
        <v/>
      </c>
    </row>
    <row r="390">
      <c r="B390" s="130" t="n"/>
      <c r="C390" s="129" t="n"/>
      <c r="D390" s="129" t="n"/>
      <c r="E390" s="129" t="n"/>
      <c r="F390" s="145" t="n"/>
      <c r="G390" s="129" t="n"/>
      <c r="H390" s="129" t="n"/>
      <c r="I390" s="129" t="n"/>
      <c r="J390" s="138" t="str">
        <f>IF(C390&lt;&gt;"Despesa","",IFERROR(INDEX('Config'!$J$6:$J$40,MATCH(D390,'Config'!$I$6:$I$40,0)),"—"))</f>
        <v/>
      </c>
      <c r="K390" s="138" t="str">
        <f>IF(COUNTA(B390:F390)=0,"",IF(OR(B390="",C390="",D390="",F390=""),"▲ Completar","✔"))</f>
        <v/>
      </c>
    </row>
    <row r="391">
      <c r="B391" s="130" t="n"/>
      <c r="C391" s="129" t="n"/>
      <c r="D391" s="129" t="n"/>
      <c r="E391" s="129" t="n"/>
      <c r="F391" s="145" t="n"/>
      <c r="G391" s="129" t="n"/>
      <c r="H391" s="129" t="n"/>
      <c r="I391" s="129" t="n"/>
      <c r="J391" s="138" t="str">
        <f>IF(C391&lt;&gt;"Despesa","",IFERROR(INDEX('Config'!$J$6:$J$40,MATCH(D391,'Config'!$I$6:$I$40,0)),"—"))</f>
        <v/>
      </c>
      <c r="K391" s="138" t="str">
        <f>IF(COUNTA(B391:F391)=0,"",IF(OR(B391="",C391="",D391="",F391=""),"▲ Completar","✔"))</f>
        <v/>
      </c>
    </row>
    <row r="392">
      <c r="B392" s="130" t="n"/>
      <c r="C392" s="129" t="n"/>
      <c r="D392" s="129" t="n"/>
      <c r="E392" s="129" t="n"/>
      <c r="F392" s="145" t="n"/>
      <c r="G392" s="129" t="n"/>
      <c r="H392" s="129" t="n"/>
      <c r="I392" s="129" t="n"/>
      <c r="J392" s="138" t="str">
        <f>IF(C392&lt;&gt;"Despesa","",IFERROR(INDEX('Config'!$J$6:$J$40,MATCH(D392,'Config'!$I$6:$I$40,0)),"—"))</f>
        <v/>
      </c>
      <c r="K392" s="138" t="str">
        <f>IF(COUNTA(B392:F392)=0,"",IF(OR(B392="",C392="",D392="",F392=""),"▲ Completar","✔"))</f>
        <v/>
      </c>
    </row>
    <row r="393">
      <c r="B393" s="130" t="n"/>
      <c r="C393" s="129" t="n"/>
      <c r="D393" s="129" t="n"/>
      <c r="E393" s="129" t="n"/>
      <c r="F393" s="145" t="n"/>
      <c r="G393" s="129" t="n"/>
      <c r="H393" s="129" t="n"/>
      <c r="I393" s="129" t="n"/>
      <c r="J393" s="138" t="str">
        <f>IF(C393&lt;&gt;"Despesa","",IFERROR(INDEX('Config'!$J$6:$J$40,MATCH(D393,'Config'!$I$6:$I$40,0)),"—"))</f>
        <v/>
      </c>
      <c r="K393" s="138" t="str">
        <f>IF(COUNTA(B393:F393)=0,"",IF(OR(B393="",C393="",D393="",F393=""),"▲ Completar","✔"))</f>
        <v/>
      </c>
    </row>
    <row r="394">
      <c r="B394" s="130" t="n"/>
      <c r="C394" s="129" t="n"/>
      <c r="D394" s="129" t="n"/>
      <c r="E394" s="129" t="n"/>
      <c r="F394" s="145" t="n"/>
      <c r="G394" s="129" t="n"/>
      <c r="H394" s="129" t="n"/>
      <c r="I394" s="129" t="n"/>
      <c r="J394" s="138" t="str">
        <f>IF(C394&lt;&gt;"Despesa","",IFERROR(INDEX('Config'!$J$6:$J$40,MATCH(D394,'Config'!$I$6:$I$40,0)),"—"))</f>
        <v/>
      </c>
      <c r="K394" s="138" t="str">
        <f>IF(COUNTA(B394:F394)=0,"",IF(OR(B394="",C394="",D394="",F394=""),"▲ Completar","✔"))</f>
        <v/>
      </c>
    </row>
    <row r="395">
      <c r="B395" s="130" t="n"/>
      <c r="C395" s="129" t="n"/>
      <c r="D395" s="129" t="n"/>
      <c r="E395" s="129" t="n"/>
      <c r="F395" s="145" t="n"/>
      <c r="G395" s="129" t="n"/>
      <c r="H395" s="129" t="n"/>
      <c r="I395" s="129" t="n"/>
      <c r="J395" s="138" t="str">
        <f>IF(C395&lt;&gt;"Despesa","",IFERROR(INDEX('Config'!$J$6:$J$40,MATCH(D395,'Config'!$I$6:$I$40,0)),"—"))</f>
        <v/>
      </c>
      <c r="K395" s="138" t="str">
        <f>IF(COUNTA(B395:F395)=0,"",IF(OR(B395="",C395="",D395="",F395=""),"▲ Completar","✔"))</f>
        <v/>
      </c>
    </row>
    <row r="396">
      <c r="B396" s="130" t="n"/>
      <c r="C396" s="129" t="n"/>
      <c r="D396" s="129" t="n"/>
      <c r="E396" s="129" t="n"/>
      <c r="F396" s="145" t="n"/>
      <c r="G396" s="129" t="n"/>
      <c r="H396" s="129" t="n"/>
      <c r="I396" s="129" t="n"/>
      <c r="J396" s="138" t="str">
        <f>IF(C396&lt;&gt;"Despesa","",IFERROR(INDEX('Config'!$J$6:$J$40,MATCH(D396,'Config'!$I$6:$I$40,0)),"—"))</f>
        <v/>
      </c>
      <c r="K396" s="138" t="str">
        <f>IF(COUNTA(B396:F396)=0,"",IF(OR(B396="",C396="",D396="",F396=""),"▲ Completar","✔"))</f>
        <v/>
      </c>
    </row>
    <row r="397">
      <c r="B397" s="130" t="n"/>
      <c r="C397" s="129" t="n"/>
      <c r="D397" s="129" t="n"/>
      <c r="E397" s="129" t="n"/>
      <c r="F397" s="145" t="n"/>
      <c r="G397" s="129" t="n"/>
      <c r="H397" s="129" t="n"/>
      <c r="I397" s="129" t="n"/>
      <c r="J397" s="138" t="str">
        <f>IF(C397&lt;&gt;"Despesa","",IFERROR(INDEX('Config'!$J$6:$J$40,MATCH(D397,'Config'!$I$6:$I$40,0)),"—"))</f>
        <v/>
      </c>
      <c r="K397" s="138" t="str">
        <f>IF(COUNTA(B397:F397)=0,"",IF(OR(B397="",C397="",D397="",F397=""),"▲ Completar","✔"))</f>
        <v/>
      </c>
    </row>
    <row r="398">
      <c r="B398" s="130" t="n"/>
      <c r="C398" s="129" t="n"/>
      <c r="D398" s="129" t="n"/>
      <c r="E398" s="129" t="n"/>
      <c r="F398" s="145" t="n"/>
      <c r="G398" s="129" t="n"/>
      <c r="H398" s="129" t="n"/>
      <c r="I398" s="129" t="n"/>
      <c r="J398" s="138" t="str">
        <f>IF(C398&lt;&gt;"Despesa","",IFERROR(INDEX('Config'!$J$6:$J$40,MATCH(D398,'Config'!$I$6:$I$40,0)),"—"))</f>
        <v/>
      </c>
      <c r="K398" s="138" t="str">
        <f>IF(COUNTA(B398:F398)=0,"",IF(OR(B398="",C398="",D398="",F398=""),"▲ Completar","✔"))</f>
        <v/>
      </c>
    </row>
    <row r="399">
      <c r="B399" s="130" t="n"/>
      <c r="C399" s="129" t="n"/>
      <c r="D399" s="129" t="n"/>
      <c r="E399" s="129" t="n"/>
      <c r="F399" s="145" t="n"/>
      <c r="G399" s="129" t="n"/>
      <c r="H399" s="129" t="n"/>
      <c r="I399" s="129" t="n"/>
      <c r="J399" s="138" t="str">
        <f>IF(C399&lt;&gt;"Despesa","",IFERROR(INDEX('Config'!$J$6:$J$40,MATCH(D399,'Config'!$I$6:$I$40,0)),"—"))</f>
        <v/>
      </c>
      <c r="K399" s="138" t="str">
        <f>IF(COUNTA(B399:F399)=0,"",IF(OR(B399="",C399="",D399="",F399=""),"▲ Completar","✔"))</f>
        <v/>
      </c>
    </row>
    <row r="400">
      <c r="B400" s="130" t="n"/>
      <c r="C400" s="129" t="n"/>
      <c r="D400" s="129" t="n"/>
      <c r="E400" s="129" t="n"/>
      <c r="F400" s="145" t="n"/>
      <c r="G400" s="129" t="n"/>
      <c r="H400" s="129" t="n"/>
      <c r="I400" s="129" t="n"/>
      <c r="J400" s="138" t="str">
        <f>IF(C400&lt;&gt;"Despesa","",IFERROR(INDEX('Config'!$J$6:$J$40,MATCH(D400,'Config'!$I$6:$I$40,0)),"—"))</f>
        <v/>
      </c>
      <c r="K400" s="138" t="str">
        <f>IF(COUNTA(B400:F400)=0,"",IF(OR(B400="",C400="",D400="",F400=""),"▲ Completar","✔"))</f>
        <v/>
      </c>
    </row>
    <row r="401">
      <c r="B401" s="130" t="n"/>
      <c r="C401" s="129" t="n"/>
      <c r="D401" s="129" t="n"/>
      <c r="E401" s="129" t="n"/>
      <c r="F401" s="145" t="n"/>
      <c r="G401" s="129" t="n"/>
      <c r="H401" s="129" t="n"/>
      <c r="I401" s="129" t="n"/>
      <c r="J401" s="138" t="str">
        <f>IF(C401&lt;&gt;"Despesa","",IFERROR(INDEX('Config'!$J$6:$J$40,MATCH(D401,'Config'!$I$6:$I$40,0)),"—"))</f>
        <v/>
      </c>
      <c r="K401" s="138" t="str">
        <f>IF(COUNTA(B401:F401)=0,"",IF(OR(B401="",C401="",D401="",F401=""),"▲ Completar","✔"))</f>
        <v/>
      </c>
    </row>
    <row r="402">
      <c r="B402" s="130" t="n"/>
      <c r="C402" s="129" t="n"/>
      <c r="D402" s="129" t="n"/>
      <c r="E402" s="129" t="n"/>
      <c r="F402" s="145" t="n"/>
      <c r="G402" s="129" t="n"/>
      <c r="H402" s="129" t="n"/>
      <c r="I402" s="129" t="n"/>
      <c r="J402" s="138" t="str">
        <f>IF(C402&lt;&gt;"Despesa","",IFERROR(INDEX('Config'!$J$6:$J$40,MATCH(D402,'Config'!$I$6:$I$40,0)),"—"))</f>
        <v/>
      </c>
      <c r="K402" s="138" t="str">
        <f>IF(COUNTA(B402:F402)=0,"",IF(OR(B402="",C402="",D402="",F402=""),"▲ Completar","✔"))</f>
        <v/>
      </c>
    </row>
    <row r="403">
      <c r="B403" s="130" t="n"/>
      <c r="C403" s="129" t="n"/>
      <c r="D403" s="129" t="n"/>
      <c r="E403" s="129" t="n"/>
      <c r="F403" s="145" t="n"/>
      <c r="G403" s="129" t="n"/>
      <c r="H403" s="129" t="n"/>
      <c r="I403" s="129" t="n"/>
      <c r="J403" s="138" t="str">
        <f>IF(C403&lt;&gt;"Despesa","",IFERROR(INDEX('Config'!$J$6:$J$40,MATCH(D403,'Config'!$I$6:$I$40,0)),"—"))</f>
        <v/>
      </c>
      <c r="K403" s="138" t="str">
        <f>IF(COUNTA(B403:F403)=0,"",IF(OR(B403="",C403="",D403="",F403=""),"▲ Completar","✔"))</f>
        <v/>
      </c>
    </row>
    <row r="404">
      <c r="B404" s="130" t="n"/>
      <c r="C404" s="129" t="n"/>
      <c r="D404" s="129" t="n"/>
      <c r="E404" s="129" t="n"/>
      <c r="F404" s="145" t="n"/>
      <c r="G404" s="129" t="n"/>
      <c r="H404" s="129" t="n"/>
      <c r="I404" s="129" t="n"/>
      <c r="J404" s="138" t="str">
        <f>IF(C404&lt;&gt;"Despesa","",IFERROR(INDEX('Config'!$J$6:$J$40,MATCH(D404,'Config'!$I$6:$I$40,0)),"—"))</f>
        <v/>
      </c>
      <c r="K404" s="138" t="str">
        <f>IF(COUNTA(B404:F404)=0,"",IF(OR(B404="",C404="",D404="",F404=""),"▲ Completar","✔"))</f>
        <v/>
      </c>
    </row>
    <row r="405">
      <c r="B405" s="130" t="n"/>
      <c r="C405" s="129" t="n"/>
      <c r="D405" s="129" t="n"/>
      <c r="E405" s="129" t="n"/>
      <c r="F405" s="145" t="n"/>
      <c r="G405" s="129" t="n"/>
      <c r="H405" s="129" t="n"/>
      <c r="I405" s="129" t="n"/>
      <c r="J405" s="138" t="str">
        <f>IF(C405&lt;&gt;"Despesa","",IFERROR(INDEX('Config'!$J$6:$J$40,MATCH(D405,'Config'!$I$6:$I$40,0)),"—"))</f>
        <v/>
      </c>
      <c r="K405" s="138" t="str">
        <f>IF(COUNTA(B405:F405)=0,"",IF(OR(B405="",C405="",D405="",F405=""),"▲ Completar","✔"))</f>
        <v/>
      </c>
    </row>
    <row r="406">
      <c r="B406" s="130" t="n"/>
      <c r="C406" s="129" t="n"/>
      <c r="D406" s="129" t="n"/>
      <c r="E406" s="129" t="n"/>
      <c r="F406" s="145" t="n"/>
      <c r="G406" s="129" t="n"/>
      <c r="H406" s="129" t="n"/>
      <c r="I406" s="129" t="n"/>
      <c r="J406" s="138" t="str">
        <f>IF(C406&lt;&gt;"Despesa","",IFERROR(INDEX('Config'!$J$6:$J$40,MATCH(D406,'Config'!$I$6:$I$40,0)),"—"))</f>
        <v/>
      </c>
      <c r="K406" s="138" t="str">
        <f>IF(COUNTA(B406:F406)=0,"",IF(OR(B406="",C406="",D406="",F406=""),"▲ Completar","✔"))</f>
        <v/>
      </c>
    </row>
    <row r="407">
      <c r="B407" s="130" t="n"/>
      <c r="C407" s="129" t="n"/>
      <c r="D407" s="129" t="n"/>
      <c r="E407" s="129" t="n"/>
      <c r="F407" s="145" t="n"/>
      <c r="G407" s="129" t="n"/>
      <c r="H407" s="129" t="n"/>
      <c r="I407" s="129" t="n"/>
      <c r="J407" s="138" t="str">
        <f>IF(C407&lt;&gt;"Despesa","",IFERROR(INDEX('Config'!$J$6:$J$40,MATCH(D407,'Config'!$I$6:$I$40,0)),"—"))</f>
        <v/>
      </c>
      <c r="K407" s="138" t="str">
        <f>IF(COUNTA(B407:F407)=0,"",IF(OR(B407="",C407="",D407="",F407=""),"▲ Completar","✔"))</f>
        <v/>
      </c>
    </row>
    <row r="408">
      <c r="B408" s="130" t="n"/>
      <c r="C408" s="129" t="n"/>
      <c r="D408" s="129" t="n"/>
      <c r="E408" s="129" t="n"/>
      <c r="F408" s="145" t="n"/>
      <c r="G408" s="129" t="n"/>
      <c r="H408" s="129" t="n"/>
      <c r="I408" s="129" t="n"/>
      <c r="J408" s="138" t="str">
        <f>IF(C408&lt;&gt;"Despesa","",IFERROR(INDEX('Config'!$J$6:$J$40,MATCH(D408,'Config'!$I$6:$I$40,0)),"—"))</f>
        <v/>
      </c>
      <c r="K408" s="138" t="str">
        <f>IF(COUNTA(B408:F408)=0,"",IF(OR(B408="",C408="",D408="",F408=""),"▲ Completar","✔"))</f>
        <v/>
      </c>
    </row>
    <row r="409">
      <c r="B409" s="130" t="n"/>
      <c r="C409" s="129" t="n"/>
      <c r="D409" s="129" t="n"/>
      <c r="E409" s="129" t="n"/>
      <c r="F409" s="145" t="n"/>
      <c r="G409" s="129" t="n"/>
      <c r="H409" s="129" t="n"/>
      <c r="I409" s="129" t="n"/>
      <c r="J409" s="138" t="str">
        <f>IF(C409&lt;&gt;"Despesa","",IFERROR(INDEX('Config'!$J$6:$J$40,MATCH(D409,'Config'!$I$6:$I$40,0)),"—"))</f>
        <v/>
      </c>
      <c r="K409" s="138" t="str">
        <f>IF(COUNTA(B409:F409)=0,"",IF(OR(B409="",C409="",D409="",F409=""),"▲ Completar","✔"))</f>
        <v/>
      </c>
    </row>
    <row r="410">
      <c r="B410" s="130" t="n"/>
      <c r="C410" s="129" t="n"/>
      <c r="D410" s="129" t="n"/>
      <c r="E410" s="129" t="n"/>
      <c r="F410" s="145" t="n"/>
      <c r="G410" s="129" t="n"/>
      <c r="H410" s="129" t="n"/>
      <c r="I410" s="129" t="n"/>
      <c r="J410" s="138" t="str">
        <f>IF(C410&lt;&gt;"Despesa","",IFERROR(INDEX('Config'!$J$6:$J$40,MATCH(D410,'Config'!$I$6:$I$40,0)),"—"))</f>
        <v/>
      </c>
      <c r="K410" s="138" t="str">
        <f>IF(COUNTA(B410:F410)=0,"",IF(OR(B410="",C410="",D410="",F410=""),"▲ Completar","✔"))</f>
        <v/>
      </c>
    </row>
    <row r="411">
      <c r="B411" s="130" t="n"/>
      <c r="C411" s="129" t="n"/>
      <c r="D411" s="129" t="n"/>
      <c r="E411" s="129" t="n"/>
      <c r="F411" s="145" t="n"/>
      <c r="G411" s="129" t="n"/>
      <c r="H411" s="129" t="n"/>
      <c r="I411" s="129" t="n"/>
      <c r="J411" s="138" t="str">
        <f>IF(C411&lt;&gt;"Despesa","",IFERROR(INDEX('Config'!$J$6:$J$40,MATCH(D411,'Config'!$I$6:$I$40,0)),"—"))</f>
        <v/>
      </c>
      <c r="K411" s="138" t="str">
        <f>IF(COUNTA(B411:F411)=0,"",IF(OR(B411="",C411="",D411="",F411=""),"▲ Completar","✔"))</f>
        <v/>
      </c>
    </row>
    <row r="412">
      <c r="B412" s="130" t="n"/>
      <c r="C412" s="129" t="n"/>
      <c r="D412" s="129" t="n"/>
      <c r="E412" s="129" t="n"/>
      <c r="F412" s="145" t="n"/>
      <c r="G412" s="129" t="n"/>
      <c r="H412" s="129" t="n"/>
      <c r="I412" s="129" t="n"/>
      <c r="J412" s="138" t="str">
        <f>IF(C412&lt;&gt;"Despesa","",IFERROR(INDEX('Config'!$J$6:$J$40,MATCH(D412,'Config'!$I$6:$I$40,0)),"—"))</f>
        <v/>
      </c>
      <c r="K412" s="138" t="str">
        <f>IF(COUNTA(B412:F412)=0,"",IF(OR(B412="",C412="",D412="",F412=""),"▲ Completar","✔"))</f>
        <v/>
      </c>
    </row>
    <row r="413">
      <c r="B413" s="130" t="n"/>
      <c r="C413" s="129" t="n"/>
      <c r="D413" s="129" t="n"/>
      <c r="E413" s="129" t="n"/>
      <c r="F413" s="145" t="n"/>
      <c r="G413" s="129" t="n"/>
      <c r="H413" s="129" t="n"/>
      <c r="I413" s="129" t="n"/>
      <c r="J413" s="138" t="str">
        <f>IF(C413&lt;&gt;"Despesa","",IFERROR(INDEX('Config'!$J$6:$J$40,MATCH(D413,'Config'!$I$6:$I$40,0)),"—"))</f>
        <v/>
      </c>
      <c r="K413" s="138" t="str">
        <f>IF(COUNTA(B413:F413)=0,"",IF(OR(B413="",C413="",D413="",F413=""),"▲ Completar","✔"))</f>
        <v/>
      </c>
    </row>
    <row r="414">
      <c r="B414" s="130" t="n"/>
      <c r="C414" s="129" t="n"/>
      <c r="D414" s="129" t="n"/>
      <c r="E414" s="129" t="n"/>
      <c r="F414" s="145" t="n"/>
      <c r="G414" s="129" t="n"/>
      <c r="H414" s="129" t="n"/>
      <c r="I414" s="129" t="n"/>
      <c r="J414" s="138" t="str">
        <f>IF(C414&lt;&gt;"Despesa","",IFERROR(INDEX('Config'!$J$6:$J$40,MATCH(D414,'Config'!$I$6:$I$40,0)),"—"))</f>
        <v/>
      </c>
      <c r="K414" s="138" t="str">
        <f>IF(COUNTA(B414:F414)=0,"",IF(OR(B414="",C414="",D414="",F414=""),"▲ Completar","✔"))</f>
        <v/>
      </c>
    </row>
    <row r="415">
      <c r="B415" s="130" t="n"/>
      <c r="C415" s="129" t="n"/>
      <c r="D415" s="129" t="n"/>
      <c r="E415" s="129" t="n"/>
      <c r="F415" s="145" t="n"/>
      <c r="G415" s="129" t="n"/>
      <c r="H415" s="129" t="n"/>
      <c r="I415" s="129" t="n"/>
      <c r="J415" s="138" t="str">
        <f>IF(C415&lt;&gt;"Despesa","",IFERROR(INDEX('Config'!$J$6:$J$40,MATCH(D415,'Config'!$I$6:$I$40,0)),"—"))</f>
        <v/>
      </c>
      <c r="K415" s="138" t="str">
        <f>IF(COUNTA(B415:F415)=0,"",IF(OR(B415="",C415="",D415="",F415=""),"▲ Completar","✔"))</f>
        <v/>
      </c>
    </row>
    <row r="416">
      <c r="B416" s="130" t="n"/>
      <c r="C416" s="129" t="n"/>
      <c r="D416" s="129" t="n"/>
      <c r="E416" s="129" t="n"/>
      <c r="F416" s="145" t="n"/>
      <c r="G416" s="129" t="n"/>
      <c r="H416" s="129" t="n"/>
      <c r="I416" s="129" t="n"/>
      <c r="J416" s="138" t="str">
        <f>IF(C416&lt;&gt;"Despesa","",IFERROR(INDEX('Config'!$J$6:$J$40,MATCH(D416,'Config'!$I$6:$I$40,0)),"—"))</f>
        <v/>
      </c>
      <c r="K416" s="138" t="str">
        <f>IF(COUNTA(B416:F416)=0,"",IF(OR(B416="",C416="",D416="",F416=""),"▲ Completar","✔"))</f>
        <v/>
      </c>
    </row>
    <row r="417">
      <c r="B417" s="130" t="n"/>
      <c r="C417" s="129" t="n"/>
      <c r="D417" s="129" t="n"/>
      <c r="E417" s="129" t="n"/>
      <c r="F417" s="145" t="n"/>
      <c r="G417" s="129" t="n"/>
      <c r="H417" s="129" t="n"/>
      <c r="I417" s="129" t="n"/>
      <c r="J417" s="138" t="str">
        <f>IF(C417&lt;&gt;"Despesa","",IFERROR(INDEX('Config'!$J$6:$J$40,MATCH(D417,'Config'!$I$6:$I$40,0)),"—"))</f>
        <v/>
      </c>
      <c r="K417" s="138" t="str">
        <f>IF(COUNTA(B417:F417)=0,"",IF(OR(B417="",C417="",D417="",F417=""),"▲ Completar","✔"))</f>
        <v/>
      </c>
    </row>
    <row r="418">
      <c r="B418" s="130" t="n"/>
      <c r="C418" s="129" t="n"/>
      <c r="D418" s="129" t="n"/>
      <c r="E418" s="129" t="n"/>
      <c r="F418" s="145" t="n"/>
      <c r="G418" s="129" t="n"/>
      <c r="H418" s="129" t="n"/>
      <c r="I418" s="129" t="n"/>
      <c r="J418" s="138" t="str">
        <f>IF(C418&lt;&gt;"Despesa","",IFERROR(INDEX('Config'!$J$6:$J$40,MATCH(D418,'Config'!$I$6:$I$40,0)),"—"))</f>
        <v/>
      </c>
      <c r="K418" s="138" t="str">
        <f>IF(COUNTA(B418:F418)=0,"",IF(OR(B418="",C418="",D418="",F418=""),"▲ Completar","✔"))</f>
        <v/>
      </c>
    </row>
    <row r="419">
      <c r="B419" s="130" t="n"/>
      <c r="C419" s="129" t="n"/>
      <c r="D419" s="129" t="n"/>
      <c r="E419" s="129" t="n"/>
      <c r="F419" s="145" t="n"/>
      <c r="G419" s="129" t="n"/>
      <c r="H419" s="129" t="n"/>
      <c r="I419" s="129" t="n"/>
      <c r="J419" s="138" t="str">
        <f>IF(C419&lt;&gt;"Despesa","",IFERROR(INDEX('Config'!$J$6:$J$40,MATCH(D419,'Config'!$I$6:$I$40,0)),"—"))</f>
        <v/>
      </c>
      <c r="K419" s="138" t="str">
        <f>IF(COUNTA(B419:F419)=0,"",IF(OR(B419="",C419="",D419="",F419=""),"▲ Completar","✔"))</f>
        <v/>
      </c>
    </row>
    <row r="420">
      <c r="B420" s="130" t="n"/>
      <c r="C420" s="129" t="n"/>
      <c r="D420" s="129" t="n"/>
      <c r="E420" s="129" t="n"/>
      <c r="F420" s="145" t="n"/>
      <c r="G420" s="129" t="n"/>
      <c r="H420" s="129" t="n"/>
      <c r="I420" s="129" t="n"/>
      <c r="J420" s="138" t="str">
        <f>IF(C420&lt;&gt;"Despesa","",IFERROR(INDEX('Config'!$J$6:$J$40,MATCH(D420,'Config'!$I$6:$I$40,0)),"—"))</f>
        <v/>
      </c>
      <c r="K420" s="138" t="str">
        <f>IF(COUNTA(B420:F420)=0,"",IF(OR(B420="",C420="",D420="",F420=""),"▲ Completar","✔"))</f>
        <v/>
      </c>
    </row>
    <row r="421">
      <c r="B421" s="130" t="n"/>
      <c r="C421" s="129" t="n"/>
      <c r="D421" s="129" t="n"/>
      <c r="E421" s="129" t="n"/>
      <c r="F421" s="145" t="n"/>
      <c r="G421" s="129" t="n"/>
      <c r="H421" s="129" t="n"/>
      <c r="I421" s="129" t="n"/>
      <c r="J421" s="138" t="str">
        <f>IF(C421&lt;&gt;"Despesa","",IFERROR(INDEX('Config'!$J$6:$J$40,MATCH(D421,'Config'!$I$6:$I$40,0)),"—"))</f>
        <v/>
      </c>
      <c r="K421" s="138" t="str">
        <f>IF(COUNTA(B421:F421)=0,"",IF(OR(B421="",C421="",D421="",F421=""),"▲ Completar","✔"))</f>
        <v/>
      </c>
    </row>
    <row r="422">
      <c r="B422" s="130" t="n"/>
      <c r="C422" s="129" t="n"/>
      <c r="D422" s="129" t="n"/>
      <c r="E422" s="129" t="n"/>
      <c r="F422" s="145" t="n"/>
      <c r="G422" s="129" t="n"/>
      <c r="H422" s="129" t="n"/>
      <c r="I422" s="129" t="n"/>
      <c r="J422" s="138" t="str">
        <f>IF(C422&lt;&gt;"Despesa","",IFERROR(INDEX('Config'!$J$6:$J$40,MATCH(D422,'Config'!$I$6:$I$40,0)),"—"))</f>
        <v/>
      </c>
      <c r="K422" s="138" t="str">
        <f>IF(COUNTA(B422:F422)=0,"",IF(OR(B422="",C422="",D422="",F422=""),"▲ Completar","✔"))</f>
        <v/>
      </c>
    </row>
    <row r="423">
      <c r="B423" s="130" t="n"/>
      <c r="C423" s="129" t="n"/>
      <c r="D423" s="129" t="n"/>
      <c r="E423" s="129" t="n"/>
      <c r="F423" s="145" t="n"/>
      <c r="G423" s="129" t="n"/>
      <c r="H423" s="129" t="n"/>
      <c r="I423" s="129" t="n"/>
      <c r="J423" s="138" t="str">
        <f>IF(C423&lt;&gt;"Despesa","",IFERROR(INDEX('Config'!$J$6:$J$40,MATCH(D423,'Config'!$I$6:$I$40,0)),"—"))</f>
        <v/>
      </c>
      <c r="K423" s="138" t="str">
        <f>IF(COUNTA(B423:F423)=0,"",IF(OR(B423="",C423="",D423="",F423=""),"▲ Completar","✔"))</f>
        <v/>
      </c>
    </row>
    <row r="424">
      <c r="B424" s="130" t="n"/>
      <c r="C424" s="129" t="n"/>
      <c r="D424" s="129" t="n"/>
      <c r="E424" s="129" t="n"/>
      <c r="F424" s="145" t="n"/>
      <c r="G424" s="129" t="n"/>
      <c r="H424" s="129" t="n"/>
      <c r="I424" s="129" t="n"/>
      <c r="J424" s="138" t="str">
        <f>IF(C424&lt;&gt;"Despesa","",IFERROR(INDEX('Config'!$J$6:$J$40,MATCH(D424,'Config'!$I$6:$I$40,0)),"—"))</f>
        <v/>
      </c>
      <c r="K424" s="138" t="str">
        <f>IF(COUNTA(B424:F424)=0,"",IF(OR(B424="",C424="",D424="",F424=""),"▲ Completar","✔"))</f>
        <v/>
      </c>
    </row>
    <row r="425">
      <c r="B425" s="130" t="n"/>
      <c r="C425" s="129" t="n"/>
      <c r="D425" s="129" t="n"/>
      <c r="E425" s="129" t="n"/>
      <c r="F425" s="145" t="n"/>
      <c r="G425" s="129" t="n"/>
      <c r="H425" s="129" t="n"/>
      <c r="I425" s="129" t="n"/>
      <c r="J425" s="138" t="str">
        <f>IF(C425&lt;&gt;"Despesa","",IFERROR(INDEX('Config'!$J$6:$J$40,MATCH(D425,'Config'!$I$6:$I$40,0)),"—"))</f>
        <v/>
      </c>
      <c r="K425" s="138" t="str">
        <f>IF(COUNTA(B425:F425)=0,"",IF(OR(B425="",C425="",D425="",F425=""),"▲ Completar","✔"))</f>
        <v/>
      </c>
    </row>
    <row r="426">
      <c r="B426" s="130" t="n"/>
      <c r="C426" s="129" t="n"/>
      <c r="D426" s="129" t="n"/>
      <c r="E426" s="129" t="n"/>
      <c r="F426" s="145" t="n"/>
      <c r="G426" s="129" t="n"/>
      <c r="H426" s="129" t="n"/>
      <c r="I426" s="129" t="n"/>
      <c r="J426" s="138" t="str">
        <f>IF(C426&lt;&gt;"Despesa","",IFERROR(INDEX('Config'!$J$6:$J$40,MATCH(D426,'Config'!$I$6:$I$40,0)),"—"))</f>
        <v/>
      </c>
      <c r="K426" s="138" t="str">
        <f>IF(COUNTA(B426:F426)=0,"",IF(OR(B426="",C426="",D426="",F426=""),"▲ Completar","✔"))</f>
        <v/>
      </c>
    </row>
    <row r="427">
      <c r="B427" s="130" t="n"/>
      <c r="C427" s="129" t="n"/>
      <c r="D427" s="129" t="n"/>
      <c r="E427" s="129" t="n"/>
      <c r="F427" s="145" t="n"/>
      <c r="G427" s="129" t="n"/>
      <c r="H427" s="129" t="n"/>
      <c r="I427" s="129" t="n"/>
      <c r="J427" s="138" t="str">
        <f>IF(C427&lt;&gt;"Despesa","",IFERROR(INDEX('Config'!$J$6:$J$40,MATCH(D427,'Config'!$I$6:$I$40,0)),"—"))</f>
        <v/>
      </c>
      <c r="K427" s="138" t="str">
        <f>IF(COUNTA(B427:F427)=0,"",IF(OR(B427="",C427="",D427="",F427=""),"▲ Completar","✔"))</f>
        <v/>
      </c>
    </row>
    <row r="428">
      <c r="B428" s="130" t="n"/>
      <c r="C428" s="129" t="n"/>
      <c r="D428" s="129" t="n"/>
      <c r="E428" s="129" t="n"/>
      <c r="F428" s="145" t="n"/>
      <c r="G428" s="129" t="n"/>
      <c r="H428" s="129" t="n"/>
      <c r="I428" s="129" t="n"/>
      <c r="J428" s="138" t="str">
        <f>IF(C428&lt;&gt;"Despesa","",IFERROR(INDEX('Config'!$J$6:$J$40,MATCH(D428,'Config'!$I$6:$I$40,0)),"—"))</f>
        <v/>
      </c>
      <c r="K428" s="138" t="str">
        <f>IF(COUNTA(B428:F428)=0,"",IF(OR(B428="",C428="",D428="",F428=""),"▲ Completar","✔"))</f>
        <v/>
      </c>
    </row>
    <row r="429">
      <c r="B429" s="130" t="n"/>
      <c r="C429" s="129" t="n"/>
      <c r="D429" s="129" t="n"/>
      <c r="E429" s="129" t="n"/>
      <c r="F429" s="145" t="n"/>
      <c r="G429" s="129" t="n"/>
      <c r="H429" s="129" t="n"/>
      <c r="I429" s="129" t="n"/>
      <c r="J429" s="138" t="str">
        <f>IF(C429&lt;&gt;"Despesa","",IFERROR(INDEX('Config'!$J$6:$J$40,MATCH(D429,'Config'!$I$6:$I$40,0)),"—"))</f>
        <v/>
      </c>
      <c r="K429" s="138" t="str">
        <f>IF(COUNTA(B429:F429)=0,"",IF(OR(B429="",C429="",D429="",F429=""),"▲ Completar","✔"))</f>
        <v/>
      </c>
    </row>
    <row r="430">
      <c r="B430" s="130" t="n"/>
      <c r="C430" s="129" t="n"/>
      <c r="D430" s="129" t="n"/>
      <c r="E430" s="129" t="n"/>
      <c r="F430" s="145" t="n"/>
      <c r="G430" s="129" t="n"/>
      <c r="H430" s="129" t="n"/>
      <c r="I430" s="129" t="n"/>
      <c r="J430" s="138" t="str">
        <f>IF(C430&lt;&gt;"Despesa","",IFERROR(INDEX('Config'!$J$6:$J$40,MATCH(D430,'Config'!$I$6:$I$40,0)),"—"))</f>
        <v/>
      </c>
      <c r="K430" s="138" t="str">
        <f>IF(COUNTA(B430:F430)=0,"",IF(OR(B430="",C430="",D430="",F430=""),"▲ Completar","✔"))</f>
        <v/>
      </c>
    </row>
    <row r="431">
      <c r="B431" s="130" t="n"/>
      <c r="C431" s="129" t="n"/>
      <c r="D431" s="129" t="n"/>
      <c r="E431" s="129" t="n"/>
      <c r="F431" s="145" t="n"/>
      <c r="G431" s="129" t="n"/>
      <c r="H431" s="129" t="n"/>
      <c r="I431" s="129" t="n"/>
      <c r="J431" s="138" t="str">
        <f>IF(C431&lt;&gt;"Despesa","",IFERROR(INDEX('Config'!$J$6:$J$40,MATCH(D431,'Config'!$I$6:$I$40,0)),"—"))</f>
        <v/>
      </c>
      <c r="K431" s="138" t="str">
        <f>IF(COUNTA(B431:F431)=0,"",IF(OR(B431="",C431="",D431="",F431=""),"▲ Completar","✔"))</f>
        <v/>
      </c>
    </row>
    <row r="432">
      <c r="B432" s="130" t="n"/>
      <c r="C432" s="129" t="n"/>
      <c r="D432" s="129" t="n"/>
      <c r="E432" s="129" t="n"/>
      <c r="F432" s="145" t="n"/>
      <c r="G432" s="129" t="n"/>
      <c r="H432" s="129" t="n"/>
      <c r="I432" s="129" t="n"/>
      <c r="J432" s="138" t="str">
        <f>IF(C432&lt;&gt;"Despesa","",IFERROR(INDEX('Config'!$J$6:$J$40,MATCH(D432,'Config'!$I$6:$I$40,0)),"—"))</f>
        <v/>
      </c>
      <c r="K432" s="138" t="str">
        <f>IF(COUNTA(B432:F432)=0,"",IF(OR(B432="",C432="",D432="",F432=""),"▲ Completar","✔"))</f>
        <v/>
      </c>
    </row>
    <row r="433">
      <c r="B433" s="130" t="n"/>
      <c r="C433" s="129" t="n"/>
      <c r="D433" s="129" t="n"/>
      <c r="E433" s="129" t="n"/>
      <c r="F433" s="145" t="n"/>
      <c r="G433" s="129" t="n"/>
      <c r="H433" s="129" t="n"/>
      <c r="I433" s="129" t="n"/>
      <c r="J433" s="138" t="str">
        <f>IF(C433&lt;&gt;"Despesa","",IFERROR(INDEX('Config'!$J$6:$J$40,MATCH(D433,'Config'!$I$6:$I$40,0)),"—"))</f>
        <v/>
      </c>
      <c r="K433" s="138" t="str">
        <f>IF(COUNTA(B433:F433)=0,"",IF(OR(B433="",C433="",D433="",F433=""),"▲ Completar","✔"))</f>
        <v/>
      </c>
    </row>
    <row r="434">
      <c r="B434" s="130" t="n"/>
      <c r="C434" s="129" t="n"/>
      <c r="D434" s="129" t="n"/>
      <c r="E434" s="129" t="n"/>
      <c r="F434" s="145" t="n"/>
      <c r="G434" s="129" t="n"/>
      <c r="H434" s="129" t="n"/>
      <c r="I434" s="129" t="n"/>
      <c r="J434" s="138" t="str">
        <f>IF(C434&lt;&gt;"Despesa","",IFERROR(INDEX('Config'!$J$6:$J$40,MATCH(D434,'Config'!$I$6:$I$40,0)),"—"))</f>
        <v/>
      </c>
      <c r="K434" s="138" t="str">
        <f>IF(COUNTA(B434:F434)=0,"",IF(OR(B434="",C434="",D434="",F434=""),"▲ Completar","✔"))</f>
        <v/>
      </c>
    </row>
    <row r="435">
      <c r="B435" s="130" t="n"/>
      <c r="C435" s="129" t="n"/>
      <c r="D435" s="129" t="n"/>
      <c r="E435" s="129" t="n"/>
      <c r="F435" s="145" t="n"/>
      <c r="G435" s="129" t="n"/>
      <c r="H435" s="129" t="n"/>
      <c r="I435" s="129" t="n"/>
      <c r="J435" s="138" t="str">
        <f>IF(C435&lt;&gt;"Despesa","",IFERROR(INDEX('Config'!$J$6:$J$40,MATCH(D435,'Config'!$I$6:$I$40,0)),"—"))</f>
        <v/>
      </c>
      <c r="K435" s="138" t="str">
        <f>IF(COUNTA(B435:F435)=0,"",IF(OR(B435="",C435="",D435="",F435=""),"▲ Completar","✔"))</f>
        <v/>
      </c>
    </row>
    <row r="436">
      <c r="B436" s="130" t="n"/>
      <c r="C436" s="129" t="n"/>
      <c r="D436" s="129" t="n"/>
      <c r="E436" s="129" t="n"/>
      <c r="F436" s="145" t="n"/>
      <c r="G436" s="129" t="n"/>
      <c r="H436" s="129" t="n"/>
      <c r="I436" s="129" t="n"/>
      <c r="J436" s="138" t="str">
        <f>IF(C436&lt;&gt;"Despesa","",IFERROR(INDEX('Config'!$J$6:$J$40,MATCH(D436,'Config'!$I$6:$I$40,0)),"—"))</f>
        <v/>
      </c>
      <c r="K436" s="138" t="str">
        <f>IF(COUNTA(B436:F436)=0,"",IF(OR(B436="",C436="",D436="",F436=""),"▲ Completar","✔"))</f>
        <v/>
      </c>
    </row>
    <row r="437">
      <c r="B437" s="130" t="n"/>
      <c r="C437" s="129" t="n"/>
      <c r="D437" s="129" t="n"/>
      <c r="E437" s="129" t="n"/>
      <c r="F437" s="145" t="n"/>
      <c r="G437" s="129" t="n"/>
      <c r="H437" s="129" t="n"/>
      <c r="I437" s="129" t="n"/>
      <c r="J437" s="138" t="str">
        <f>IF(C437&lt;&gt;"Despesa","",IFERROR(INDEX('Config'!$J$6:$J$40,MATCH(D437,'Config'!$I$6:$I$40,0)),"—"))</f>
        <v/>
      </c>
      <c r="K437" s="138" t="str">
        <f>IF(COUNTA(B437:F437)=0,"",IF(OR(B437="",C437="",D437="",F437=""),"▲ Completar","✔"))</f>
        <v/>
      </c>
    </row>
    <row r="438">
      <c r="B438" s="130" t="n"/>
      <c r="C438" s="129" t="n"/>
      <c r="D438" s="129" t="n"/>
      <c r="E438" s="129" t="n"/>
      <c r="F438" s="145" t="n"/>
      <c r="G438" s="129" t="n"/>
      <c r="H438" s="129" t="n"/>
      <c r="I438" s="129" t="n"/>
      <c r="J438" s="138" t="str">
        <f>IF(C438&lt;&gt;"Despesa","",IFERROR(INDEX('Config'!$J$6:$J$40,MATCH(D438,'Config'!$I$6:$I$40,0)),"—"))</f>
        <v/>
      </c>
      <c r="K438" s="138" t="str">
        <f>IF(COUNTA(B438:F438)=0,"",IF(OR(B438="",C438="",D438="",F438=""),"▲ Completar","✔"))</f>
        <v/>
      </c>
    </row>
    <row r="439">
      <c r="B439" s="130" t="n"/>
      <c r="C439" s="129" t="n"/>
      <c r="D439" s="129" t="n"/>
      <c r="E439" s="129" t="n"/>
      <c r="F439" s="145" t="n"/>
      <c r="G439" s="129" t="n"/>
      <c r="H439" s="129" t="n"/>
      <c r="I439" s="129" t="n"/>
      <c r="J439" s="138" t="str">
        <f>IF(C439&lt;&gt;"Despesa","",IFERROR(INDEX('Config'!$J$6:$J$40,MATCH(D439,'Config'!$I$6:$I$40,0)),"—"))</f>
        <v/>
      </c>
      <c r="K439" s="138" t="str">
        <f>IF(COUNTA(B439:F439)=0,"",IF(OR(B439="",C439="",D439="",F439=""),"▲ Completar","✔"))</f>
        <v/>
      </c>
    </row>
    <row r="440">
      <c r="B440" s="130" t="n"/>
      <c r="C440" s="129" t="n"/>
      <c r="D440" s="129" t="n"/>
      <c r="E440" s="129" t="n"/>
      <c r="F440" s="145" t="n"/>
      <c r="G440" s="129" t="n"/>
      <c r="H440" s="129" t="n"/>
      <c r="I440" s="129" t="n"/>
      <c r="J440" s="138" t="str">
        <f>IF(C440&lt;&gt;"Despesa","",IFERROR(INDEX('Config'!$J$6:$J$40,MATCH(D440,'Config'!$I$6:$I$40,0)),"—"))</f>
        <v/>
      </c>
      <c r="K440" s="138" t="str">
        <f>IF(COUNTA(B440:F440)=0,"",IF(OR(B440="",C440="",D440="",F440=""),"▲ Completar","✔"))</f>
        <v/>
      </c>
    </row>
    <row r="441">
      <c r="B441" s="130" t="n"/>
      <c r="C441" s="129" t="n"/>
      <c r="D441" s="129" t="n"/>
      <c r="E441" s="129" t="n"/>
      <c r="F441" s="145" t="n"/>
      <c r="G441" s="129" t="n"/>
      <c r="H441" s="129" t="n"/>
      <c r="I441" s="129" t="n"/>
      <c r="J441" s="138" t="str">
        <f>IF(C441&lt;&gt;"Despesa","",IFERROR(INDEX('Config'!$J$6:$J$40,MATCH(D441,'Config'!$I$6:$I$40,0)),"—"))</f>
        <v/>
      </c>
      <c r="K441" s="138" t="str">
        <f>IF(COUNTA(B441:F441)=0,"",IF(OR(B441="",C441="",D441="",F441=""),"▲ Completar","✔"))</f>
        <v/>
      </c>
    </row>
    <row r="442">
      <c r="B442" s="130" t="n"/>
      <c r="C442" s="129" t="n"/>
      <c r="D442" s="129" t="n"/>
      <c r="E442" s="129" t="n"/>
      <c r="F442" s="145" t="n"/>
      <c r="G442" s="129" t="n"/>
      <c r="H442" s="129" t="n"/>
      <c r="I442" s="129" t="n"/>
      <c r="J442" s="138" t="str">
        <f>IF(C442&lt;&gt;"Despesa","",IFERROR(INDEX('Config'!$J$6:$J$40,MATCH(D442,'Config'!$I$6:$I$40,0)),"—"))</f>
        <v/>
      </c>
      <c r="K442" s="138" t="str">
        <f>IF(COUNTA(B442:F442)=0,"",IF(OR(B442="",C442="",D442="",F442=""),"▲ Completar","✔"))</f>
        <v/>
      </c>
    </row>
    <row r="443">
      <c r="B443" s="130" t="n"/>
      <c r="C443" s="129" t="n"/>
      <c r="D443" s="129" t="n"/>
      <c r="E443" s="129" t="n"/>
      <c r="F443" s="145" t="n"/>
      <c r="G443" s="129" t="n"/>
      <c r="H443" s="129" t="n"/>
      <c r="I443" s="129" t="n"/>
      <c r="J443" s="138" t="str">
        <f>IF(C443&lt;&gt;"Despesa","",IFERROR(INDEX('Config'!$J$6:$J$40,MATCH(D443,'Config'!$I$6:$I$40,0)),"—"))</f>
        <v/>
      </c>
      <c r="K443" s="138" t="str">
        <f>IF(COUNTA(B443:F443)=0,"",IF(OR(B443="",C443="",D443="",F443=""),"▲ Completar","✔"))</f>
        <v/>
      </c>
    </row>
    <row r="444">
      <c r="B444" s="130" t="n"/>
      <c r="C444" s="129" t="n"/>
      <c r="D444" s="129" t="n"/>
      <c r="E444" s="129" t="n"/>
      <c r="F444" s="145" t="n"/>
      <c r="G444" s="129" t="n"/>
      <c r="H444" s="129" t="n"/>
      <c r="I444" s="129" t="n"/>
      <c r="J444" s="138" t="str">
        <f>IF(C444&lt;&gt;"Despesa","",IFERROR(INDEX('Config'!$J$6:$J$40,MATCH(D444,'Config'!$I$6:$I$40,0)),"—"))</f>
        <v/>
      </c>
      <c r="K444" s="138" t="str">
        <f>IF(COUNTA(B444:F444)=0,"",IF(OR(B444="",C444="",D444="",F444=""),"▲ Completar","✔"))</f>
        <v/>
      </c>
    </row>
    <row r="445">
      <c r="B445" s="130" t="n"/>
      <c r="C445" s="129" t="n"/>
      <c r="D445" s="129" t="n"/>
      <c r="E445" s="129" t="n"/>
      <c r="F445" s="145" t="n"/>
      <c r="G445" s="129" t="n"/>
      <c r="H445" s="129" t="n"/>
      <c r="I445" s="129" t="n"/>
      <c r="J445" s="138" t="str">
        <f>IF(C445&lt;&gt;"Despesa","",IFERROR(INDEX('Config'!$J$6:$J$40,MATCH(D445,'Config'!$I$6:$I$40,0)),"—"))</f>
        <v/>
      </c>
      <c r="K445" s="138" t="str">
        <f>IF(COUNTA(B445:F445)=0,"",IF(OR(B445="",C445="",D445="",F445=""),"▲ Completar","✔"))</f>
        <v/>
      </c>
    </row>
    <row r="446">
      <c r="B446" s="130" t="n"/>
      <c r="C446" s="129" t="n"/>
      <c r="D446" s="129" t="n"/>
      <c r="E446" s="129" t="n"/>
      <c r="F446" s="145" t="n"/>
      <c r="G446" s="129" t="n"/>
      <c r="H446" s="129" t="n"/>
      <c r="I446" s="129" t="n"/>
      <c r="J446" s="138" t="str">
        <f>IF(C446&lt;&gt;"Despesa","",IFERROR(INDEX('Config'!$J$6:$J$40,MATCH(D446,'Config'!$I$6:$I$40,0)),"—"))</f>
        <v/>
      </c>
      <c r="K446" s="138" t="str">
        <f>IF(COUNTA(B446:F446)=0,"",IF(OR(B446="",C446="",D446="",F446=""),"▲ Completar","✔"))</f>
        <v/>
      </c>
    </row>
    <row r="447">
      <c r="B447" s="130" t="n"/>
      <c r="C447" s="129" t="n"/>
      <c r="D447" s="129" t="n"/>
      <c r="E447" s="129" t="n"/>
      <c r="F447" s="145" t="n"/>
      <c r="G447" s="129" t="n"/>
      <c r="H447" s="129" t="n"/>
      <c r="I447" s="129" t="n"/>
      <c r="J447" s="138" t="str">
        <f>IF(C447&lt;&gt;"Despesa","",IFERROR(INDEX('Config'!$J$6:$J$40,MATCH(D447,'Config'!$I$6:$I$40,0)),"—"))</f>
        <v/>
      </c>
      <c r="K447" s="138" t="str">
        <f>IF(COUNTA(B447:F447)=0,"",IF(OR(B447="",C447="",D447="",F447=""),"▲ Completar","✔"))</f>
        <v/>
      </c>
    </row>
    <row r="448">
      <c r="B448" s="130" t="n"/>
      <c r="C448" s="129" t="n"/>
      <c r="D448" s="129" t="n"/>
      <c r="E448" s="129" t="n"/>
      <c r="F448" s="145" t="n"/>
      <c r="G448" s="129" t="n"/>
      <c r="H448" s="129" t="n"/>
      <c r="I448" s="129" t="n"/>
      <c r="J448" s="138" t="str">
        <f>IF(C448&lt;&gt;"Despesa","",IFERROR(INDEX('Config'!$J$6:$J$40,MATCH(D448,'Config'!$I$6:$I$40,0)),"—"))</f>
        <v/>
      </c>
      <c r="K448" s="138" t="str">
        <f>IF(COUNTA(B448:F448)=0,"",IF(OR(B448="",C448="",D448="",F448=""),"▲ Completar","✔"))</f>
        <v/>
      </c>
    </row>
    <row r="449">
      <c r="B449" s="130" t="n"/>
      <c r="C449" s="129" t="n"/>
      <c r="D449" s="129" t="n"/>
      <c r="E449" s="129" t="n"/>
      <c r="F449" s="145" t="n"/>
      <c r="G449" s="129" t="n"/>
      <c r="H449" s="129" t="n"/>
      <c r="I449" s="129" t="n"/>
      <c r="J449" s="138" t="str">
        <f>IF(C449&lt;&gt;"Despesa","",IFERROR(INDEX('Config'!$J$6:$J$40,MATCH(D449,'Config'!$I$6:$I$40,0)),"—"))</f>
        <v/>
      </c>
      <c r="K449" s="138" t="str">
        <f>IF(COUNTA(B449:F449)=0,"",IF(OR(B449="",C449="",D449="",F449=""),"▲ Completar","✔"))</f>
        <v/>
      </c>
    </row>
    <row r="450">
      <c r="B450" s="130" t="n"/>
      <c r="C450" s="129" t="n"/>
      <c r="D450" s="129" t="n"/>
      <c r="E450" s="129" t="n"/>
      <c r="F450" s="145" t="n"/>
      <c r="G450" s="129" t="n"/>
      <c r="H450" s="129" t="n"/>
      <c r="I450" s="129" t="n"/>
      <c r="J450" s="138" t="str">
        <f>IF(C450&lt;&gt;"Despesa","",IFERROR(INDEX('Config'!$J$6:$J$40,MATCH(D450,'Config'!$I$6:$I$40,0)),"—"))</f>
        <v/>
      </c>
      <c r="K450" s="138" t="str">
        <f>IF(COUNTA(B450:F450)=0,"",IF(OR(B450="",C450="",D450="",F450=""),"▲ Completar","✔"))</f>
        <v/>
      </c>
    </row>
    <row r="451">
      <c r="B451" s="130" t="n"/>
      <c r="C451" s="129" t="n"/>
      <c r="D451" s="129" t="n"/>
      <c r="E451" s="129" t="n"/>
      <c r="F451" s="145" t="n"/>
      <c r="G451" s="129" t="n"/>
      <c r="H451" s="129" t="n"/>
      <c r="I451" s="129" t="n"/>
      <c r="J451" s="138" t="str">
        <f>IF(C451&lt;&gt;"Despesa","",IFERROR(INDEX('Config'!$J$6:$J$40,MATCH(D451,'Config'!$I$6:$I$40,0)),"—"))</f>
        <v/>
      </c>
      <c r="K451" s="138" t="str">
        <f>IF(COUNTA(B451:F451)=0,"",IF(OR(B451="",C451="",D451="",F451=""),"▲ Completar","✔"))</f>
        <v/>
      </c>
    </row>
    <row r="452">
      <c r="B452" s="130" t="n"/>
      <c r="C452" s="129" t="n"/>
      <c r="D452" s="129" t="n"/>
      <c r="E452" s="129" t="n"/>
      <c r="F452" s="145" t="n"/>
      <c r="G452" s="129" t="n"/>
      <c r="H452" s="129" t="n"/>
      <c r="I452" s="129" t="n"/>
      <c r="J452" s="138" t="str">
        <f>IF(C452&lt;&gt;"Despesa","",IFERROR(INDEX('Config'!$J$6:$J$40,MATCH(D452,'Config'!$I$6:$I$40,0)),"—"))</f>
        <v/>
      </c>
      <c r="K452" s="138" t="str">
        <f>IF(COUNTA(B452:F452)=0,"",IF(OR(B452="",C452="",D452="",F452=""),"▲ Completar","✔"))</f>
        <v/>
      </c>
    </row>
    <row r="453">
      <c r="B453" s="130" t="n"/>
      <c r="C453" s="129" t="n"/>
      <c r="D453" s="129" t="n"/>
      <c r="E453" s="129" t="n"/>
      <c r="F453" s="145" t="n"/>
      <c r="G453" s="129" t="n"/>
      <c r="H453" s="129" t="n"/>
      <c r="I453" s="129" t="n"/>
      <c r="J453" s="138" t="str">
        <f>IF(C453&lt;&gt;"Despesa","",IFERROR(INDEX('Config'!$J$6:$J$40,MATCH(D453,'Config'!$I$6:$I$40,0)),"—"))</f>
        <v/>
      </c>
      <c r="K453" s="138" t="str">
        <f>IF(COUNTA(B453:F453)=0,"",IF(OR(B453="",C453="",D453="",F453=""),"▲ Completar","✔"))</f>
        <v/>
      </c>
    </row>
    <row r="454">
      <c r="B454" s="130" t="n"/>
      <c r="C454" s="129" t="n"/>
      <c r="D454" s="129" t="n"/>
      <c r="E454" s="129" t="n"/>
      <c r="F454" s="145" t="n"/>
      <c r="G454" s="129" t="n"/>
      <c r="H454" s="129" t="n"/>
      <c r="I454" s="129" t="n"/>
      <c r="J454" s="138" t="str">
        <f>IF(C454&lt;&gt;"Despesa","",IFERROR(INDEX('Config'!$J$6:$J$40,MATCH(D454,'Config'!$I$6:$I$40,0)),"—"))</f>
        <v/>
      </c>
      <c r="K454" s="138" t="str">
        <f>IF(COUNTA(B454:F454)=0,"",IF(OR(B454="",C454="",D454="",F454=""),"▲ Completar","✔"))</f>
        <v/>
      </c>
    </row>
    <row r="455">
      <c r="B455" s="130" t="n"/>
      <c r="C455" s="129" t="n"/>
      <c r="D455" s="129" t="n"/>
      <c r="E455" s="129" t="n"/>
      <c r="F455" s="145" t="n"/>
      <c r="G455" s="129" t="n"/>
      <c r="H455" s="129" t="n"/>
      <c r="I455" s="129" t="n"/>
      <c r="J455" s="138" t="str">
        <f>IF(C455&lt;&gt;"Despesa","",IFERROR(INDEX('Config'!$J$6:$J$40,MATCH(D455,'Config'!$I$6:$I$40,0)),"—"))</f>
        <v/>
      </c>
      <c r="K455" s="138" t="str">
        <f>IF(COUNTA(B455:F455)=0,"",IF(OR(B455="",C455="",D455="",F455=""),"▲ Completar","✔"))</f>
        <v/>
      </c>
    </row>
    <row r="456">
      <c r="B456" s="130" t="n"/>
      <c r="C456" s="129" t="n"/>
      <c r="D456" s="129" t="n"/>
      <c r="E456" s="129" t="n"/>
      <c r="F456" s="145" t="n"/>
      <c r="G456" s="129" t="n"/>
      <c r="H456" s="129" t="n"/>
      <c r="I456" s="129" t="n"/>
      <c r="J456" s="138" t="str">
        <f>IF(C456&lt;&gt;"Despesa","",IFERROR(INDEX('Config'!$J$6:$J$40,MATCH(D456,'Config'!$I$6:$I$40,0)),"—"))</f>
        <v/>
      </c>
      <c r="K456" s="138" t="str">
        <f>IF(COUNTA(B456:F456)=0,"",IF(OR(B456="",C456="",D456="",F456=""),"▲ Completar","✔"))</f>
        <v/>
      </c>
    </row>
    <row r="457">
      <c r="B457" s="130" t="n"/>
      <c r="C457" s="129" t="n"/>
      <c r="D457" s="129" t="n"/>
      <c r="E457" s="129" t="n"/>
      <c r="F457" s="145" t="n"/>
      <c r="G457" s="129" t="n"/>
      <c r="H457" s="129" t="n"/>
      <c r="I457" s="129" t="n"/>
      <c r="J457" s="138" t="str">
        <f>IF(C457&lt;&gt;"Despesa","",IFERROR(INDEX('Config'!$J$6:$J$40,MATCH(D457,'Config'!$I$6:$I$40,0)),"—"))</f>
        <v/>
      </c>
      <c r="K457" s="138" t="str">
        <f>IF(COUNTA(B457:F457)=0,"",IF(OR(B457="",C457="",D457="",F457=""),"▲ Completar","✔"))</f>
        <v/>
      </c>
    </row>
    <row r="458">
      <c r="B458" s="130" t="n"/>
      <c r="C458" s="129" t="n"/>
      <c r="D458" s="129" t="n"/>
      <c r="E458" s="129" t="n"/>
      <c r="F458" s="145" t="n"/>
      <c r="G458" s="129" t="n"/>
      <c r="H458" s="129" t="n"/>
      <c r="I458" s="129" t="n"/>
      <c r="J458" s="138" t="str">
        <f>IF(C458&lt;&gt;"Despesa","",IFERROR(INDEX('Config'!$J$6:$J$40,MATCH(D458,'Config'!$I$6:$I$40,0)),"—"))</f>
        <v/>
      </c>
      <c r="K458" s="138" t="str">
        <f>IF(COUNTA(B458:F458)=0,"",IF(OR(B458="",C458="",D458="",F458=""),"▲ Completar","✔"))</f>
        <v/>
      </c>
    </row>
    <row r="459">
      <c r="B459" s="130" t="n"/>
      <c r="C459" s="129" t="n"/>
      <c r="D459" s="129" t="n"/>
      <c r="E459" s="129" t="n"/>
      <c r="F459" s="145" t="n"/>
      <c r="G459" s="129" t="n"/>
      <c r="H459" s="129" t="n"/>
      <c r="I459" s="129" t="n"/>
      <c r="J459" s="138" t="str">
        <f>IF(C459&lt;&gt;"Despesa","",IFERROR(INDEX('Config'!$J$6:$J$40,MATCH(D459,'Config'!$I$6:$I$40,0)),"—"))</f>
        <v/>
      </c>
      <c r="K459" s="138" t="str">
        <f>IF(COUNTA(B459:F459)=0,"",IF(OR(B459="",C459="",D459="",F459=""),"▲ Completar","✔"))</f>
        <v/>
      </c>
    </row>
    <row r="460">
      <c r="B460" s="130" t="n"/>
      <c r="C460" s="129" t="n"/>
      <c r="D460" s="129" t="n"/>
      <c r="E460" s="129" t="n"/>
      <c r="F460" s="145" t="n"/>
      <c r="G460" s="129" t="n"/>
      <c r="H460" s="129" t="n"/>
      <c r="I460" s="129" t="n"/>
      <c r="J460" s="138" t="str">
        <f>IF(C460&lt;&gt;"Despesa","",IFERROR(INDEX('Config'!$J$6:$J$40,MATCH(D460,'Config'!$I$6:$I$40,0)),"—"))</f>
        <v/>
      </c>
      <c r="K460" s="138" t="str">
        <f>IF(COUNTA(B460:F460)=0,"",IF(OR(B460="",C460="",D460="",F460=""),"▲ Completar","✔"))</f>
        <v/>
      </c>
    </row>
    <row r="461">
      <c r="B461" s="130" t="n"/>
      <c r="C461" s="129" t="n"/>
      <c r="D461" s="129" t="n"/>
      <c r="E461" s="129" t="n"/>
      <c r="F461" s="145" t="n"/>
      <c r="G461" s="129" t="n"/>
      <c r="H461" s="129" t="n"/>
      <c r="I461" s="129" t="n"/>
      <c r="J461" s="138" t="str">
        <f>IF(C461&lt;&gt;"Despesa","",IFERROR(INDEX('Config'!$J$6:$J$40,MATCH(D461,'Config'!$I$6:$I$40,0)),"—"))</f>
        <v/>
      </c>
      <c r="K461" s="138" t="str">
        <f>IF(COUNTA(B461:F461)=0,"",IF(OR(B461="",C461="",D461="",F461=""),"▲ Completar","✔"))</f>
        <v/>
      </c>
    </row>
    <row r="462">
      <c r="B462" s="130" t="n"/>
      <c r="C462" s="129" t="n"/>
      <c r="D462" s="129" t="n"/>
      <c r="E462" s="129" t="n"/>
      <c r="F462" s="145" t="n"/>
      <c r="G462" s="129" t="n"/>
      <c r="H462" s="129" t="n"/>
      <c r="I462" s="129" t="n"/>
      <c r="J462" s="138" t="str">
        <f>IF(C462&lt;&gt;"Despesa","",IFERROR(INDEX('Config'!$J$6:$J$40,MATCH(D462,'Config'!$I$6:$I$40,0)),"—"))</f>
        <v/>
      </c>
      <c r="K462" s="138" t="str">
        <f>IF(COUNTA(B462:F462)=0,"",IF(OR(B462="",C462="",D462="",F462=""),"▲ Completar","✔"))</f>
        <v/>
      </c>
    </row>
    <row r="463">
      <c r="B463" s="130" t="n"/>
      <c r="C463" s="129" t="n"/>
      <c r="D463" s="129" t="n"/>
      <c r="E463" s="129" t="n"/>
      <c r="F463" s="145" t="n"/>
      <c r="G463" s="129" t="n"/>
      <c r="H463" s="129" t="n"/>
      <c r="I463" s="129" t="n"/>
      <c r="J463" s="138" t="str">
        <f>IF(C463&lt;&gt;"Despesa","",IFERROR(INDEX('Config'!$J$6:$J$40,MATCH(D463,'Config'!$I$6:$I$40,0)),"—"))</f>
        <v/>
      </c>
      <c r="K463" s="138" t="str">
        <f>IF(COUNTA(B463:F463)=0,"",IF(OR(B463="",C463="",D463="",F463=""),"▲ Completar","✔"))</f>
        <v/>
      </c>
    </row>
    <row r="464">
      <c r="B464" s="130" t="n"/>
      <c r="C464" s="129" t="n"/>
      <c r="D464" s="129" t="n"/>
      <c r="E464" s="129" t="n"/>
      <c r="F464" s="145" t="n"/>
      <c r="G464" s="129" t="n"/>
      <c r="H464" s="129" t="n"/>
      <c r="I464" s="129" t="n"/>
      <c r="J464" s="138" t="str">
        <f>IF(C464&lt;&gt;"Despesa","",IFERROR(INDEX('Config'!$J$6:$J$40,MATCH(D464,'Config'!$I$6:$I$40,0)),"—"))</f>
        <v/>
      </c>
      <c r="K464" s="138" t="str">
        <f>IF(COUNTA(B464:F464)=0,"",IF(OR(B464="",C464="",D464="",F464=""),"▲ Completar","✔"))</f>
        <v/>
      </c>
    </row>
    <row r="465">
      <c r="B465" s="130" t="n"/>
      <c r="C465" s="129" t="n"/>
      <c r="D465" s="129" t="n"/>
      <c r="E465" s="129" t="n"/>
      <c r="F465" s="145" t="n"/>
      <c r="G465" s="129" t="n"/>
      <c r="H465" s="129" t="n"/>
      <c r="I465" s="129" t="n"/>
      <c r="J465" s="138" t="str">
        <f>IF(C465&lt;&gt;"Despesa","",IFERROR(INDEX('Config'!$J$6:$J$40,MATCH(D465,'Config'!$I$6:$I$40,0)),"—"))</f>
        <v/>
      </c>
      <c r="K465" s="138" t="str">
        <f>IF(COUNTA(B465:F465)=0,"",IF(OR(B465="",C465="",D465="",F465=""),"▲ Completar","✔"))</f>
        <v/>
      </c>
    </row>
    <row r="466">
      <c r="B466" s="130" t="n"/>
      <c r="C466" s="129" t="n"/>
      <c r="D466" s="129" t="n"/>
      <c r="E466" s="129" t="n"/>
      <c r="F466" s="145" t="n"/>
      <c r="G466" s="129" t="n"/>
      <c r="H466" s="129" t="n"/>
      <c r="I466" s="129" t="n"/>
      <c r="J466" s="138" t="str">
        <f>IF(C466&lt;&gt;"Despesa","",IFERROR(INDEX('Config'!$J$6:$J$40,MATCH(D466,'Config'!$I$6:$I$40,0)),"—"))</f>
        <v/>
      </c>
      <c r="K466" s="138" t="str">
        <f>IF(COUNTA(B466:F466)=0,"",IF(OR(B466="",C466="",D466="",F466=""),"▲ Completar","✔"))</f>
        <v/>
      </c>
    </row>
    <row r="467">
      <c r="B467" s="130" t="n"/>
      <c r="C467" s="129" t="n"/>
      <c r="D467" s="129" t="n"/>
      <c r="E467" s="129" t="n"/>
      <c r="F467" s="145" t="n"/>
      <c r="G467" s="129" t="n"/>
      <c r="H467" s="129" t="n"/>
      <c r="I467" s="129" t="n"/>
      <c r="J467" s="138" t="str">
        <f>IF(C467&lt;&gt;"Despesa","",IFERROR(INDEX('Config'!$J$6:$J$40,MATCH(D467,'Config'!$I$6:$I$40,0)),"—"))</f>
        <v/>
      </c>
      <c r="K467" s="138" t="str">
        <f>IF(COUNTA(B467:F467)=0,"",IF(OR(B467="",C467="",D467="",F467=""),"▲ Completar","✔"))</f>
        <v/>
      </c>
    </row>
    <row r="468">
      <c r="B468" s="130" t="n"/>
      <c r="C468" s="129" t="n"/>
      <c r="D468" s="129" t="n"/>
      <c r="E468" s="129" t="n"/>
      <c r="F468" s="145" t="n"/>
      <c r="G468" s="129" t="n"/>
      <c r="H468" s="129" t="n"/>
      <c r="I468" s="129" t="n"/>
      <c r="J468" s="138" t="str">
        <f>IF(C468&lt;&gt;"Despesa","",IFERROR(INDEX('Config'!$J$6:$J$40,MATCH(D468,'Config'!$I$6:$I$40,0)),"—"))</f>
        <v/>
      </c>
      <c r="K468" s="138" t="str">
        <f>IF(COUNTA(B468:F468)=0,"",IF(OR(B468="",C468="",D468="",F468=""),"▲ Completar","✔"))</f>
        <v/>
      </c>
    </row>
    <row r="469">
      <c r="B469" s="130" t="n"/>
      <c r="C469" s="129" t="n"/>
      <c r="D469" s="129" t="n"/>
      <c r="E469" s="129" t="n"/>
      <c r="F469" s="145" t="n"/>
      <c r="G469" s="129" t="n"/>
      <c r="H469" s="129" t="n"/>
      <c r="I469" s="129" t="n"/>
      <c r="J469" s="138" t="str">
        <f>IF(C469&lt;&gt;"Despesa","",IFERROR(INDEX('Config'!$J$6:$J$40,MATCH(D469,'Config'!$I$6:$I$40,0)),"—"))</f>
        <v/>
      </c>
      <c r="K469" s="138" t="str">
        <f>IF(COUNTA(B469:F469)=0,"",IF(OR(B469="",C469="",D469="",F469=""),"▲ Completar","✔"))</f>
        <v/>
      </c>
    </row>
    <row r="470">
      <c r="B470" s="130" t="n"/>
      <c r="C470" s="129" t="n"/>
      <c r="D470" s="129" t="n"/>
      <c r="E470" s="129" t="n"/>
      <c r="F470" s="145" t="n"/>
      <c r="G470" s="129" t="n"/>
      <c r="H470" s="129" t="n"/>
      <c r="I470" s="129" t="n"/>
      <c r="J470" s="138" t="str">
        <f>IF(C470&lt;&gt;"Despesa","",IFERROR(INDEX('Config'!$J$6:$J$40,MATCH(D470,'Config'!$I$6:$I$40,0)),"—"))</f>
        <v/>
      </c>
      <c r="K470" s="138" t="str">
        <f>IF(COUNTA(B470:F470)=0,"",IF(OR(B470="",C470="",D470="",F470=""),"▲ Completar","✔"))</f>
        <v/>
      </c>
    </row>
    <row r="471">
      <c r="B471" s="130" t="n"/>
      <c r="C471" s="129" t="n"/>
      <c r="D471" s="129" t="n"/>
      <c r="E471" s="129" t="n"/>
      <c r="F471" s="145" t="n"/>
      <c r="G471" s="129" t="n"/>
      <c r="H471" s="129" t="n"/>
      <c r="I471" s="129" t="n"/>
      <c r="J471" s="138" t="str">
        <f>IF(C471&lt;&gt;"Despesa","",IFERROR(INDEX('Config'!$J$6:$J$40,MATCH(D471,'Config'!$I$6:$I$40,0)),"—"))</f>
        <v/>
      </c>
      <c r="K471" s="138" t="str">
        <f>IF(COUNTA(B471:F471)=0,"",IF(OR(B471="",C471="",D471="",F471=""),"▲ Completar","✔"))</f>
        <v/>
      </c>
    </row>
    <row r="472">
      <c r="B472" s="130" t="n"/>
      <c r="C472" s="129" t="n"/>
      <c r="D472" s="129" t="n"/>
      <c r="E472" s="129" t="n"/>
      <c r="F472" s="145" t="n"/>
      <c r="G472" s="129" t="n"/>
      <c r="H472" s="129" t="n"/>
      <c r="I472" s="129" t="n"/>
      <c r="J472" s="138" t="str">
        <f>IF(C472&lt;&gt;"Despesa","",IFERROR(INDEX('Config'!$J$6:$J$40,MATCH(D472,'Config'!$I$6:$I$40,0)),"—"))</f>
        <v/>
      </c>
      <c r="K472" s="138" t="str">
        <f>IF(COUNTA(B472:F472)=0,"",IF(OR(B472="",C472="",D472="",F472=""),"▲ Completar","✔"))</f>
        <v/>
      </c>
    </row>
    <row r="473">
      <c r="B473" s="130" t="n"/>
      <c r="C473" s="129" t="n"/>
      <c r="D473" s="129" t="n"/>
      <c r="E473" s="129" t="n"/>
      <c r="F473" s="145" t="n"/>
      <c r="G473" s="129" t="n"/>
      <c r="H473" s="129" t="n"/>
      <c r="I473" s="129" t="n"/>
      <c r="J473" s="138" t="str">
        <f>IF(C473&lt;&gt;"Despesa","",IFERROR(INDEX('Config'!$J$6:$J$40,MATCH(D473,'Config'!$I$6:$I$40,0)),"—"))</f>
        <v/>
      </c>
      <c r="K473" s="138" t="str">
        <f>IF(COUNTA(B473:F473)=0,"",IF(OR(B473="",C473="",D473="",F473=""),"▲ Completar","✔"))</f>
        <v/>
      </c>
    </row>
    <row r="474">
      <c r="B474" s="130" t="n"/>
      <c r="C474" s="129" t="n"/>
      <c r="D474" s="129" t="n"/>
      <c r="E474" s="129" t="n"/>
      <c r="F474" s="145" t="n"/>
      <c r="G474" s="129" t="n"/>
      <c r="H474" s="129" t="n"/>
      <c r="I474" s="129" t="n"/>
      <c r="J474" s="138" t="str">
        <f>IF(C474&lt;&gt;"Despesa","",IFERROR(INDEX('Config'!$J$6:$J$40,MATCH(D474,'Config'!$I$6:$I$40,0)),"—"))</f>
        <v/>
      </c>
      <c r="K474" s="138" t="str">
        <f>IF(COUNTA(B474:F474)=0,"",IF(OR(B474="",C474="",D474="",F474=""),"▲ Completar","✔"))</f>
        <v/>
      </c>
    </row>
    <row r="475">
      <c r="B475" s="130" t="n"/>
      <c r="C475" s="129" t="n"/>
      <c r="D475" s="129" t="n"/>
      <c r="E475" s="129" t="n"/>
      <c r="F475" s="145" t="n"/>
      <c r="G475" s="129" t="n"/>
      <c r="H475" s="129" t="n"/>
      <c r="I475" s="129" t="n"/>
      <c r="J475" s="138" t="str">
        <f>IF(C475&lt;&gt;"Despesa","",IFERROR(INDEX('Config'!$J$6:$J$40,MATCH(D475,'Config'!$I$6:$I$40,0)),"—"))</f>
        <v/>
      </c>
      <c r="K475" s="138" t="str">
        <f>IF(COUNTA(B475:F475)=0,"",IF(OR(B475="",C475="",D475="",F475=""),"▲ Completar","✔"))</f>
        <v/>
      </c>
    </row>
    <row r="476">
      <c r="B476" s="130" t="n"/>
      <c r="C476" s="129" t="n"/>
      <c r="D476" s="129" t="n"/>
      <c r="E476" s="129" t="n"/>
      <c r="F476" s="145" t="n"/>
      <c r="G476" s="129" t="n"/>
      <c r="H476" s="129" t="n"/>
      <c r="I476" s="129" t="n"/>
      <c r="J476" s="138" t="str">
        <f>IF(C476&lt;&gt;"Despesa","",IFERROR(INDEX('Config'!$J$6:$J$40,MATCH(D476,'Config'!$I$6:$I$40,0)),"—"))</f>
        <v/>
      </c>
      <c r="K476" s="138" t="str">
        <f>IF(COUNTA(B476:F476)=0,"",IF(OR(B476="",C476="",D476="",F476=""),"▲ Completar","✔"))</f>
        <v/>
      </c>
    </row>
    <row r="477">
      <c r="B477" s="130" t="n"/>
      <c r="C477" s="129" t="n"/>
      <c r="D477" s="129" t="n"/>
      <c r="E477" s="129" t="n"/>
      <c r="F477" s="145" t="n"/>
      <c r="G477" s="129" t="n"/>
      <c r="H477" s="129" t="n"/>
      <c r="I477" s="129" t="n"/>
      <c r="J477" s="138" t="str">
        <f>IF(C477&lt;&gt;"Despesa","",IFERROR(INDEX('Config'!$J$6:$J$40,MATCH(D477,'Config'!$I$6:$I$40,0)),"—"))</f>
        <v/>
      </c>
      <c r="K477" s="138" t="str">
        <f>IF(COUNTA(B477:F477)=0,"",IF(OR(B477="",C477="",D477="",F477=""),"▲ Completar","✔"))</f>
        <v/>
      </c>
    </row>
    <row r="478">
      <c r="B478" s="130" t="n"/>
      <c r="C478" s="129" t="n"/>
      <c r="D478" s="129" t="n"/>
      <c r="E478" s="129" t="n"/>
      <c r="F478" s="145" t="n"/>
      <c r="G478" s="129" t="n"/>
      <c r="H478" s="129" t="n"/>
      <c r="I478" s="129" t="n"/>
      <c r="J478" s="138" t="str">
        <f>IF(C478&lt;&gt;"Despesa","",IFERROR(INDEX('Config'!$J$6:$J$40,MATCH(D478,'Config'!$I$6:$I$40,0)),"—"))</f>
        <v/>
      </c>
      <c r="K478" s="138" t="str">
        <f>IF(COUNTA(B478:F478)=0,"",IF(OR(B478="",C478="",D478="",F478=""),"▲ Completar","✔"))</f>
        <v/>
      </c>
    </row>
    <row r="479">
      <c r="B479" s="130" t="n"/>
      <c r="C479" s="129" t="n"/>
      <c r="D479" s="129" t="n"/>
      <c r="E479" s="129" t="n"/>
      <c r="F479" s="145" t="n"/>
      <c r="G479" s="129" t="n"/>
      <c r="H479" s="129" t="n"/>
      <c r="I479" s="129" t="n"/>
      <c r="J479" s="138" t="str">
        <f>IF(C479&lt;&gt;"Despesa","",IFERROR(INDEX('Config'!$J$6:$J$40,MATCH(D479,'Config'!$I$6:$I$40,0)),"—"))</f>
        <v/>
      </c>
      <c r="K479" s="138" t="str">
        <f>IF(COUNTA(B479:F479)=0,"",IF(OR(B479="",C479="",D479="",F479=""),"▲ Completar","✔"))</f>
        <v/>
      </c>
    </row>
    <row r="480">
      <c r="B480" s="130" t="n"/>
      <c r="C480" s="129" t="n"/>
      <c r="D480" s="129" t="n"/>
      <c r="E480" s="129" t="n"/>
      <c r="F480" s="145" t="n"/>
      <c r="G480" s="129" t="n"/>
      <c r="H480" s="129" t="n"/>
      <c r="I480" s="129" t="n"/>
      <c r="J480" s="138" t="str">
        <f>IF(C480&lt;&gt;"Despesa","",IFERROR(INDEX('Config'!$J$6:$J$40,MATCH(D480,'Config'!$I$6:$I$40,0)),"—"))</f>
        <v/>
      </c>
      <c r="K480" s="138" t="str">
        <f>IF(COUNTA(B480:F480)=0,"",IF(OR(B480="",C480="",D480="",F480=""),"▲ Completar","✔"))</f>
        <v/>
      </c>
    </row>
    <row r="481">
      <c r="B481" s="130" t="n"/>
      <c r="C481" s="129" t="n"/>
      <c r="D481" s="129" t="n"/>
      <c r="E481" s="129" t="n"/>
      <c r="F481" s="145" t="n"/>
      <c r="G481" s="129" t="n"/>
      <c r="H481" s="129" t="n"/>
      <c r="I481" s="129" t="n"/>
      <c r="J481" s="138" t="str">
        <f>IF(C481&lt;&gt;"Despesa","",IFERROR(INDEX('Config'!$J$6:$J$40,MATCH(D481,'Config'!$I$6:$I$40,0)),"—"))</f>
        <v/>
      </c>
      <c r="K481" s="138" t="str">
        <f>IF(COUNTA(B481:F481)=0,"",IF(OR(B481="",C481="",D481="",F481=""),"▲ Completar","✔"))</f>
        <v/>
      </c>
    </row>
    <row r="482">
      <c r="B482" s="130" t="n"/>
      <c r="C482" s="129" t="n"/>
      <c r="D482" s="129" t="n"/>
      <c r="E482" s="129" t="n"/>
      <c r="F482" s="145" t="n"/>
      <c r="G482" s="129" t="n"/>
      <c r="H482" s="129" t="n"/>
      <c r="I482" s="129" t="n"/>
      <c r="J482" s="138" t="str">
        <f>IF(C482&lt;&gt;"Despesa","",IFERROR(INDEX('Config'!$J$6:$J$40,MATCH(D482,'Config'!$I$6:$I$40,0)),"—"))</f>
        <v/>
      </c>
      <c r="K482" s="138" t="str">
        <f>IF(COUNTA(B482:F482)=0,"",IF(OR(B482="",C482="",D482="",F482=""),"▲ Completar","✔"))</f>
        <v/>
      </c>
    </row>
    <row r="483">
      <c r="B483" s="130" t="n"/>
      <c r="C483" s="129" t="n"/>
      <c r="D483" s="129" t="n"/>
      <c r="E483" s="129" t="n"/>
      <c r="F483" s="145" t="n"/>
      <c r="G483" s="129" t="n"/>
      <c r="H483" s="129" t="n"/>
      <c r="I483" s="129" t="n"/>
      <c r="J483" s="138" t="str">
        <f>IF(C483&lt;&gt;"Despesa","",IFERROR(INDEX('Config'!$J$6:$J$40,MATCH(D483,'Config'!$I$6:$I$40,0)),"—"))</f>
        <v/>
      </c>
      <c r="K483" s="138" t="str">
        <f>IF(COUNTA(B483:F483)=0,"",IF(OR(B483="",C483="",D483="",F483=""),"▲ Completar","✔"))</f>
        <v/>
      </c>
    </row>
    <row r="484">
      <c r="B484" s="130" t="n"/>
      <c r="C484" s="129" t="n"/>
      <c r="D484" s="129" t="n"/>
      <c r="E484" s="129" t="n"/>
      <c r="F484" s="145" t="n"/>
      <c r="G484" s="129" t="n"/>
      <c r="H484" s="129" t="n"/>
      <c r="I484" s="129" t="n"/>
      <c r="J484" s="138" t="str">
        <f>IF(C484&lt;&gt;"Despesa","",IFERROR(INDEX('Config'!$J$6:$J$40,MATCH(D484,'Config'!$I$6:$I$40,0)),"—"))</f>
        <v/>
      </c>
      <c r="K484" s="138" t="str">
        <f>IF(COUNTA(B484:F484)=0,"",IF(OR(B484="",C484="",D484="",F484=""),"▲ Completar","✔"))</f>
        <v/>
      </c>
    </row>
    <row r="485">
      <c r="B485" s="130" t="n"/>
      <c r="C485" s="129" t="n"/>
      <c r="D485" s="129" t="n"/>
      <c r="E485" s="129" t="n"/>
      <c r="F485" s="145" t="n"/>
      <c r="G485" s="129" t="n"/>
      <c r="H485" s="129" t="n"/>
      <c r="I485" s="129" t="n"/>
      <c r="J485" s="138" t="str">
        <f>IF(C485&lt;&gt;"Despesa","",IFERROR(INDEX('Config'!$J$6:$J$40,MATCH(D485,'Config'!$I$6:$I$40,0)),"—"))</f>
        <v/>
      </c>
      <c r="K485" s="138" t="str">
        <f>IF(COUNTA(B485:F485)=0,"",IF(OR(B485="",C485="",D485="",F485=""),"▲ Completar","✔"))</f>
        <v/>
      </c>
    </row>
    <row r="486">
      <c r="B486" s="130" t="n"/>
      <c r="C486" s="129" t="n"/>
      <c r="D486" s="129" t="n"/>
      <c r="E486" s="129" t="n"/>
      <c r="F486" s="145" t="n"/>
      <c r="G486" s="129" t="n"/>
      <c r="H486" s="129" t="n"/>
      <c r="I486" s="129" t="n"/>
      <c r="J486" s="138" t="str">
        <f>IF(C486&lt;&gt;"Despesa","",IFERROR(INDEX('Config'!$J$6:$J$40,MATCH(D486,'Config'!$I$6:$I$40,0)),"—"))</f>
        <v/>
      </c>
      <c r="K486" s="138" t="str">
        <f>IF(COUNTA(B486:F486)=0,"",IF(OR(B486="",C486="",D486="",F486=""),"▲ Completar","✔"))</f>
        <v/>
      </c>
    </row>
    <row r="487">
      <c r="B487" s="130" t="n"/>
      <c r="C487" s="129" t="n"/>
      <c r="D487" s="129" t="n"/>
      <c r="E487" s="129" t="n"/>
      <c r="F487" s="145" t="n"/>
      <c r="G487" s="129" t="n"/>
      <c r="H487" s="129" t="n"/>
      <c r="I487" s="129" t="n"/>
      <c r="J487" s="138" t="str">
        <f>IF(C487&lt;&gt;"Despesa","",IFERROR(INDEX('Config'!$J$6:$J$40,MATCH(D487,'Config'!$I$6:$I$40,0)),"—"))</f>
        <v/>
      </c>
      <c r="K487" s="138" t="str">
        <f>IF(COUNTA(B487:F487)=0,"",IF(OR(B487="",C487="",D487="",F487=""),"▲ Completar","✔"))</f>
        <v/>
      </c>
    </row>
    <row r="488">
      <c r="B488" s="130" t="n"/>
      <c r="C488" s="129" t="n"/>
      <c r="D488" s="129" t="n"/>
      <c r="E488" s="129" t="n"/>
      <c r="F488" s="145" t="n"/>
      <c r="G488" s="129" t="n"/>
      <c r="H488" s="129" t="n"/>
      <c r="I488" s="129" t="n"/>
      <c r="J488" s="138" t="str">
        <f>IF(C488&lt;&gt;"Despesa","",IFERROR(INDEX('Config'!$J$6:$J$40,MATCH(D488,'Config'!$I$6:$I$40,0)),"—"))</f>
        <v/>
      </c>
      <c r="K488" s="138" t="str">
        <f>IF(COUNTA(B488:F488)=0,"",IF(OR(B488="",C488="",D488="",F488=""),"▲ Completar","✔"))</f>
        <v/>
      </c>
    </row>
    <row r="489">
      <c r="B489" s="130" t="n"/>
      <c r="C489" s="129" t="n"/>
      <c r="D489" s="129" t="n"/>
      <c r="E489" s="129" t="n"/>
      <c r="F489" s="145" t="n"/>
      <c r="G489" s="129" t="n"/>
      <c r="H489" s="129" t="n"/>
      <c r="I489" s="129" t="n"/>
      <c r="J489" s="138" t="str">
        <f>IF(C489&lt;&gt;"Despesa","",IFERROR(INDEX('Config'!$J$6:$J$40,MATCH(D489,'Config'!$I$6:$I$40,0)),"—"))</f>
        <v/>
      </c>
      <c r="K489" s="138" t="str">
        <f>IF(COUNTA(B489:F489)=0,"",IF(OR(B489="",C489="",D489="",F489=""),"▲ Completar","✔"))</f>
        <v/>
      </c>
    </row>
    <row r="490">
      <c r="B490" s="130" t="n"/>
      <c r="C490" s="129" t="n"/>
      <c r="D490" s="129" t="n"/>
      <c r="E490" s="129" t="n"/>
      <c r="F490" s="145" t="n"/>
      <c r="G490" s="129" t="n"/>
      <c r="H490" s="129" t="n"/>
      <c r="I490" s="129" t="n"/>
      <c r="J490" s="138" t="str">
        <f>IF(C490&lt;&gt;"Despesa","",IFERROR(INDEX('Config'!$J$6:$J$40,MATCH(D490,'Config'!$I$6:$I$40,0)),"—"))</f>
        <v/>
      </c>
      <c r="K490" s="138" t="str">
        <f>IF(COUNTA(B490:F490)=0,"",IF(OR(B490="",C490="",D490="",F490=""),"▲ Completar","✔"))</f>
        <v/>
      </c>
    </row>
    <row r="491">
      <c r="B491" s="130" t="n"/>
      <c r="C491" s="129" t="n"/>
      <c r="D491" s="129" t="n"/>
      <c r="E491" s="129" t="n"/>
      <c r="F491" s="145" t="n"/>
      <c r="G491" s="129" t="n"/>
      <c r="H491" s="129" t="n"/>
      <c r="I491" s="129" t="n"/>
      <c r="J491" s="138" t="str">
        <f>IF(C491&lt;&gt;"Despesa","",IFERROR(INDEX('Config'!$J$6:$J$40,MATCH(D491,'Config'!$I$6:$I$40,0)),"—"))</f>
        <v/>
      </c>
      <c r="K491" s="138" t="str">
        <f>IF(COUNTA(B491:F491)=0,"",IF(OR(B491="",C491="",D491="",F491=""),"▲ Completar","✔"))</f>
        <v/>
      </c>
    </row>
    <row r="492">
      <c r="B492" s="130" t="n"/>
      <c r="C492" s="129" t="n"/>
      <c r="D492" s="129" t="n"/>
      <c r="E492" s="129" t="n"/>
      <c r="F492" s="145" t="n"/>
      <c r="G492" s="129" t="n"/>
      <c r="H492" s="129" t="n"/>
      <c r="I492" s="129" t="n"/>
      <c r="J492" s="138" t="str">
        <f>IF(C492&lt;&gt;"Despesa","",IFERROR(INDEX('Config'!$J$6:$J$40,MATCH(D492,'Config'!$I$6:$I$40,0)),"—"))</f>
        <v/>
      </c>
      <c r="K492" s="138" t="str">
        <f>IF(COUNTA(B492:F492)=0,"",IF(OR(B492="",C492="",D492="",F492=""),"▲ Completar","✔"))</f>
        <v/>
      </c>
    </row>
    <row r="493">
      <c r="B493" s="130" t="n"/>
      <c r="C493" s="129" t="n"/>
      <c r="D493" s="129" t="n"/>
      <c r="E493" s="129" t="n"/>
      <c r="F493" s="145" t="n"/>
      <c r="G493" s="129" t="n"/>
      <c r="H493" s="129" t="n"/>
      <c r="I493" s="129" t="n"/>
      <c r="J493" s="138" t="str">
        <f>IF(C493&lt;&gt;"Despesa","",IFERROR(INDEX('Config'!$J$6:$J$40,MATCH(D493,'Config'!$I$6:$I$40,0)),"—"))</f>
        <v/>
      </c>
      <c r="K493" s="138" t="str">
        <f>IF(COUNTA(B493:F493)=0,"",IF(OR(B493="",C493="",D493="",F493=""),"▲ Completar","✔"))</f>
        <v/>
      </c>
    </row>
    <row r="494">
      <c r="B494" s="130" t="n"/>
      <c r="C494" s="129" t="n"/>
      <c r="D494" s="129" t="n"/>
      <c r="E494" s="129" t="n"/>
      <c r="F494" s="145" t="n"/>
      <c r="G494" s="129" t="n"/>
      <c r="H494" s="129" t="n"/>
      <c r="I494" s="129" t="n"/>
      <c r="J494" s="138" t="str">
        <f>IF(C494&lt;&gt;"Despesa","",IFERROR(INDEX('Config'!$J$6:$J$40,MATCH(D494,'Config'!$I$6:$I$40,0)),"—"))</f>
        <v/>
      </c>
      <c r="K494" s="138" t="str">
        <f>IF(COUNTA(B494:F494)=0,"",IF(OR(B494="",C494="",D494="",F494=""),"▲ Completar","✔"))</f>
        <v/>
      </c>
    </row>
    <row r="495">
      <c r="B495" s="130" t="n"/>
      <c r="C495" s="129" t="n"/>
      <c r="D495" s="129" t="n"/>
      <c r="E495" s="129" t="n"/>
      <c r="F495" s="145" t="n"/>
      <c r="G495" s="129" t="n"/>
      <c r="H495" s="129" t="n"/>
      <c r="I495" s="129" t="n"/>
      <c r="J495" s="138" t="str">
        <f>IF(C495&lt;&gt;"Despesa","",IFERROR(INDEX('Config'!$J$6:$J$40,MATCH(D495,'Config'!$I$6:$I$40,0)),"—"))</f>
        <v/>
      </c>
      <c r="K495" s="138" t="str">
        <f>IF(COUNTA(B495:F495)=0,"",IF(OR(B495="",C495="",D495="",F495=""),"▲ Completar","✔"))</f>
        <v/>
      </c>
    </row>
    <row r="496">
      <c r="B496" s="130" t="n"/>
      <c r="C496" s="129" t="n"/>
      <c r="D496" s="129" t="n"/>
      <c r="E496" s="129" t="n"/>
      <c r="F496" s="145" t="n"/>
      <c r="G496" s="129" t="n"/>
      <c r="H496" s="129" t="n"/>
      <c r="I496" s="129" t="n"/>
      <c r="J496" s="138" t="str">
        <f>IF(C496&lt;&gt;"Despesa","",IFERROR(INDEX('Config'!$J$6:$J$40,MATCH(D496,'Config'!$I$6:$I$40,0)),"—"))</f>
        <v/>
      </c>
      <c r="K496" s="138" t="str">
        <f>IF(COUNTA(B496:F496)=0,"",IF(OR(B496="",C496="",D496="",F496=""),"▲ Completar","✔"))</f>
        <v/>
      </c>
    </row>
    <row r="497">
      <c r="B497" s="130" t="n"/>
      <c r="C497" s="129" t="n"/>
      <c r="D497" s="129" t="n"/>
      <c r="E497" s="129" t="n"/>
      <c r="F497" s="145" t="n"/>
      <c r="G497" s="129" t="n"/>
      <c r="H497" s="129" t="n"/>
      <c r="I497" s="129" t="n"/>
      <c r="J497" s="138" t="str">
        <f>IF(C497&lt;&gt;"Despesa","",IFERROR(INDEX('Config'!$J$6:$J$40,MATCH(D497,'Config'!$I$6:$I$40,0)),"—"))</f>
        <v/>
      </c>
      <c r="K497" s="138" t="str">
        <f>IF(COUNTA(B497:F497)=0,"",IF(OR(B497="",C497="",D497="",F497=""),"▲ Completar","✔"))</f>
        <v/>
      </c>
    </row>
    <row r="498">
      <c r="B498" s="130" t="n"/>
      <c r="C498" s="129" t="n"/>
      <c r="D498" s="129" t="n"/>
      <c r="E498" s="129" t="n"/>
      <c r="F498" s="145" t="n"/>
      <c r="G498" s="129" t="n"/>
      <c r="H498" s="129" t="n"/>
      <c r="I498" s="129" t="n"/>
      <c r="J498" s="138" t="str">
        <f>IF(C498&lt;&gt;"Despesa","",IFERROR(INDEX('Config'!$J$6:$J$40,MATCH(D498,'Config'!$I$6:$I$40,0)),"—"))</f>
        <v/>
      </c>
      <c r="K498" s="138" t="str">
        <f>IF(COUNTA(B498:F498)=0,"",IF(OR(B498="",C498="",D498="",F498=""),"▲ Completar","✔"))</f>
        <v/>
      </c>
    </row>
    <row r="499">
      <c r="B499" s="130" t="n"/>
      <c r="C499" s="129" t="n"/>
      <c r="D499" s="129" t="n"/>
      <c r="E499" s="129" t="n"/>
      <c r="F499" s="145" t="n"/>
      <c r="G499" s="129" t="n"/>
      <c r="H499" s="129" t="n"/>
      <c r="I499" s="129" t="n"/>
      <c r="J499" s="138" t="str">
        <f>IF(C499&lt;&gt;"Despesa","",IFERROR(INDEX('Config'!$J$6:$J$40,MATCH(D499,'Config'!$I$6:$I$40,0)),"—"))</f>
        <v/>
      </c>
      <c r="K499" s="138" t="str">
        <f>IF(COUNTA(B499:F499)=0,"",IF(OR(B499="",C499="",D499="",F499=""),"▲ Completar","✔"))</f>
        <v/>
      </c>
    </row>
    <row r="500">
      <c r="B500" s="130" t="n"/>
      <c r="C500" s="129" t="n"/>
      <c r="D500" s="129" t="n"/>
      <c r="E500" s="129" t="n"/>
      <c r="F500" s="145" t="n"/>
      <c r="G500" s="129" t="n"/>
      <c r="H500" s="129" t="n"/>
      <c r="I500" s="129" t="n"/>
      <c r="J500" s="138" t="str">
        <f>IF(C500&lt;&gt;"Despesa","",IFERROR(INDEX('Config'!$J$6:$J$40,MATCH(D500,'Config'!$I$6:$I$40,0)),"—"))</f>
        <v/>
      </c>
      <c r="K500" s="138" t="str">
        <f>IF(COUNTA(B500:F500)=0,"",IF(OR(B500="",C500="",D500="",F500=""),"▲ Completar","✔"))</f>
        <v/>
      </c>
    </row>
    <row r="501">
      <c r="B501" s="130" t="n"/>
      <c r="C501" s="129" t="n"/>
      <c r="D501" s="129" t="n"/>
      <c r="E501" s="129" t="n"/>
      <c r="F501" s="145" t="n"/>
      <c r="G501" s="129" t="n"/>
      <c r="H501" s="129" t="n"/>
      <c r="I501" s="129" t="n"/>
      <c r="J501" s="138" t="str">
        <f>IF(C501&lt;&gt;"Despesa","",IFERROR(INDEX('Config'!$J$6:$J$40,MATCH(D501,'Config'!$I$6:$I$40,0)),"—"))</f>
        <v/>
      </c>
      <c r="K501" s="138" t="str">
        <f>IF(COUNTA(B501:F501)=0,"",IF(OR(B501="",C501="",D501="",F501=""),"▲ Completar","✔"))</f>
        <v/>
      </c>
    </row>
    <row r="502">
      <c r="B502" s="130" t="n"/>
      <c r="C502" s="129" t="n"/>
      <c r="D502" s="129" t="n"/>
      <c r="E502" s="129" t="n"/>
      <c r="F502" s="145" t="n"/>
      <c r="G502" s="129" t="n"/>
      <c r="H502" s="129" t="n"/>
      <c r="I502" s="129" t="n"/>
      <c r="J502" s="138" t="str">
        <f>IF(C502&lt;&gt;"Despesa","",IFERROR(INDEX('Config'!$J$6:$J$40,MATCH(D502,'Config'!$I$6:$I$40,0)),"—"))</f>
        <v/>
      </c>
      <c r="K502" s="138" t="str">
        <f>IF(COUNTA(B502:F502)=0,"",IF(OR(B502="",C502="",D502="",F502=""),"▲ Completar","✔"))</f>
        <v/>
      </c>
    </row>
    <row r="503">
      <c r="B503" s="130" t="n"/>
      <c r="C503" s="129" t="n"/>
      <c r="D503" s="129" t="n"/>
      <c r="E503" s="129" t="n"/>
      <c r="F503" s="145" t="n"/>
      <c r="G503" s="129" t="n"/>
      <c r="H503" s="129" t="n"/>
      <c r="I503" s="129" t="n"/>
      <c r="J503" s="138" t="str">
        <f>IF(C503&lt;&gt;"Despesa","",IFERROR(INDEX('Config'!$J$6:$J$40,MATCH(D503,'Config'!$I$6:$I$40,0)),"—"))</f>
        <v/>
      </c>
      <c r="K503" s="138" t="str">
        <f>IF(COUNTA(B503:F503)=0,"",IF(OR(B503="",C503="",D503="",F503=""),"▲ Completar","✔"))</f>
        <v/>
      </c>
    </row>
    <row r="504">
      <c r="B504" s="130" t="n"/>
      <c r="C504" s="129" t="n"/>
      <c r="D504" s="129" t="n"/>
      <c r="E504" s="129" t="n"/>
      <c r="F504" s="145" t="n"/>
      <c r="G504" s="129" t="n"/>
      <c r="H504" s="129" t="n"/>
      <c r="I504" s="129" t="n"/>
      <c r="J504" s="138" t="str">
        <f>IF(C504&lt;&gt;"Despesa","",IFERROR(INDEX('Config'!$J$6:$J$40,MATCH(D504,'Config'!$I$6:$I$40,0)),"—"))</f>
        <v/>
      </c>
      <c r="K504" s="138" t="str">
        <f>IF(COUNTA(B504:F504)=0,"",IF(OR(B504="",C504="",D504="",F504=""),"▲ Completar","✔"))</f>
        <v/>
      </c>
    </row>
    <row r="505">
      <c r="B505" s="130" t="n"/>
      <c r="C505" s="129" t="n"/>
      <c r="D505" s="129" t="n"/>
      <c r="E505" s="129" t="n"/>
      <c r="F505" s="145" t="n"/>
      <c r="G505" s="129" t="n"/>
      <c r="H505" s="129" t="n"/>
      <c r="I505" s="129" t="n"/>
      <c r="J505" s="138" t="str">
        <f>IF(C505&lt;&gt;"Despesa","",IFERROR(INDEX('Config'!$J$6:$J$40,MATCH(D505,'Config'!$I$6:$I$40,0)),"—"))</f>
        <v/>
      </c>
      <c r="K505" s="138" t="str">
        <f>IF(COUNTA(B505:F505)=0,"",IF(OR(B505="",C505="",D505="",F505=""),"▲ Completar","✔"))</f>
        <v/>
      </c>
    </row>
    <row r="506">
      <c r="B506" s="130" t="n"/>
      <c r="C506" s="129" t="n"/>
      <c r="D506" s="129" t="n"/>
      <c r="E506" s="129" t="n"/>
      <c r="F506" s="145" t="n"/>
      <c r="G506" s="129" t="n"/>
      <c r="H506" s="129" t="n"/>
      <c r="I506" s="129" t="n"/>
      <c r="J506" s="138" t="str">
        <f>IF(C506&lt;&gt;"Despesa","",IFERROR(INDEX('Config'!$J$6:$J$40,MATCH(D506,'Config'!$I$6:$I$40,0)),"—"))</f>
        <v/>
      </c>
      <c r="K506" s="138" t="str">
        <f>IF(COUNTA(B506:F506)=0,"",IF(OR(B506="",C506="",D506="",F506=""),"▲ Completar","✔"))</f>
        <v/>
      </c>
    </row>
    <row r="507">
      <c r="B507" s="130" t="n"/>
      <c r="C507" s="129" t="n"/>
      <c r="D507" s="129" t="n"/>
      <c r="E507" s="129" t="n"/>
      <c r="F507" s="145" t="n"/>
      <c r="G507" s="129" t="n"/>
      <c r="H507" s="129" t="n"/>
      <c r="I507" s="129" t="n"/>
      <c r="J507" s="138" t="str">
        <f>IF(C507&lt;&gt;"Despesa","",IFERROR(INDEX('Config'!$J$6:$J$40,MATCH(D507,'Config'!$I$6:$I$40,0)),"—"))</f>
        <v/>
      </c>
      <c r="K507" s="138" t="str">
        <f>IF(COUNTA(B507:F507)=0,"",IF(OR(B507="",C507="",D507="",F507=""),"▲ Completar","✔"))</f>
        <v/>
      </c>
    </row>
    <row r="508">
      <c r="B508" s="130" t="n"/>
      <c r="C508" s="129" t="n"/>
      <c r="D508" s="129" t="n"/>
      <c r="E508" s="129" t="n"/>
      <c r="F508" s="145" t="n"/>
      <c r="G508" s="129" t="n"/>
      <c r="H508" s="129" t="n"/>
      <c r="I508" s="129" t="n"/>
      <c r="J508" s="138" t="str">
        <f>IF(C508&lt;&gt;"Despesa","",IFERROR(INDEX('Config'!$J$6:$J$40,MATCH(D508,'Config'!$I$6:$I$40,0)),"—"))</f>
        <v/>
      </c>
      <c r="K508" s="138" t="str">
        <f>IF(COUNTA(B508:F508)=0,"",IF(OR(B508="",C508="",D508="",F508=""),"▲ Completar","✔"))</f>
        <v/>
      </c>
    </row>
    <row r="509">
      <c r="B509" s="130" t="n"/>
      <c r="C509" s="129" t="n"/>
      <c r="D509" s="129" t="n"/>
      <c r="E509" s="129" t="n"/>
      <c r="F509" s="145" t="n"/>
      <c r="G509" s="129" t="n"/>
      <c r="H509" s="129" t="n"/>
      <c r="I509" s="129" t="n"/>
      <c r="J509" s="138" t="str">
        <f>IF(C509&lt;&gt;"Despesa","",IFERROR(INDEX('Config'!$J$6:$J$40,MATCH(D509,'Config'!$I$6:$I$40,0)),"—"))</f>
        <v/>
      </c>
      <c r="K509" s="138" t="str">
        <f>IF(COUNTA(B509:F509)=0,"",IF(OR(B509="",C509="",D509="",F509=""),"▲ Completar","✔"))</f>
        <v/>
      </c>
    </row>
    <row r="510">
      <c r="B510" s="130" t="n"/>
      <c r="C510" s="129" t="n"/>
      <c r="D510" s="129" t="n"/>
      <c r="E510" s="129" t="n"/>
      <c r="F510" s="145" t="n"/>
      <c r="G510" s="129" t="n"/>
      <c r="H510" s="129" t="n"/>
      <c r="I510" s="129" t="n"/>
      <c r="J510" s="138" t="str">
        <f>IF(C510&lt;&gt;"Despesa","",IFERROR(INDEX('Config'!$J$6:$J$40,MATCH(D510,'Config'!$I$6:$I$40,0)),"—"))</f>
        <v/>
      </c>
      <c r="K510" s="138" t="str">
        <f>IF(COUNTA(B510:F510)=0,"",IF(OR(B510="",C510="",D510="",F510=""),"▲ Completar","✔"))</f>
        <v/>
      </c>
    </row>
    <row r="511">
      <c r="B511" s="130" t="n"/>
      <c r="C511" s="129" t="n"/>
      <c r="D511" s="129" t="n"/>
      <c r="E511" s="129" t="n"/>
      <c r="F511" s="145" t="n"/>
      <c r="G511" s="129" t="n"/>
      <c r="H511" s="129" t="n"/>
      <c r="I511" s="129" t="n"/>
      <c r="J511" s="138" t="str">
        <f>IF(C511&lt;&gt;"Despesa","",IFERROR(INDEX('Config'!$J$6:$J$40,MATCH(D511,'Config'!$I$6:$I$40,0)),"—"))</f>
        <v/>
      </c>
      <c r="K511" s="138" t="str">
        <f>IF(COUNTA(B511:F511)=0,"",IF(OR(B511="",C511="",D511="",F511=""),"▲ Completar","✔"))</f>
        <v/>
      </c>
    </row>
    <row r="512">
      <c r="B512" s="130" t="n"/>
      <c r="C512" s="129" t="n"/>
      <c r="D512" s="129" t="n"/>
      <c r="E512" s="129" t="n"/>
      <c r="F512" s="145" t="n"/>
      <c r="G512" s="129" t="n"/>
      <c r="H512" s="129" t="n"/>
      <c r="I512" s="129" t="n"/>
      <c r="J512" s="138" t="str">
        <f>IF(C512&lt;&gt;"Despesa","",IFERROR(INDEX('Config'!$J$6:$J$40,MATCH(D512,'Config'!$I$6:$I$40,0)),"—"))</f>
        <v/>
      </c>
      <c r="K512" s="138" t="str">
        <f>IF(COUNTA(B512:F512)=0,"",IF(OR(B512="",C512="",D512="",F512=""),"▲ Completar","✔"))</f>
        <v/>
      </c>
    </row>
    <row r="513">
      <c r="B513" s="130" t="n"/>
      <c r="C513" s="129" t="n"/>
      <c r="D513" s="129" t="n"/>
      <c r="E513" s="129" t="n"/>
      <c r="F513" s="145" t="n"/>
      <c r="G513" s="129" t="n"/>
      <c r="H513" s="129" t="n"/>
      <c r="I513" s="129" t="n"/>
      <c r="J513" s="138" t="str">
        <f>IF(C513&lt;&gt;"Despesa","",IFERROR(INDEX('Config'!$J$6:$J$40,MATCH(D513,'Config'!$I$6:$I$40,0)),"—"))</f>
        <v/>
      </c>
      <c r="K513" s="138" t="str">
        <f>IF(COUNTA(B513:F513)=0,"",IF(OR(B513="",C513="",D513="",F513=""),"▲ Completar","✔"))</f>
        <v/>
      </c>
    </row>
    <row r="514">
      <c r="B514" s="130" t="n"/>
      <c r="C514" s="129" t="n"/>
      <c r="D514" s="129" t="n"/>
      <c r="E514" s="129" t="n"/>
      <c r="F514" s="145" t="n"/>
      <c r="G514" s="129" t="n"/>
      <c r="H514" s="129" t="n"/>
      <c r="I514" s="129" t="n"/>
      <c r="J514" s="138" t="str">
        <f>IF(C514&lt;&gt;"Despesa","",IFERROR(INDEX('Config'!$J$6:$J$40,MATCH(D514,'Config'!$I$6:$I$40,0)),"—"))</f>
        <v/>
      </c>
      <c r="K514" s="138" t="str">
        <f>IF(COUNTA(B514:F514)=0,"",IF(OR(B514="",C514="",D514="",F514=""),"▲ Completar","✔"))</f>
        <v/>
      </c>
    </row>
    <row r="515">
      <c r="B515" s="130" t="n"/>
      <c r="C515" s="129" t="n"/>
      <c r="D515" s="129" t="n"/>
      <c r="E515" s="129" t="n"/>
      <c r="F515" s="145" t="n"/>
      <c r="G515" s="129" t="n"/>
      <c r="H515" s="129" t="n"/>
      <c r="I515" s="129" t="n"/>
      <c r="J515" s="138" t="str">
        <f>IF(C515&lt;&gt;"Despesa","",IFERROR(INDEX('Config'!$J$6:$J$40,MATCH(D515,'Config'!$I$6:$I$40,0)),"—"))</f>
        <v/>
      </c>
      <c r="K515" s="138" t="str">
        <f>IF(COUNTA(B515:F515)=0,"",IF(OR(B515="",C515="",D515="",F515=""),"▲ Completar","✔"))</f>
        <v/>
      </c>
    </row>
    <row r="516">
      <c r="B516" s="130" t="n"/>
      <c r="C516" s="129" t="n"/>
      <c r="D516" s="129" t="n"/>
      <c r="E516" s="129" t="n"/>
      <c r="F516" s="145" t="n"/>
      <c r="G516" s="129" t="n"/>
      <c r="H516" s="129" t="n"/>
      <c r="I516" s="129" t="n"/>
      <c r="J516" s="138" t="str">
        <f>IF(C516&lt;&gt;"Despesa","",IFERROR(INDEX('Config'!$J$6:$J$40,MATCH(D516,'Config'!$I$6:$I$40,0)),"—"))</f>
        <v/>
      </c>
      <c r="K516" s="138" t="str">
        <f>IF(COUNTA(B516:F516)=0,"",IF(OR(B516="",C516="",D516="",F516=""),"▲ Completar","✔"))</f>
        <v/>
      </c>
    </row>
    <row r="517">
      <c r="B517" s="130" t="n"/>
      <c r="C517" s="129" t="n"/>
      <c r="D517" s="129" t="n"/>
      <c r="E517" s="129" t="n"/>
      <c r="F517" s="145" t="n"/>
      <c r="G517" s="129" t="n"/>
      <c r="H517" s="129" t="n"/>
      <c r="I517" s="129" t="n"/>
      <c r="J517" s="138" t="str">
        <f>IF(C517&lt;&gt;"Despesa","",IFERROR(INDEX('Config'!$J$6:$J$40,MATCH(D517,'Config'!$I$6:$I$40,0)),"—"))</f>
        <v/>
      </c>
      <c r="K517" s="138" t="str">
        <f>IF(COUNTA(B517:F517)=0,"",IF(OR(B517="",C517="",D517="",F517=""),"▲ Completar","✔"))</f>
        <v/>
      </c>
    </row>
    <row r="518">
      <c r="B518" s="130" t="n"/>
      <c r="C518" s="129" t="n"/>
      <c r="D518" s="129" t="n"/>
      <c r="E518" s="129" t="n"/>
      <c r="F518" s="145" t="n"/>
      <c r="G518" s="129" t="n"/>
      <c r="H518" s="129" t="n"/>
      <c r="I518" s="129" t="n"/>
      <c r="J518" s="138" t="str">
        <f>IF(C518&lt;&gt;"Despesa","",IFERROR(INDEX('Config'!$J$6:$J$40,MATCH(D518,'Config'!$I$6:$I$40,0)),"—"))</f>
        <v/>
      </c>
      <c r="K518" s="138" t="str">
        <f>IF(COUNTA(B518:F518)=0,"",IF(OR(B518="",C518="",D518="",F518=""),"▲ Completar","✔"))</f>
        <v/>
      </c>
    </row>
    <row r="519">
      <c r="B519" s="130" t="n"/>
      <c r="C519" s="129" t="n"/>
      <c r="D519" s="129" t="n"/>
      <c r="E519" s="129" t="n"/>
      <c r="F519" s="145" t="n"/>
      <c r="G519" s="129" t="n"/>
      <c r="H519" s="129" t="n"/>
      <c r="I519" s="129" t="n"/>
      <c r="J519" s="138" t="str">
        <f>IF(C519&lt;&gt;"Despesa","",IFERROR(INDEX('Config'!$J$6:$J$40,MATCH(D519,'Config'!$I$6:$I$40,0)),"—"))</f>
        <v/>
      </c>
      <c r="K519" s="138" t="str">
        <f>IF(COUNTA(B519:F519)=0,"",IF(OR(B519="",C519="",D519="",F519=""),"▲ Completar","✔"))</f>
        <v/>
      </c>
    </row>
    <row r="520">
      <c r="B520" s="130" t="n"/>
      <c r="C520" s="129" t="n"/>
      <c r="D520" s="129" t="n"/>
      <c r="E520" s="129" t="n"/>
      <c r="F520" s="145" t="n"/>
      <c r="G520" s="129" t="n"/>
      <c r="H520" s="129" t="n"/>
      <c r="I520" s="129" t="n"/>
      <c r="J520" s="138" t="str">
        <f>IF(C520&lt;&gt;"Despesa","",IFERROR(INDEX('Config'!$J$6:$J$40,MATCH(D520,'Config'!$I$6:$I$40,0)),"—"))</f>
        <v/>
      </c>
      <c r="K520" s="138" t="str">
        <f>IF(COUNTA(B520:F520)=0,"",IF(OR(B520="",C520="",D520="",F520=""),"▲ Completar","✔"))</f>
        <v/>
      </c>
    </row>
    <row r="521">
      <c r="B521" s="130" t="n"/>
      <c r="C521" s="129" t="n"/>
      <c r="D521" s="129" t="n"/>
      <c r="E521" s="129" t="n"/>
      <c r="F521" s="145" t="n"/>
      <c r="G521" s="129" t="n"/>
      <c r="H521" s="129" t="n"/>
      <c r="I521" s="129" t="n"/>
      <c r="J521" s="138" t="str">
        <f>IF(C521&lt;&gt;"Despesa","",IFERROR(INDEX('Config'!$J$6:$J$40,MATCH(D521,'Config'!$I$6:$I$40,0)),"—"))</f>
        <v/>
      </c>
      <c r="K521" s="138" t="str">
        <f>IF(COUNTA(B521:F521)=0,"",IF(OR(B521="",C521="",D521="",F521=""),"▲ Completar","✔"))</f>
        <v/>
      </c>
    </row>
    <row r="522">
      <c r="B522" s="130" t="n"/>
      <c r="C522" s="129" t="n"/>
      <c r="D522" s="129" t="n"/>
      <c r="E522" s="129" t="n"/>
      <c r="F522" s="145" t="n"/>
      <c r="G522" s="129" t="n"/>
      <c r="H522" s="129" t="n"/>
      <c r="I522" s="129" t="n"/>
      <c r="J522" s="138" t="str">
        <f>IF(C522&lt;&gt;"Despesa","",IFERROR(INDEX('Config'!$J$6:$J$40,MATCH(D522,'Config'!$I$6:$I$40,0)),"—"))</f>
        <v/>
      </c>
      <c r="K522" s="138" t="str">
        <f>IF(COUNTA(B522:F522)=0,"",IF(OR(B522="",C522="",D522="",F522=""),"▲ Completar","✔"))</f>
        <v/>
      </c>
    </row>
    <row r="523">
      <c r="B523" s="130" t="n"/>
      <c r="C523" s="129" t="n"/>
      <c r="D523" s="129" t="n"/>
      <c r="E523" s="129" t="n"/>
      <c r="F523" s="145" t="n"/>
      <c r="G523" s="129" t="n"/>
      <c r="H523" s="129" t="n"/>
      <c r="I523" s="129" t="n"/>
      <c r="J523" s="138" t="str">
        <f>IF(C523&lt;&gt;"Despesa","",IFERROR(INDEX('Config'!$J$6:$J$40,MATCH(D523,'Config'!$I$6:$I$40,0)),"—"))</f>
        <v/>
      </c>
      <c r="K523" s="138" t="str">
        <f>IF(COUNTA(B523:F523)=0,"",IF(OR(B523="",C523="",D523="",F523=""),"▲ Completar","✔"))</f>
        <v/>
      </c>
    </row>
    <row r="524">
      <c r="B524" s="130" t="n"/>
      <c r="C524" s="129" t="n"/>
      <c r="D524" s="129" t="n"/>
      <c r="E524" s="129" t="n"/>
      <c r="F524" s="145" t="n"/>
      <c r="G524" s="129" t="n"/>
      <c r="H524" s="129" t="n"/>
      <c r="I524" s="129" t="n"/>
      <c r="J524" s="138" t="str">
        <f>IF(C524&lt;&gt;"Despesa","",IFERROR(INDEX('Config'!$J$6:$J$40,MATCH(D524,'Config'!$I$6:$I$40,0)),"—"))</f>
        <v/>
      </c>
      <c r="K524" s="138" t="str">
        <f>IF(COUNTA(B524:F524)=0,"",IF(OR(B524="",C524="",D524="",F524=""),"▲ Completar","✔"))</f>
        <v/>
      </c>
    </row>
    <row r="525">
      <c r="B525" s="130" t="n"/>
      <c r="C525" s="129" t="n"/>
      <c r="D525" s="129" t="n"/>
      <c r="E525" s="129" t="n"/>
      <c r="F525" s="145" t="n"/>
      <c r="G525" s="129" t="n"/>
      <c r="H525" s="129" t="n"/>
      <c r="I525" s="129" t="n"/>
      <c r="J525" s="138" t="str">
        <f>IF(C525&lt;&gt;"Despesa","",IFERROR(INDEX('Config'!$J$6:$J$40,MATCH(D525,'Config'!$I$6:$I$40,0)),"—"))</f>
        <v/>
      </c>
      <c r="K525" s="138" t="str">
        <f>IF(COUNTA(B525:F525)=0,"",IF(OR(B525="",C525="",D525="",F525=""),"▲ Completar","✔"))</f>
        <v/>
      </c>
    </row>
    <row r="526">
      <c r="B526" s="130" t="n"/>
      <c r="C526" s="129" t="n"/>
      <c r="D526" s="129" t="n"/>
      <c r="E526" s="129" t="n"/>
      <c r="F526" s="145" t="n"/>
      <c r="G526" s="129" t="n"/>
      <c r="H526" s="129" t="n"/>
      <c r="I526" s="129" t="n"/>
      <c r="J526" s="138" t="str">
        <f>IF(C526&lt;&gt;"Despesa","",IFERROR(INDEX('Config'!$J$6:$J$40,MATCH(D526,'Config'!$I$6:$I$40,0)),"—"))</f>
        <v/>
      </c>
      <c r="K526" s="138" t="str">
        <f>IF(COUNTA(B526:F526)=0,"",IF(OR(B526="",C526="",D526="",F526=""),"▲ Completar","✔"))</f>
        <v/>
      </c>
    </row>
    <row r="527">
      <c r="B527" s="130" t="n"/>
      <c r="C527" s="129" t="n"/>
      <c r="D527" s="129" t="n"/>
      <c r="E527" s="129" t="n"/>
      <c r="F527" s="145" t="n"/>
      <c r="G527" s="129" t="n"/>
      <c r="H527" s="129" t="n"/>
      <c r="I527" s="129" t="n"/>
      <c r="J527" s="138" t="str">
        <f>IF(C527&lt;&gt;"Despesa","",IFERROR(INDEX('Config'!$J$6:$J$40,MATCH(D527,'Config'!$I$6:$I$40,0)),"—"))</f>
        <v/>
      </c>
      <c r="K527" s="138" t="str">
        <f>IF(COUNTA(B527:F527)=0,"",IF(OR(B527="",C527="",D527="",F527=""),"▲ Completar","✔"))</f>
        <v/>
      </c>
    </row>
    <row r="528">
      <c r="B528" s="130" t="n"/>
      <c r="C528" s="129" t="n"/>
      <c r="D528" s="129" t="n"/>
      <c r="E528" s="129" t="n"/>
      <c r="F528" s="145" t="n"/>
      <c r="G528" s="129" t="n"/>
      <c r="H528" s="129" t="n"/>
      <c r="I528" s="129" t="n"/>
      <c r="J528" s="138" t="str">
        <f>IF(C528&lt;&gt;"Despesa","",IFERROR(INDEX('Config'!$J$6:$J$40,MATCH(D528,'Config'!$I$6:$I$40,0)),"—"))</f>
        <v/>
      </c>
      <c r="K528" s="138" t="str">
        <f>IF(COUNTA(B528:F528)=0,"",IF(OR(B528="",C528="",D528="",F528=""),"▲ Completar","✔"))</f>
        <v/>
      </c>
    </row>
    <row r="529">
      <c r="B529" s="130" t="n"/>
      <c r="C529" s="129" t="n"/>
      <c r="D529" s="129" t="n"/>
      <c r="E529" s="129" t="n"/>
      <c r="F529" s="145" t="n"/>
      <c r="G529" s="129" t="n"/>
      <c r="H529" s="129" t="n"/>
      <c r="I529" s="129" t="n"/>
      <c r="J529" s="138" t="str">
        <f>IF(C529&lt;&gt;"Despesa","",IFERROR(INDEX('Config'!$J$6:$J$40,MATCH(D529,'Config'!$I$6:$I$40,0)),"—"))</f>
        <v/>
      </c>
      <c r="K529" s="138" t="str">
        <f>IF(COUNTA(B529:F529)=0,"",IF(OR(B529="",C529="",D529="",F529=""),"▲ Completar","✔"))</f>
        <v/>
      </c>
    </row>
    <row r="530">
      <c r="B530" s="130" t="n"/>
      <c r="C530" s="129" t="n"/>
      <c r="D530" s="129" t="n"/>
      <c r="E530" s="129" t="n"/>
      <c r="F530" s="145" t="n"/>
      <c r="G530" s="129" t="n"/>
      <c r="H530" s="129" t="n"/>
      <c r="I530" s="129" t="n"/>
      <c r="J530" s="138" t="str">
        <f>IF(C530&lt;&gt;"Despesa","",IFERROR(INDEX('Config'!$J$6:$J$40,MATCH(D530,'Config'!$I$6:$I$40,0)),"—"))</f>
        <v/>
      </c>
      <c r="K530" s="138" t="str">
        <f>IF(COUNTA(B530:F530)=0,"",IF(OR(B530="",C530="",D530="",F530=""),"▲ Completar","✔"))</f>
        <v/>
      </c>
    </row>
    <row r="531">
      <c r="B531" s="130" t="n"/>
      <c r="C531" s="129" t="n"/>
      <c r="D531" s="129" t="n"/>
      <c r="E531" s="129" t="n"/>
      <c r="F531" s="145" t="n"/>
      <c r="G531" s="129" t="n"/>
      <c r="H531" s="129" t="n"/>
      <c r="I531" s="129" t="n"/>
      <c r="J531" s="138" t="str">
        <f>IF(C531&lt;&gt;"Despesa","",IFERROR(INDEX('Config'!$J$6:$J$40,MATCH(D531,'Config'!$I$6:$I$40,0)),"—"))</f>
        <v/>
      </c>
      <c r="K531" s="138" t="str">
        <f>IF(COUNTA(B531:F531)=0,"",IF(OR(B531="",C531="",D531="",F531=""),"▲ Completar","✔"))</f>
        <v/>
      </c>
    </row>
    <row r="532">
      <c r="B532" s="130" t="n"/>
      <c r="C532" s="129" t="n"/>
      <c r="D532" s="129" t="n"/>
      <c r="E532" s="129" t="n"/>
      <c r="F532" s="145" t="n"/>
      <c r="G532" s="129" t="n"/>
      <c r="H532" s="129" t="n"/>
      <c r="I532" s="129" t="n"/>
      <c r="J532" s="138" t="str">
        <f>IF(C532&lt;&gt;"Despesa","",IFERROR(INDEX('Config'!$J$6:$J$40,MATCH(D532,'Config'!$I$6:$I$40,0)),"—"))</f>
        <v/>
      </c>
      <c r="K532" s="138" t="str">
        <f>IF(COUNTA(B532:F532)=0,"",IF(OR(B532="",C532="",D532="",F532=""),"▲ Completar","✔"))</f>
        <v/>
      </c>
    </row>
    <row r="533">
      <c r="B533" s="130" t="n"/>
      <c r="C533" s="129" t="n"/>
      <c r="D533" s="129" t="n"/>
      <c r="E533" s="129" t="n"/>
      <c r="F533" s="145" t="n"/>
      <c r="G533" s="129" t="n"/>
      <c r="H533" s="129" t="n"/>
      <c r="I533" s="129" t="n"/>
      <c r="J533" s="138" t="str">
        <f>IF(C533&lt;&gt;"Despesa","",IFERROR(INDEX('Config'!$J$6:$J$40,MATCH(D533,'Config'!$I$6:$I$40,0)),"—"))</f>
        <v/>
      </c>
      <c r="K533" s="138" t="str">
        <f>IF(COUNTA(B533:F533)=0,"",IF(OR(B533="",C533="",D533="",F533=""),"▲ Completar","✔"))</f>
        <v/>
      </c>
    </row>
    <row r="534">
      <c r="B534" s="130" t="n"/>
      <c r="C534" s="129" t="n"/>
      <c r="D534" s="129" t="n"/>
      <c r="E534" s="129" t="n"/>
      <c r="F534" s="145" t="n"/>
      <c r="G534" s="129" t="n"/>
      <c r="H534" s="129" t="n"/>
      <c r="I534" s="129" t="n"/>
      <c r="J534" s="138" t="str">
        <f>IF(C534&lt;&gt;"Despesa","",IFERROR(INDEX('Config'!$J$6:$J$40,MATCH(D534,'Config'!$I$6:$I$40,0)),"—"))</f>
        <v/>
      </c>
      <c r="K534" s="138" t="str">
        <f>IF(COUNTA(B534:F534)=0,"",IF(OR(B534="",C534="",D534="",F534=""),"▲ Completar","✔"))</f>
        <v/>
      </c>
    </row>
    <row r="535">
      <c r="B535" s="130" t="n"/>
      <c r="C535" s="129" t="n"/>
      <c r="D535" s="129" t="n"/>
      <c r="E535" s="129" t="n"/>
      <c r="F535" s="145" t="n"/>
      <c r="G535" s="129" t="n"/>
      <c r="H535" s="129" t="n"/>
      <c r="I535" s="129" t="n"/>
      <c r="J535" s="138" t="str">
        <f>IF(C535&lt;&gt;"Despesa","",IFERROR(INDEX('Config'!$J$6:$J$40,MATCH(D535,'Config'!$I$6:$I$40,0)),"—"))</f>
        <v/>
      </c>
      <c r="K535" s="138" t="str">
        <f>IF(COUNTA(B535:F535)=0,"",IF(OR(B535="",C535="",D535="",F535=""),"▲ Completar","✔"))</f>
        <v/>
      </c>
    </row>
    <row r="536">
      <c r="B536" s="130" t="n"/>
      <c r="C536" s="129" t="n"/>
      <c r="D536" s="129" t="n"/>
      <c r="E536" s="129" t="n"/>
      <c r="F536" s="145" t="n"/>
      <c r="G536" s="129" t="n"/>
      <c r="H536" s="129" t="n"/>
      <c r="I536" s="129" t="n"/>
      <c r="J536" s="138" t="str">
        <f>IF(C536&lt;&gt;"Despesa","",IFERROR(INDEX('Config'!$J$6:$J$40,MATCH(D536,'Config'!$I$6:$I$40,0)),"—"))</f>
        <v/>
      </c>
      <c r="K536" s="138" t="str">
        <f>IF(COUNTA(B536:F536)=0,"",IF(OR(B536="",C536="",D536="",F536=""),"▲ Completar","✔"))</f>
        <v/>
      </c>
    </row>
    <row r="537">
      <c r="B537" s="130" t="n"/>
      <c r="C537" s="129" t="n"/>
      <c r="D537" s="129" t="n"/>
      <c r="E537" s="129" t="n"/>
      <c r="F537" s="145" t="n"/>
      <c r="G537" s="129" t="n"/>
      <c r="H537" s="129" t="n"/>
      <c r="I537" s="129" t="n"/>
      <c r="J537" s="138" t="str">
        <f>IF(C537&lt;&gt;"Despesa","",IFERROR(INDEX('Config'!$J$6:$J$40,MATCH(D537,'Config'!$I$6:$I$40,0)),"—"))</f>
        <v/>
      </c>
      <c r="K537" s="138" t="str">
        <f>IF(COUNTA(B537:F537)=0,"",IF(OR(B537="",C537="",D537="",F537=""),"▲ Completar","✔"))</f>
        <v/>
      </c>
    </row>
    <row r="538">
      <c r="B538" s="130" t="n"/>
      <c r="C538" s="129" t="n"/>
      <c r="D538" s="129" t="n"/>
      <c r="E538" s="129" t="n"/>
      <c r="F538" s="145" t="n"/>
      <c r="G538" s="129" t="n"/>
      <c r="H538" s="129" t="n"/>
      <c r="I538" s="129" t="n"/>
      <c r="J538" s="138" t="str">
        <f>IF(C538&lt;&gt;"Despesa","",IFERROR(INDEX('Config'!$J$6:$J$40,MATCH(D538,'Config'!$I$6:$I$40,0)),"—"))</f>
        <v/>
      </c>
      <c r="K538" s="138" t="str">
        <f>IF(COUNTA(B538:F538)=0,"",IF(OR(B538="",C538="",D538="",F538=""),"▲ Completar","✔"))</f>
        <v/>
      </c>
    </row>
    <row r="539">
      <c r="B539" s="130" t="n"/>
      <c r="C539" s="129" t="n"/>
      <c r="D539" s="129" t="n"/>
      <c r="E539" s="129" t="n"/>
      <c r="F539" s="145" t="n"/>
      <c r="G539" s="129" t="n"/>
      <c r="H539" s="129" t="n"/>
      <c r="I539" s="129" t="n"/>
      <c r="J539" s="138" t="str">
        <f>IF(C539&lt;&gt;"Despesa","",IFERROR(INDEX('Config'!$J$6:$J$40,MATCH(D539,'Config'!$I$6:$I$40,0)),"—"))</f>
        <v/>
      </c>
      <c r="K539" s="138" t="str">
        <f>IF(COUNTA(B539:F539)=0,"",IF(OR(B539="",C539="",D539="",F539=""),"▲ Completar","✔"))</f>
        <v/>
      </c>
    </row>
    <row r="540">
      <c r="B540" s="130" t="n"/>
      <c r="C540" s="129" t="n"/>
      <c r="D540" s="129" t="n"/>
      <c r="E540" s="129" t="n"/>
      <c r="F540" s="145" t="n"/>
      <c r="G540" s="129" t="n"/>
      <c r="H540" s="129" t="n"/>
      <c r="I540" s="129" t="n"/>
      <c r="J540" s="138" t="str">
        <f>IF(C540&lt;&gt;"Despesa","",IFERROR(INDEX('Config'!$J$6:$J$40,MATCH(D540,'Config'!$I$6:$I$40,0)),"—"))</f>
        <v/>
      </c>
      <c r="K540" s="138" t="str">
        <f>IF(COUNTA(B540:F540)=0,"",IF(OR(B540="",C540="",D540="",F540=""),"▲ Completar","✔"))</f>
        <v/>
      </c>
    </row>
    <row r="541">
      <c r="B541" s="130" t="n"/>
      <c r="C541" s="129" t="n"/>
      <c r="D541" s="129" t="n"/>
      <c r="E541" s="129" t="n"/>
      <c r="F541" s="145" t="n"/>
      <c r="G541" s="129" t="n"/>
      <c r="H541" s="129" t="n"/>
      <c r="I541" s="129" t="n"/>
      <c r="J541" s="138" t="str">
        <f>IF(C541&lt;&gt;"Despesa","",IFERROR(INDEX('Config'!$J$6:$J$40,MATCH(D541,'Config'!$I$6:$I$40,0)),"—"))</f>
        <v/>
      </c>
      <c r="K541" s="138" t="str">
        <f>IF(COUNTA(B541:F541)=0,"",IF(OR(B541="",C541="",D541="",F541=""),"▲ Completar","✔"))</f>
        <v/>
      </c>
    </row>
    <row r="542">
      <c r="B542" s="130" t="n"/>
      <c r="C542" s="129" t="n"/>
      <c r="D542" s="129" t="n"/>
      <c r="E542" s="129" t="n"/>
      <c r="F542" s="145" t="n"/>
      <c r="G542" s="129" t="n"/>
      <c r="H542" s="129" t="n"/>
      <c r="I542" s="129" t="n"/>
      <c r="J542" s="138" t="str">
        <f>IF(C542&lt;&gt;"Despesa","",IFERROR(INDEX('Config'!$J$6:$J$40,MATCH(D542,'Config'!$I$6:$I$40,0)),"—"))</f>
        <v/>
      </c>
      <c r="K542" s="138" t="str">
        <f>IF(COUNTA(B542:F542)=0,"",IF(OR(B542="",C542="",D542="",F542=""),"▲ Completar","✔"))</f>
        <v/>
      </c>
    </row>
    <row r="543">
      <c r="B543" s="130" t="n"/>
      <c r="C543" s="129" t="n"/>
      <c r="D543" s="129" t="n"/>
      <c r="E543" s="129" t="n"/>
      <c r="F543" s="145" t="n"/>
      <c r="G543" s="129" t="n"/>
      <c r="H543" s="129" t="n"/>
      <c r="I543" s="129" t="n"/>
      <c r="J543" s="138" t="str">
        <f>IF(C543&lt;&gt;"Despesa","",IFERROR(INDEX('Config'!$J$6:$J$40,MATCH(D543,'Config'!$I$6:$I$40,0)),"—"))</f>
        <v/>
      </c>
      <c r="K543" s="138" t="str">
        <f>IF(COUNTA(B543:F543)=0,"",IF(OR(B543="",C543="",D543="",F543=""),"▲ Completar","✔"))</f>
        <v/>
      </c>
    </row>
    <row r="544">
      <c r="B544" s="130" t="n"/>
      <c r="C544" s="129" t="n"/>
      <c r="D544" s="129" t="n"/>
      <c r="E544" s="129" t="n"/>
      <c r="F544" s="145" t="n"/>
      <c r="G544" s="129" t="n"/>
      <c r="H544" s="129" t="n"/>
      <c r="I544" s="129" t="n"/>
      <c r="J544" s="138" t="str">
        <f>IF(C544&lt;&gt;"Despesa","",IFERROR(INDEX('Config'!$J$6:$J$40,MATCH(D544,'Config'!$I$6:$I$40,0)),"—"))</f>
        <v/>
      </c>
      <c r="K544" s="138" t="str">
        <f>IF(COUNTA(B544:F544)=0,"",IF(OR(B544="",C544="",D544="",F544=""),"▲ Completar","✔"))</f>
        <v/>
      </c>
    </row>
    <row r="545">
      <c r="B545" s="130" t="n"/>
      <c r="C545" s="129" t="n"/>
      <c r="D545" s="129" t="n"/>
      <c r="E545" s="129" t="n"/>
      <c r="F545" s="145" t="n"/>
      <c r="G545" s="129" t="n"/>
      <c r="H545" s="129" t="n"/>
      <c r="I545" s="129" t="n"/>
      <c r="J545" s="138" t="str">
        <f>IF(C545&lt;&gt;"Despesa","",IFERROR(INDEX('Config'!$J$6:$J$40,MATCH(D545,'Config'!$I$6:$I$40,0)),"—"))</f>
        <v/>
      </c>
      <c r="K545" s="138" t="str">
        <f>IF(COUNTA(B545:F545)=0,"",IF(OR(B545="",C545="",D545="",F545=""),"▲ Completar","✔"))</f>
        <v/>
      </c>
    </row>
    <row r="546">
      <c r="B546" s="130" t="n"/>
      <c r="C546" s="129" t="n"/>
      <c r="D546" s="129" t="n"/>
      <c r="E546" s="129" t="n"/>
      <c r="F546" s="145" t="n"/>
      <c r="G546" s="129" t="n"/>
      <c r="H546" s="129" t="n"/>
      <c r="I546" s="129" t="n"/>
      <c r="J546" s="138" t="str">
        <f>IF(C546&lt;&gt;"Despesa","",IFERROR(INDEX('Config'!$J$6:$J$40,MATCH(D546,'Config'!$I$6:$I$40,0)),"—"))</f>
        <v/>
      </c>
      <c r="K546" s="138" t="str">
        <f>IF(COUNTA(B546:F546)=0,"",IF(OR(B546="",C546="",D546="",F546=""),"▲ Completar","✔"))</f>
        <v/>
      </c>
    </row>
    <row r="547">
      <c r="B547" s="130" t="n"/>
      <c r="C547" s="129" t="n"/>
      <c r="D547" s="129" t="n"/>
      <c r="E547" s="129" t="n"/>
      <c r="F547" s="145" t="n"/>
      <c r="G547" s="129" t="n"/>
      <c r="H547" s="129" t="n"/>
      <c r="I547" s="129" t="n"/>
      <c r="J547" s="138" t="str">
        <f>IF(C547&lt;&gt;"Despesa","",IFERROR(INDEX('Config'!$J$6:$J$40,MATCH(D547,'Config'!$I$6:$I$40,0)),"—"))</f>
        <v/>
      </c>
      <c r="K547" s="138" t="str">
        <f>IF(COUNTA(B547:F547)=0,"",IF(OR(B547="",C547="",D547="",F547=""),"▲ Completar","✔"))</f>
        <v/>
      </c>
    </row>
    <row r="548">
      <c r="B548" s="130" t="n"/>
      <c r="C548" s="129" t="n"/>
      <c r="D548" s="129" t="n"/>
      <c r="E548" s="129" t="n"/>
      <c r="F548" s="145" t="n"/>
      <c r="G548" s="129" t="n"/>
      <c r="H548" s="129" t="n"/>
      <c r="I548" s="129" t="n"/>
      <c r="J548" s="138" t="str">
        <f>IF(C548&lt;&gt;"Despesa","",IFERROR(INDEX('Config'!$J$6:$J$40,MATCH(D548,'Config'!$I$6:$I$40,0)),"—"))</f>
        <v/>
      </c>
      <c r="K548" s="138" t="str">
        <f>IF(COUNTA(B548:F548)=0,"",IF(OR(B548="",C548="",D548="",F548=""),"▲ Completar","✔"))</f>
        <v/>
      </c>
    </row>
    <row r="549">
      <c r="B549" s="130" t="n"/>
      <c r="C549" s="129" t="n"/>
      <c r="D549" s="129" t="n"/>
      <c r="E549" s="129" t="n"/>
      <c r="F549" s="145" t="n"/>
      <c r="G549" s="129" t="n"/>
      <c r="H549" s="129" t="n"/>
      <c r="I549" s="129" t="n"/>
      <c r="J549" s="138" t="str">
        <f>IF(C549&lt;&gt;"Despesa","",IFERROR(INDEX('Config'!$J$6:$J$40,MATCH(D549,'Config'!$I$6:$I$40,0)),"—"))</f>
        <v/>
      </c>
      <c r="K549" s="138" t="str">
        <f>IF(COUNTA(B549:F549)=0,"",IF(OR(B549="",C549="",D549="",F549=""),"▲ Completar","✔"))</f>
        <v/>
      </c>
    </row>
    <row r="550">
      <c r="B550" s="130" t="n"/>
      <c r="C550" s="129" t="n"/>
      <c r="D550" s="129" t="n"/>
      <c r="E550" s="129" t="n"/>
      <c r="F550" s="145" t="n"/>
      <c r="G550" s="129" t="n"/>
      <c r="H550" s="129" t="n"/>
      <c r="I550" s="129" t="n"/>
      <c r="J550" s="138" t="str">
        <f>IF(C550&lt;&gt;"Despesa","",IFERROR(INDEX('Config'!$J$6:$J$40,MATCH(D550,'Config'!$I$6:$I$40,0)),"—"))</f>
        <v/>
      </c>
      <c r="K550" s="138" t="str">
        <f>IF(COUNTA(B550:F550)=0,"",IF(OR(B550="",C550="",D550="",F550=""),"▲ Completar","✔"))</f>
        <v/>
      </c>
    </row>
    <row r="551">
      <c r="B551" s="130" t="n"/>
      <c r="C551" s="129" t="n"/>
      <c r="D551" s="129" t="n"/>
      <c r="E551" s="129" t="n"/>
      <c r="F551" s="145" t="n"/>
      <c r="G551" s="129" t="n"/>
      <c r="H551" s="129" t="n"/>
      <c r="I551" s="129" t="n"/>
      <c r="J551" s="138" t="str">
        <f>IF(C551&lt;&gt;"Despesa","",IFERROR(INDEX('Config'!$J$6:$J$40,MATCH(D551,'Config'!$I$6:$I$40,0)),"—"))</f>
        <v/>
      </c>
      <c r="K551" s="138" t="str">
        <f>IF(COUNTA(B551:F551)=0,"",IF(OR(B551="",C551="",D551="",F551=""),"▲ Completar","✔"))</f>
        <v/>
      </c>
    </row>
    <row r="552">
      <c r="B552" s="130" t="n"/>
      <c r="C552" s="129" t="n"/>
      <c r="D552" s="129" t="n"/>
      <c r="E552" s="129" t="n"/>
      <c r="F552" s="145" t="n"/>
      <c r="G552" s="129" t="n"/>
      <c r="H552" s="129" t="n"/>
      <c r="I552" s="129" t="n"/>
      <c r="J552" s="138" t="str">
        <f>IF(C552&lt;&gt;"Despesa","",IFERROR(INDEX('Config'!$J$6:$J$40,MATCH(D552,'Config'!$I$6:$I$40,0)),"—"))</f>
        <v/>
      </c>
      <c r="K552" s="138" t="str">
        <f>IF(COUNTA(B552:F552)=0,"",IF(OR(B552="",C552="",D552="",F552=""),"▲ Completar","✔"))</f>
        <v/>
      </c>
    </row>
    <row r="553">
      <c r="B553" s="130" t="n"/>
      <c r="C553" s="129" t="n"/>
      <c r="D553" s="129" t="n"/>
      <c r="E553" s="129" t="n"/>
      <c r="F553" s="145" t="n"/>
      <c r="G553" s="129" t="n"/>
      <c r="H553" s="129" t="n"/>
      <c r="I553" s="129" t="n"/>
      <c r="J553" s="138" t="str">
        <f>IF(C553&lt;&gt;"Despesa","",IFERROR(INDEX('Config'!$J$6:$J$40,MATCH(D553,'Config'!$I$6:$I$40,0)),"—"))</f>
        <v/>
      </c>
      <c r="K553" s="138" t="str">
        <f>IF(COUNTA(B553:F553)=0,"",IF(OR(B553="",C553="",D553="",F553=""),"▲ Completar","✔"))</f>
        <v/>
      </c>
    </row>
    <row r="554">
      <c r="B554" s="130" t="n"/>
      <c r="C554" s="129" t="n"/>
      <c r="D554" s="129" t="n"/>
      <c r="E554" s="129" t="n"/>
      <c r="F554" s="145" t="n"/>
      <c r="G554" s="129" t="n"/>
      <c r="H554" s="129" t="n"/>
      <c r="I554" s="129" t="n"/>
      <c r="J554" s="138" t="str">
        <f>IF(C554&lt;&gt;"Despesa","",IFERROR(INDEX('Config'!$J$6:$J$40,MATCH(D554,'Config'!$I$6:$I$40,0)),"—"))</f>
        <v/>
      </c>
      <c r="K554" s="138" t="str">
        <f>IF(COUNTA(B554:F554)=0,"",IF(OR(B554="",C554="",D554="",F554=""),"▲ Completar","✔"))</f>
        <v/>
      </c>
    </row>
    <row r="555">
      <c r="B555" s="130" t="n"/>
      <c r="C555" s="129" t="n"/>
      <c r="D555" s="129" t="n"/>
      <c r="E555" s="129" t="n"/>
      <c r="F555" s="145" t="n"/>
      <c r="G555" s="129" t="n"/>
      <c r="H555" s="129" t="n"/>
      <c r="I555" s="129" t="n"/>
      <c r="J555" s="138" t="str">
        <f>IF(C555&lt;&gt;"Despesa","",IFERROR(INDEX('Config'!$J$6:$J$40,MATCH(D555,'Config'!$I$6:$I$40,0)),"—"))</f>
        <v/>
      </c>
      <c r="K555" s="138" t="str">
        <f>IF(COUNTA(B555:F555)=0,"",IF(OR(B555="",C555="",D555="",F555=""),"▲ Completar","✔"))</f>
        <v/>
      </c>
    </row>
    <row r="556">
      <c r="B556" s="130" t="n"/>
      <c r="C556" s="129" t="n"/>
      <c r="D556" s="129" t="n"/>
      <c r="E556" s="129" t="n"/>
      <c r="F556" s="145" t="n"/>
      <c r="G556" s="129" t="n"/>
      <c r="H556" s="129" t="n"/>
      <c r="I556" s="129" t="n"/>
      <c r="J556" s="138" t="str">
        <f>IF(C556&lt;&gt;"Despesa","",IFERROR(INDEX('Config'!$J$6:$J$40,MATCH(D556,'Config'!$I$6:$I$40,0)),"—"))</f>
        <v/>
      </c>
      <c r="K556" s="138" t="str">
        <f>IF(COUNTA(B556:F556)=0,"",IF(OR(B556="",C556="",D556="",F556=""),"▲ Completar","✔"))</f>
        <v/>
      </c>
    </row>
    <row r="557">
      <c r="B557" s="130" t="n"/>
      <c r="C557" s="129" t="n"/>
      <c r="D557" s="129" t="n"/>
      <c r="E557" s="129" t="n"/>
      <c r="F557" s="145" t="n"/>
      <c r="G557" s="129" t="n"/>
      <c r="H557" s="129" t="n"/>
      <c r="I557" s="129" t="n"/>
      <c r="J557" s="138" t="str">
        <f>IF(C557&lt;&gt;"Despesa","",IFERROR(INDEX('Config'!$J$6:$J$40,MATCH(D557,'Config'!$I$6:$I$40,0)),"—"))</f>
        <v/>
      </c>
      <c r="K557" s="138" t="str">
        <f>IF(COUNTA(B557:F557)=0,"",IF(OR(B557="",C557="",D557="",F557=""),"▲ Completar","✔"))</f>
        <v/>
      </c>
    </row>
    <row r="558">
      <c r="B558" s="130" t="n"/>
      <c r="C558" s="129" t="n"/>
      <c r="D558" s="129" t="n"/>
      <c r="E558" s="129" t="n"/>
      <c r="F558" s="145" t="n"/>
      <c r="G558" s="129" t="n"/>
      <c r="H558" s="129" t="n"/>
      <c r="I558" s="129" t="n"/>
      <c r="J558" s="138" t="str">
        <f>IF(C558&lt;&gt;"Despesa","",IFERROR(INDEX('Config'!$J$6:$J$40,MATCH(D558,'Config'!$I$6:$I$40,0)),"—"))</f>
        <v/>
      </c>
      <c r="K558" s="138" t="str">
        <f>IF(COUNTA(B558:F558)=0,"",IF(OR(B558="",C558="",D558="",F558=""),"▲ Completar","✔"))</f>
        <v/>
      </c>
    </row>
    <row r="559">
      <c r="B559" s="130" t="n"/>
      <c r="C559" s="129" t="n"/>
      <c r="D559" s="129" t="n"/>
      <c r="E559" s="129" t="n"/>
      <c r="F559" s="145" t="n"/>
      <c r="G559" s="129" t="n"/>
      <c r="H559" s="129" t="n"/>
      <c r="I559" s="129" t="n"/>
      <c r="J559" s="138" t="str">
        <f>IF(C559&lt;&gt;"Despesa","",IFERROR(INDEX('Config'!$J$6:$J$40,MATCH(D559,'Config'!$I$6:$I$40,0)),"—"))</f>
        <v/>
      </c>
      <c r="K559" s="138" t="str">
        <f>IF(COUNTA(B559:F559)=0,"",IF(OR(B559="",C559="",D559="",F559=""),"▲ Completar","✔"))</f>
        <v/>
      </c>
    </row>
    <row r="560">
      <c r="B560" s="130" t="n"/>
      <c r="C560" s="129" t="n"/>
      <c r="D560" s="129" t="n"/>
      <c r="E560" s="129" t="n"/>
      <c r="F560" s="145" t="n"/>
      <c r="G560" s="129" t="n"/>
      <c r="H560" s="129" t="n"/>
      <c r="I560" s="129" t="n"/>
      <c r="J560" s="138" t="str">
        <f>IF(C560&lt;&gt;"Despesa","",IFERROR(INDEX('Config'!$J$6:$J$40,MATCH(D560,'Config'!$I$6:$I$40,0)),"—"))</f>
        <v/>
      </c>
      <c r="K560" s="138" t="str">
        <f>IF(COUNTA(B560:F560)=0,"",IF(OR(B560="",C560="",D560="",F560=""),"▲ Completar","✔"))</f>
        <v/>
      </c>
    </row>
    <row r="561">
      <c r="B561" s="130" t="n"/>
      <c r="C561" s="129" t="n"/>
      <c r="D561" s="129" t="n"/>
      <c r="E561" s="129" t="n"/>
      <c r="F561" s="145" t="n"/>
      <c r="G561" s="129" t="n"/>
      <c r="H561" s="129" t="n"/>
      <c r="I561" s="129" t="n"/>
      <c r="J561" s="138" t="str">
        <f>IF(C561&lt;&gt;"Despesa","",IFERROR(INDEX('Config'!$J$6:$J$40,MATCH(D561,'Config'!$I$6:$I$40,0)),"—"))</f>
        <v/>
      </c>
      <c r="K561" s="138" t="str">
        <f>IF(COUNTA(B561:F561)=0,"",IF(OR(B561="",C561="",D561="",F561=""),"▲ Completar","✔"))</f>
        <v/>
      </c>
    </row>
    <row r="562">
      <c r="B562" s="130" t="n"/>
      <c r="C562" s="129" t="n"/>
      <c r="D562" s="129" t="n"/>
      <c r="E562" s="129" t="n"/>
      <c r="F562" s="145" t="n"/>
      <c r="G562" s="129" t="n"/>
      <c r="H562" s="129" t="n"/>
      <c r="I562" s="129" t="n"/>
      <c r="J562" s="138" t="str">
        <f>IF(C562&lt;&gt;"Despesa","",IFERROR(INDEX('Config'!$J$6:$J$40,MATCH(D562,'Config'!$I$6:$I$40,0)),"—"))</f>
        <v/>
      </c>
      <c r="K562" s="138" t="str">
        <f>IF(COUNTA(B562:F562)=0,"",IF(OR(B562="",C562="",D562="",F562=""),"▲ Completar","✔"))</f>
        <v/>
      </c>
    </row>
    <row r="563">
      <c r="B563" s="130" t="n"/>
      <c r="C563" s="129" t="n"/>
      <c r="D563" s="129" t="n"/>
      <c r="E563" s="129" t="n"/>
      <c r="F563" s="145" t="n"/>
      <c r="G563" s="129" t="n"/>
      <c r="H563" s="129" t="n"/>
      <c r="I563" s="129" t="n"/>
      <c r="J563" s="138" t="str">
        <f>IF(C563&lt;&gt;"Despesa","",IFERROR(INDEX('Config'!$J$6:$J$40,MATCH(D563,'Config'!$I$6:$I$40,0)),"—"))</f>
        <v/>
      </c>
      <c r="K563" s="138" t="str">
        <f>IF(COUNTA(B563:F563)=0,"",IF(OR(B563="",C563="",D563="",F563=""),"▲ Completar","✔"))</f>
        <v/>
      </c>
    </row>
    <row r="564">
      <c r="B564" s="130" t="n"/>
      <c r="C564" s="129" t="n"/>
      <c r="D564" s="129" t="n"/>
      <c r="E564" s="129" t="n"/>
      <c r="F564" s="145" t="n"/>
      <c r="G564" s="129" t="n"/>
      <c r="H564" s="129" t="n"/>
      <c r="I564" s="129" t="n"/>
      <c r="J564" s="138" t="str">
        <f>IF(C564&lt;&gt;"Despesa","",IFERROR(INDEX('Config'!$J$6:$J$40,MATCH(D564,'Config'!$I$6:$I$40,0)),"—"))</f>
        <v/>
      </c>
      <c r="K564" s="138" t="str">
        <f>IF(COUNTA(B564:F564)=0,"",IF(OR(B564="",C564="",D564="",F564=""),"▲ Completar","✔"))</f>
        <v/>
      </c>
    </row>
    <row r="565">
      <c r="B565" s="130" t="n"/>
      <c r="C565" s="129" t="n"/>
      <c r="D565" s="129" t="n"/>
      <c r="E565" s="129" t="n"/>
      <c r="F565" s="145" t="n"/>
      <c r="G565" s="129" t="n"/>
      <c r="H565" s="129" t="n"/>
      <c r="I565" s="129" t="n"/>
      <c r="J565" s="138" t="str">
        <f>IF(C565&lt;&gt;"Despesa","",IFERROR(INDEX('Config'!$J$6:$J$40,MATCH(D565,'Config'!$I$6:$I$40,0)),"—"))</f>
        <v/>
      </c>
      <c r="K565" s="138" t="str">
        <f>IF(COUNTA(B565:F565)=0,"",IF(OR(B565="",C565="",D565="",F565=""),"▲ Completar","✔"))</f>
        <v/>
      </c>
    </row>
    <row r="566">
      <c r="B566" s="130" t="n"/>
      <c r="C566" s="129" t="n"/>
      <c r="D566" s="129" t="n"/>
      <c r="E566" s="129" t="n"/>
      <c r="F566" s="145" t="n"/>
      <c r="G566" s="129" t="n"/>
      <c r="H566" s="129" t="n"/>
      <c r="I566" s="129" t="n"/>
      <c r="J566" s="138" t="str">
        <f>IF(C566&lt;&gt;"Despesa","",IFERROR(INDEX('Config'!$J$6:$J$40,MATCH(D566,'Config'!$I$6:$I$40,0)),"—"))</f>
        <v/>
      </c>
      <c r="K566" s="138" t="str">
        <f>IF(COUNTA(B566:F566)=0,"",IF(OR(B566="",C566="",D566="",F566=""),"▲ Completar","✔"))</f>
        <v/>
      </c>
    </row>
    <row r="567">
      <c r="B567" s="130" t="n"/>
      <c r="C567" s="129" t="n"/>
      <c r="D567" s="129" t="n"/>
      <c r="E567" s="129" t="n"/>
      <c r="F567" s="145" t="n"/>
      <c r="G567" s="129" t="n"/>
      <c r="H567" s="129" t="n"/>
      <c r="I567" s="129" t="n"/>
      <c r="J567" s="138" t="str">
        <f>IF(C567&lt;&gt;"Despesa","",IFERROR(INDEX('Config'!$J$6:$J$40,MATCH(D567,'Config'!$I$6:$I$40,0)),"—"))</f>
        <v/>
      </c>
      <c r="K567" s="138" t="str">
        <f>IF(COUNTA(B567:F567)=0,"",IF(OR(B567="",C567="",D567="",F567=""),"▲ Completar","✔"))</f>
        <v/>
      </c>
    </row>
    <row r="568">
      <c r="B568" s="130" t="n"/>
      <c r="C568" s="129" t="n"/>
      <c r="D568" s="129" t="n"/>
      <c r="E568" s="129" t="n"/>
      <c r="F568" s="145" t="n"/>
      <c r="G568" s="129" t="n"/>
      <c r="H568" s="129" t="n"/>
      <c r="I568" s="129" t="n"/>
      <c r="J568" s="138" t="str">
        <f>IF(C568&lt;&gt;"Despesa","",IFERROR(INDEX('Config'!$J$6:$J$40,MATCH(D568,'Config'!$I$6:$I$40,0)),"—"))</f>
        <v/>
      </c>
      <c r="K568" s="138" t="str">
        <f>IF(COUNTA(B568:F568)=0,"",IF(OR(B568="",C568="",D568="",F568=""),"▲ Completar","✔"))</f>
        <v/>
      </c>
    </row>
    <row r="569">
      <c r="B569" s="130" t="n"/>
      <c r="C569" s="129" t="n"/>
      <c r="D569" s="129" t="n"/>
      <c r="E569" s="129" t="n"/>
      <c r="F569" s="145" t="n"/>
      <c r="G569" s="129" t="n"/>
      <c r="H569" s="129" t="n"/>
      <c r="I569" s="129" t="n"/>
      <c r="J569" s="138" t="str">
        <f>IF(C569&lt;&gt;"Despesa","",IFERROR(INDEX('Config'!$J$6:$J$40,MATCH(D569,'Config'!$I$6:$I$40,0)),"—"))</f>
        <v/>
      </c>
      <c r="K569" s="138" t="str">
        <f>IF(COUNTA(B569:F569)=0,"",IF(OR(B569="",C569="",D569="",F569=""),"▲ Completar","✔"))</f>
        <v/>
      </c>
    </row>
    <row r="570">
      <c r="B570" s="130" t="n"/>
      <c r="C570" s="129" t="n"/>
      <c r="D570" s="129" t="n"/>
      <c r="E570" s="129" t="n"/>
      <c r="F570" s="145" t="n"/>
      <c r="G570" s="129" t="n"/>
      <c r="H570" s="129" t="n"/>
      <c r="I570" s="129" t="n"/>
      <c r="J570" s="138" t="str">
        <f>IF(C570&lt;&gt;"Despesa","",IFERROR(INDEX('Config'!$J$6:$J$40,MATCH(D570,'Config'!$I$6:$I$40,0)),"—"))</f>
        <v/>
      </c>
      <c r="K570" s="138" t="str">
        <f>IF(COUNTA(B570:F570)=0,"",IF(OR(B570="",C570="",D570="",F570=""),"▲ Completar","✔"))</f>
        <v/>
      </c>
    </row>
    <row r="571">
      <c r="B571" s="130" t="n"/>
      <c r="C571" s="129" t="n"/>
      <c r="D571" s="129" t="n"/>
      <c r="E571" s="129" t="n"/>
      <c r="F571" s="145" t="n"/>
      <c r="G571" s="129" t="n"/>
      <c r="H571" s="129" t="n"/>
      <c r="I571" s="129" t="n"/>
      <c r="J571" s="138" t="str">
        <f>IF(C571&lt;&gt;"Despesa","",IFERROR(INDEX('Config'!$J$6:$J$40,MATCH(D571,'Config'!$I$6:$I$40,0)),"—"))</f>
        <v/>
      </c>
      <c r="K571" s="138" t="str">
        <f>IF(COUNTA(B571:F571)=0,"",IF(OR(B571="",C571="",D571="",F571=""),"▲ Completar","✔"))</f>
        <v/>
      </c>
    </row>
    <row r="572">
      <c r="B572" s="130" t="n"/>
      <c r="C572" s="129" t="n"/>
      <c r="D572" s="129" t="n"/>
      <c r="E572" s="129" t="n"/>
      <c r="F572" s="145" t="n"/>
      <c r="G572" s="129" t="n"/>
      <c r="H572" s="129" t="n"/>
      <c r="I572" s="129" t="n"/>
      <c r="J572" s="138" t="str">
        <f>IF(C572&lt;&gt;"Despesa","",IFERROR(INDEX('Config'!$J$6:$J$40,MATCH(D572,'Config'!$I$6:$I$40,0)),"—"))</f>
        <v/>
      </c>
      <c r="K572" s="138" t="str">
        <f>IF(COUNTA(B572:F572)=0,"",IF(OR(B572="",C572="",D572="",F572=""),"▲ Completar","✔"))</f>
        <v/>
      </c>
    </row>
    <row r="573">
      <c r="B573" s="130" t="n"/>
      <c r="C573" s="129" t="n"/>
      <c r="D573" s="129" t="n"/>
      <c r="E573" s="129" t="n"/>
      <c r="F573" s="145" t="n"/>
      <c r="G573" s="129" t="n"/>
      <c r="H573" s="129" t="n"/>
      <c r="I573" s="129" t="n"/>
      <c r="J573" s="138" t="str">
        <f>IF(C573&lt;&gt;"Despesa","",IFERROR(INDEX('Config'!$J$6:$J$40,MATCH(D573,'Config'!$I$6:$I$40,0)),"—"))</f>
        <v/>
      </c>
      <c r="K573" s="138" t="str">
        <f>IF(COUNTA(B573:F573)=0,"",IF(OR(B573="",C573="",D573="",F573=""),"▲ Completar","✔"))</f>
        <v/>
      </c>
    </row>
    <row r="574">
      <c r="B574" s="130" t="n"/>
      <c r="C574" s="129" t="n"/>
      <c r="D574" s="129" t="n"/>
      <c r="E574" s="129" t="n"/>
      <c r="F574" s="145" t="n"/>
      <c r="G574" s="129" t="n"/>
      <c r="H574" s="129" t="n"/>
      <c r="I574" s="129" t="n"/>
      <c r="J574" s="138" t="str">
        <f>IF(C574&lt;&gt;"Despesa","",IFERROR(INDEX('Config'!$J$6:$J$40,MATCH(D574,'Config'!$I$6:$I$40,0)),"—"))</f>
        <v/>
      </c>
      <c r="K574" s="138" t="str">
        <f>IF(COUNTA(B574:F574)=0,"",IF(OR(B574="",C574="",D574="",F574=""),"▲ Completar","✔"))</f>
        <v/>
      </c>
    </row>
    <row r="575">
      <c r="B575" s="130" t="n"/>
      <c r="C575" s="129" t="n"/>
      <c r="D575" s="129" t="n"/>
      <c r="E575" s="129" t="n"/>
      <c r="F575" s="145" t="n"/>
      <c r="G575" s="129" t="n"/>
      <c r="H575" s="129" t="n"/>
      <c r="I575" s="129" t="n"/>
      <c r="J575" s="138" t="str">
        <f>IF(C575&lt;&gt;"Despesa","",IFERROR(INDEX('Config'!$J$6:$J$40,MATCH(D575,'Config'!$I$6:$I$40,0)),"—"))</f>
        <v/>
      </c>
      <c r="K575" s="138" t="str">
        <f>IF(COUNTA(B575:F575)=0,"",IF(OR(B575="",C575="",D575="",F575=""),"▲ Completar","✔"))</f>
        <v/>
      </c>
    </row>
    <row r="576">
      <c r="B576" s="130" t="n"/>
      <c r="C576" s="129" t="n"/>
      <c r="D576" s="129" t="n"/>
      <c r="E576" s="129" t="n"/>
      <c r="F576" s="145" t="n"/>
      <c r="G576" s="129" t="n"/>
      <c r="H576" s="129" t="n"/>
      <c r="I576" s="129" t="n"/>
      <c r="J576" s="138" t="str">
        <f>IF(C576&lt;&gt;"Despesa","",IFERROR(INDEX('Config'!$J$6:$J$40,MATCH(D576,'Config'!$I$6:$I$40,0)),"—"))</f>
        <v/>
      </c>
      <c r="K576" s="138" t="str">
        <f>IF(COUNTA(B576:F576)=0,"",IF(OR(B576="",C576="",D576="",F576=""),"▲ Completar","✔"))</f>
        <v/>
      </c>
    </row>
    <row r="577">
      <c r="B577" s="130" t="n"/>
      <c r="C577" s="129" t="n"/>
      <c r="D577" s="129" t="n"/>
      <c r="E577" s="129" t="n"/>
      <c r="F577" s="145" t="n"/>
      <c r="G577" s="129" t="n"/>
      <c r="H577" s="129" t="n"/>
      <c r="I577" s="129" t="n"/>
      <c r="J577" s="138" t="str">
        <f>IF(C577&lt;&gt;"Despesa","",IFERROR(INDEX('Config'!$J$6:$J$40,MATCH(D577,'Config'!$I$6:$I$40,0)),"—"))</f>
        <v/>
      </c>
      <c r="K577" s="138" t="str">
        <f>IF(COUNTA(B577:F577)=0,"",IF(OR(B577="",C577="",D577="",F577=""),"▲ Completar","✔"))</f>
        <v/>
      </c>
    </row>
    <row r="578">
      <c r="B578" s="130" t="n"/>
      <c r="C578" s="129" t="n"/>
      <c r="D578" s="129" t="n"/>
      <c r="E578" s="129" t="n"/>
      <c r="F578" s="145" t="n"/>
      <c r="G578" s="129" t="n"/>
      <c r="H578" s="129" t="n"/>
      <c r="I578" s="129" t="n"/>
      <c r="J578" s="138" t="str">
        <f>IF(C578&lt;&gt;"Despesa","",IFERROR(INDEX('Config'!$J$6:$J$40,MATCH(D578,'Config'!$I$6:$I$40,0)),"—"))</f>
        <v/>
      </c>
      <c r="K578" s="138" t="str">
        <f>IF(COUNTA(B578:F578)=0,"",IF(OR(B578="",C578="",D578="",F578=""),"▲ Completar","✔"))</f>
        <v/>
      </c>
    </row>
    <row r="579">
      <c r="B579" s="130" t="n"/>
      <c r="C579" s="129" t="n"/>
      <c r="D579" s="129" t="n"/>
      <c r="E579" s="129" t="n"/>
      <c r="F579" s="145" t="n"/>
      <c r="G579" s="129" t="n"/>
      <c r="H579" s="129" t="n"/>
      <c r="I579" s="129" t="n"/>
      <c r="J579" s="138" t="str">
        <f>IF(C579&lt;&gt;"Despesa","",IFERROR(INDEX('Config'!$J$6:$J$40,MATCH(D579,'Config'!$I$6:$I$40,0)),"—"))</f>
        <v/>
      </c>
      <c r="K579" s="138" t="str">
        <f>IF(COUNTA(B579:F579)=0,"",IF(OR(B579="",C579="",D579="",F579=""),"▲ Completar","✔"))</f>
        <v/>
      </c>
    </row>
    <row r="580">
      <c r="B580" s="130" t="n"/>
      <c r="C580" s="129" t="n"/>
      <c r="D580" s="129" t="n"/>
      <c r="E580" s="129" t="n"/>
      <c r="F580" s="145" t="n"/>
      <c r="G580" s="129" t="n"/>
      <c r="H580" s="129" t="n"/>
      <c r="I580" s="129" t="n"/>
      <c r="J580" s="138" t="str">
        <f>IF(C580&lt;&gt;"Despesa","",IFERROR(INDEX('Config'!$J$6:$J$40,MATCH(D580,'Config'!$I$6:$I$40,0)),"—"))</f>
        <v/>
      </c>
      <c r="K580" s="138" t="str">
        <f>IF(COUNTA(B580:F580)=0,"",IF(OR(B580="",C580="",D580="",F580=""),"▲ Completar","✔"))</f>
        <v/>
      </c>
    </row>
    <row r="581">
      <c r="B581" s="130" t="n"/>
      <c r="C581" s="129" t="n"/>
      <c r="D581" s="129" t="n"/>
      <c r="E581" s="129" t="n"/>
      <c r="F581" s="145" t="n"/>
      <c r="G581" s="129" t="n"/>
      <c r="H581" s="129" t="n"/>
      <c r="I581" s="129" t="n"/>
      <c r="J581" s="138" t="str">
        <f>IF(C581&lt;&gt;"Despesa","",IFERROR(INDEX('Config'!$J$6:$J$40,MATCH(D581,'Config'!$I$6:$I$40,0)),"—"))</f>
        <v/>
      </c>
      <c r="K581" s="138" t="str">
        <f>IF(COUNTA(B581:F581)=0,"",IF(OR(B581="",C581="",D581="",F581=""),"▲ Completar","✔"))</f>
        <v/>
      </c>
    </row>
    <row r="582">
      <c r="B582" s="130" t="n"/>
      <c r="C582" s="129" t="n"/>
      <c r="D582" s="129" t="n"/>
      <c r="E582" s="129" t="n"/>
      <c r="F582" s="145" t="n"/>
      <c r="G582" s="129" t="n"/>
      <c r="H582" s="129" t="n"/>
      <c r="I582" s="129" t="n"/>
      <c r="J582" s="138" t="str">
        <f>IF(C582&lt;&gt;"Despesa","",IFERROR(INDEX('Config'!$J$6:$J$40,MATCH(D582,'Config'!$I$6:$I$40,0)),"—"))</f>
        <v/>
      </c>
      <c r="K582" s="138" t="str">
        <f>IF(COUNTA(B582:F582)=0,"",IF(OR(B582="",C582="",D582="",F582=""),"▲ Completar","✔"))</f>
        <v/>
      </c>
    </row>
    <row r="583">
      <c r="B583" s="130" t="n"/>
      <c r="C583" s="129" t="n"/>
      <c r="D583" s="129" t="n"/>
      <c r="E583" s="129" t="n"/>
      <c r="F583" s="145" t="n"/>
      <c r="G583" s="129" t="n"/>
      <c r="H583" s="129" t="n"/>
      <c r="I583" s="129" t="n"/>
      <c r="J583" s="138" t="str">
        <f>IF(C583&lt;&gt;"Despesa","",IFERROR(INDEX('Config'!$J$6:$J$40,MATCH(D583,'Config'!$I$6:$I$40,0)),"—"))</f>
        <v/>
      </c>
      <c r="K583" s="138" t="str">
        <f>IF(COUNTA(B583:F583)=0,"",IF(OR(B583="",C583="",D583="",F583=""),"▲ Completar","✔"))</f>
        <v/>
      </c>
    </row>
    <row r="584">
      <c r="B584" s="130" t="n"/>
      <c r="C584" s="129" t="n"/>
      <c r="D584" s="129" t="n"/>
      <c r="E584" s="129" t="n"/>
      <c r="F584" s="145" t="n"/>
      <c r="G584" s="129" t="n"/>
      <c r="H584" s="129" t="n"/>
      <c r="I584" s="129" t="n"/>
      <c r="J584" s="138" t="str">
        <f>IF(C584&lt;&gt;"Despesa","",IFERROR(INDEX('Config'!$J$6:$J$40,MATCH(D584,'Config'!$I$6:$I$40,0)),"—"))</f>
        <v/>
      </c>
      <c r="K584" s="138" t="str">
        <f>IF(COUNTA(B584:F584)=0,"",IF(OR(B584="",C584="",D584="",F584=""),"▲ Completar","✔"))</f>
        <v/>
      </c>
    </row>
    <row r="585">
      <c r="B585" s="130" t="n"/>
      <c r="C585" s="129" t="n"/>
      <c r="D585" s="129" t="n"/>
      <c r="E585" s="129" t="n"/>
      <c r="F585" s="145" t="n"/>
      <c r="G585" s="129" t="n"/>
      <c r="H585" s="129" t="n"/>
      <c r="I585" s="129" t="n"/>
      <c r="J585" s="138" t="str">
        <f>IF(C585&lt;&gt;"Despesa","",IFERROR(INDEX('Config'!$J$6:$J$40,MATCH(D585,'Config'!$I$6:$I$40,0)),"—"))</f>
        <v/>
      </c>
      <c r="K585" s="138" t="str">
        <f>IF(COUNTA(B585:F585)=0,"",IF(OR(B585="",C585="",D585="",F585=""),"▲ Completar","✔"))</f>
        <v/>
      </c>
    </row>
    <row r="586">
      <c r="B586" s="130" t="n"/>
      <c r="C586" s="129" t="n"/>
      <c r="D586" s="129" t="n"/>
      <c r="E586" s="129" t="n"/>
      <c r="F586" s="145" t="n"/>
      <c r="G586" s="129" t="n"/>
      <c r="H586" s="129" t="n"/>
      <c r="I586" s="129" t="n"/>
      <c r="J586" s="138" t="str">
        <f>IF(C586&lt;&gt;"Despesa","",IFERROR(INDEX('Config'!$J$6:$J$40,MATCH(D586,'Config'!$I$6:$I$40,0)),"—"))</f>
        <v/>
      </c>
      <c r="K586" s="138" t="str">
        <f>IF(COUNTA(B586:F586)=0,"",IF(OR(B586="",C586="",D586="",F586=""),"▲ Completar","✔"))</f>
        <v/>
      </c>
    </row>
    <row r="587">
      <c r="B587" s="130" t="n"/>
      <c r="C587" s="129" t="n"/>
      <c r="D587" s="129" t="n"/>
      <c r="E587" s="129" t="n"/>
      <c r="F587" s="145" t="n"/>
      <c r="G587" s="129" t="n"/>
      <c r="H587" s="129" t="n"/>
      <c r="I587" s="129" t="n"/>
      <c r="J587" s="138" t="str">
        <f>IF(C587&lt;&gt;"Despesa","",IFERROR(INDEX('Config'!$J$6:$J$40,MATCH(D587,'Config'!$I$6:$I$40,0)),"—"))</f>
        <v/>
      </c>
      <c r="K587" s="138" t="str">
        <f>IF(COUNTA(B587:F587)=0,"",IF(OR(B587="",C587="",D587="",F587=""),"▲ Completar","✔"))</f>
        <v/>
      </c>
    </row>
    <row r="588">
      <c r="B588" s="130" t="n"/>
      <c r="C588" s="129" t="n"/>
      <c r="D588" s="129" t="n"/>
      <c r="E588" s="129" t="n"/>
      <c r="F588" s="145" t="n"/>
      <c r="G588" s="129" t="n"/>
      <c r="H588" s="129" t="n"/>
      <c r="I588" s="129" t="n"/>
      <c r="J588" s="138" t="str">
        <f>IF(C588&lt;&gt;"Despesa","",IFERROR(INDEX('Config'!$J$6:$J$40,MATCH(D588,'Config'!$I$6:$I$40,0)),"—"))</f>
        <v/>
      </c>
      <c r="K588" s="138" t="str">
        <f>IF(COUNTA(B588:F588)=0,"",IF(OR(B588="",C588="",D588="",F588=""),"▲ Completar","✔"))</f>
        <v/>
      </c>
    </row>
    <row r="589">
      <c r="B589" s="130" t="n"/>
      <c r="C589" s="129" t="n"/>
      <c r="D589" s="129" t="n"/>
      <c r="E589" s="129" t="n"/>
      <c r="F589" s="145" t="n"/>
      <c r="G589" s="129" t="n"/>
      <c r="H589" s="129" t="n"/>
      <c r="I589" s="129" t="n"/>
      <c r="J589" s="138" t="str">
        <f>IF(C589&lt;&gt;"Despesa","",IFERROR(INDEX('Config'!$J$6:$J$40,MATCH(D589,'Config'!$I$6:$I$40,0)),"—"))</f>
        <v/>
      </c>
      <c r="K589" s="138" t="str">
        <f>IF(COUNTA(B589:F589)=0,"",IF(OR(B589="",C589="",D589="",F589=""),"▲ Completar","✔"))</f>
        <v/>
      </c>
    </row>
    <row r="590">
      <c r="B590" s="130" t="n"/>
      <c r="C590" s="129" t="n"/>
      <c r="D590" s="129" t="n"/>
      <c r="E590" s="129" t="n"/>
      <c r="F590" s="145" t="n"/>
      <c r="G590" s="129" t="n"/>
      <c r="H590" s="129" t="n"/>
      <c r="I590" s="129" t="n"/>
      <c r="J590" s="138" t="str">
        <f>IF(C590&lt;&gt;"Despesa","",IFERROR(INDEX('Config'!$J$6:$J$40,MATCH(D590,'Config'!$I$6:$I$40,0)),"—"))</f>
        <v/>
      </c>
      <c r="K590" s="138" t="str">
        <f>IF(COUNTA(B590:F590)=0,"",IF(OR(B590="",C590="",D590="",F590=""),"▲ Completar","✔"))</f>
        <v/>
      </c>
    </row>
    <row r="591">
      <c r="B591" s="130" t="n"/>
      <c r="C591" s="129" t="n"/>
      <c r="D591" s="129" t="n"/>
      <c r="E591" s="129" t="n"/>
      <c r="F591" s="145" t="n"/>
      <c r="G591" s="129" t="n"/>
      <c r="H591" s="129" t="n"/>
      <c r="I591" s="129" t="n"/>
      <c r="J591" s="138" t="str">
        <f>IF(C591&lt;&gt;"Despesa","",IFERROR(INDEX('Config'!$J$6:$J$40,MATCH(D591,'Config'!$I$6:$I$40,0)),"—"))</f>
        <v/>
      </c>
      <c r="K591" s="138" t="str">
        <f>IF(COUNTA(B591:F591)=0,"",IF(OR(B591="",C591="",D591="",F591=""),"▲ Completar","✔"))</f>
        <v/>
      </c>
    </row>
    <row r="592">
      <c r="B592" s="130" t="n"/>
      <c r="C592" s="129" t="n"/>
      <c r="D592" s="129" t="n"/>
      <c r="E592" s="129" t="n"/>
      <c r="F592" s="145" t="n"/>
      <c r="G592" s="129" t="n"/>
      <c r="H592" s="129" t="n"/>
      <c r="I592" s="129" t="n"/>
      <c r="J592" s="138" t="str">
        <f>IF(C592&lt;&gt;"Despesa","",IFERROR(INDEX('Config'!$J$6:$J$40,MATCH(D592,'Config'!$I$6:$I$40,0)),"—"))</f>
        <v/>
      </c>
      <c r="K592" s="138" t="str">
        <f>IF(COUNTA(B592:F592)=0,"",IF(OR(B592="",C592="",D592="",F592=""),"▲ Completar","✔"))</f>
        <v/>
      </c>
    </row>
    <row r="593">
      <c r="B593" s="130" t="n"/>
      <c r="C593" s="129" t="n"/>
      <c r="D593" s="129" t="n"/>
      <c r="E593" s="129" t="n"/>
      <c r="F593" s="145" t="n"/>
      <c r="G593" s="129" t="n"/>
      <c r="H593" s="129" t="n"/>
      <c r="I593" s="129" t="n"/>
      <c r="J593" s="138" t="str">
        <f>IF(C593&lt;&gt;"Despesa","",IFERROR(INDEX('Config'!$J$6:$J$40,MATCH(D593,'Config'!$I$6:$I$40,0)),"—"))</f>
        <v/>
      </c>
      <c r="K593" s="138" t="str">
        <f>IF(COUNTA(B593:F593)=0,"",IF(OR(B593="",C593="",D593="",F593=""),"▲ Completar","✔"))</f>
        <v/>
      </c>
    </row>
    <row r="594">
      <c r="B594" s="130" t="n"/>
      <c r="C594" s="129" t="n"/>
      <c r="D594" s="129" t="n"/>
      <c r="E594" s="129" t="n"/>
      <c r="F594" s="145" t="n"/>
      <c r="G594" s="129" t="n"/>
      <c r="H594" s="129" t="n"/>
      <c r="I594" s="129" t="n"/>
      <c r="J594" s="138" t="str">
        <f>IF(C594&lt;&gt;"Despesa","",IFERROR(INDEX('Config'!$J$6:$J$40,MATCH(D594,'Config'!$I$6:$I$40,0)),"—"))</f>
        <v/>
      </c>
      <c r="K594" s="138" t="str">
        <f>IF(COUNTA(B594:F594)=0,"",IF(OR(B594="",C594="",D594="",F594=""),"▲ Completar","✔"))</f>
        <v/>
      </c>
    </row>
    <row r="595">
      <c r="B595" s="130" t="n"/>
      <c r="C595" s="129" t="n"/>
      <c r="D595" s="129" t="n"/>
      <c r="E595" s="129" t="n"/>
      <c r="F595" s="145" t="n"/>
      <c r="G595" s="129" t="n"/>
      <c r="H595" s="129" t="n"/>
      <c r="I595" s="129" t="n"/>
      <c r="J595" s="138" t="str">
        <f>IF(C595&lt;&gt;"Despesa","",IFERROR(INDEX('Config'!$J$6:$J$40,MATCH(D595,'Config'!$I$6:$I$40,0)),"—"))</f>
        <v/>
      </c>
      <c r="K595" s="138" t="str">
        <f>IF(COUNTA(B595:F595)=0,"",IF(OR(B595="",C595="",D595="",F595=""),"▲ Completar","✔"))</f>
        <v/>
      </c>
    </row>
    <row r="596">
      <c r="B596" s="130" t="n"/>
      <c r="C596" s="129" t="n"/>
      <c r="D596" s="129" t="n"/>
      <c r="E596" s="129" t="n"/>
      <c r="F596" s="145" t="n"/>
      <c r="G596" s="129" t="n"/>
      <c r="H596" s="129" t="n"/>
      <c r="I596" s="129" t="n"/>
      <c r="J596" s="138" t="str">
        <f>IF(C596&lt;&gt;"Despesa","",IFERROR(INDEX('Config'!$J$6:$J$40,MATCH(D596,'Config'!$I$6:$I$40,0)),"—"))</f>
        <v/>
      </c>
      <c r="K596" s="138" t="str">
        <f>IF(COUNTA(B596:F596)=0,"",IF(OR(B596="",C596="",D596="",F596=""),"▲ Completar","✔"))</f>
        <v/>
      </c>
    </row>
    <row r="597">
      <c r="B597" s="130" t="n"/>
      <c r="C597" s="129" t="n"/>
      <c r="D597" s="129" t="n"/>
      <c r="E597" s="129" t="n"/>
      <c r="F597" s="145" t="n"/>
      <c r="G597" s="129" t="n"/>
      <c r="H597" s="129" t="n"/>
      <c r="I597" s="129" t="n"/>
      <c r="J597" s="138" t="str">
        <f>IF(C597&lt;&gt;"Despesa","",IFERROR(INDEX('Config'!$J$6:$J$40,MATCH(D597,'Config'!$I$6:$I$40,0)),"—"))</f>
        <v/>
      </c>
      <c r="K597" s="138" t="str">
        <f>IF(COUNTA(B597:F597)=0,"",IF(OR(B597="",C597="",D597="",F597=""),"▲ Completar","✔"))</f>
        <v/>
      </c>
    </row>
    <row r="598">
      <c r="B598" s="130" t="n"/>
      <c r="C598" s="129" t="n"/>
      <c r="D598" s="129" t="n"/>
      <c r="E598" s="129" t="n"/>
      <c r="F598" s="145" t="n"/>
      <c r="G598" s="129" t="n"/>
      <c r="H598" s="129" t="n"/>
      <c r="I598" s="129" t="n"/>
      <c r="J598" s="138" t="str">
        <f>IF(C598&lt;&gt;"Despesa","",IFERROR(INDEX('Config'!$J$6:$J$40,MATCH(D598,'Config'!$I$6:$I$40,0)),"—"))</f>
        <v/>
      </c>
      <c r="K598" s="138" t="str">
        <f>IF(COUNTA(B598:F598)=0,"",IF(OR(B598="",C598="",D598="",F598=""),"▲ Completar","✔"))</f>
        <v/>
      </c>
    </row>
    <row r="599">
      <c r="B599" s="130" t="n"/>
      <c r="C599" s="129" t="n"/>
      <c r="D599" s="129" t="n"/>
      <c r="E599" s="129" t="n"/>
      <c r="F599" s="145" t="n"/>
      <c r="G599" s="129" t="n"/>
      <c r="H599" s="129" t="n"/>
      <c r="I599" s="129" t="n"/>
      <c r="J599" s="138" t="str">
        <f>IF(C599&lt;&gt;"Despesa","",IFERROR(INDEX('Config'!$J$6:$J$40,MATCH(D599,'Config'!$I$6:$I$40,0)),"—"))</f>
        <v/>
      </c>
      <c r="K599" s="138" t="str">
        <f>IF(COUNTA(B599:F599)=0,"",IF(OR(B599="",C599="",D599="",F599=""),"▲ Completar","✔"))</f>
        <v/>
      </c>
    </row>
    <row r="600">
      <c r="B600" s="130" t="n"/>
      <c r="C600" s="129" t="n"/>
      <c r="D600" s="129" t="n"/>
      <c r="E600" s="129" t="n"/>
      <c r="F600" s="145" t="n"/>
      <c r="G600" s="129" t="n"/>
      <c r="H600" s="129" t="n"/>
      <c r="I600" s="129" t="n"/>
      <c r="J600" s="138" t="str">
        <f>IF(C600&lt;&gt;"Despesa","",IFERROR(INDEX('Config'!$J$6:$J$40,MATCH(D600,'Config'!$I$6:$I$40,0)),"—"))</f>
        <v/>
      </c>
      <c r="K600" s="138" t="str">
        <f>IF(COUNTA(B600:F600)=0,"",IF(OR(B600="",C600="",D600="",F600=""),"▲ Completar","✔"))</f>
        <v/>
      </c>
    </row>
    <row r="601">
      <c r="B601" s="130" t="n"/>
      <c r="C601" s="129" t="n"/>
      <c r="D601" s="129" t="n"/>
      <c r="E601" s="129" t="n"/>
      <c r="F601" s="145" t="n"/>
      <c r="G601" s="129" t="n"/>
      <c r="H601" s="129" t="n"/>
      <c r="I601" s="129" t="n"/>
      <c r="J601" s="138" t="str">
        <f>IF(C601&lt;&gt;"Despesa","",IFERROR(INDEX('Config'!$J$6:$J$40,MATCH(D601,'Config'!$I$6:$I$40,0)),"—"))</f>
        <v/>
      </c>
      <c r="K601" s="138" t="str">
        <f>IF(COUNTA(B601:F601)=0,"",IF(OR(B601="",C601="",D601="",F601=""),"▲ Completar","✔"))</f>
        <v/>
      </c>
    </row>
    <row r="602">
      <c r="B602" s="130" t="n"/>
      <c r="C602" s="129" t="n"/>
      <c r="D602" s="129" t="n"/>
      <c r="E602" s="129" t="n"/>
      <c r="F602" s="145" t="n"/>
      <c r="G602" s="129" t="n"/>
      <c r="H602" s="129" t="n"/>
      <c r="I602" s="129" t="n"/>
      <c r="J602" s="138" t="str">
        <f>IF(C602&lt;&gt;"Despesa","",IFERROR(INDEX('Config'!$J$6:$J$40,MATCH(D602,'Config'!$I$6:$I$40,0)),"—"))</f>
        <v/>
      </c>
      <c r="K602" s="138" t="str">
        <f>IF(COUNTA(B602:F602)=0,"",IF(OR(B602="",C602="",D602="",F602=""),"▲ Completar","✔"))</f>
        <v/>
      </c>
    </row>
    <row r="603">
      <c r="B603" s="130" t="n"/>
      <c r="C603" s="129" t="n"/>
      <c r="D603" s="129" t="n"/>
      <c r="E603" s="129" t="n"/>
      <c r="F603" s="145" t="n"/>
      <c r="G603" s="129" t="n"/>
      <c r="H603" s="129" t="n"/>
      <c r="I603" s="129" t="n"/>
      <c r="J603" s="138" t="str">
        <f>IF(C603&lt;&gt;"Despesa","",IFERROR(INDEX('Config'!$J$6:$J$40,MATCH(D603,'Config'!$I$6:$I$40,0)),"—"))</f>
        <v/>
      </c>
      <c r="K603" s="138" t="str">
        <f>IF(COUNTA(B603:F603)=0,"",IF(OR(B603="",C603="",D603="",F603=""),"▲ Completar","✔"))</f>
        <v/>
      </c>
    </row>
    <row r="604">
      <c r="B604" s="130" t="n"/>
      <c r="C604" s="129" t="n"/>
      <c r="D604" s="129" t="n"/>
      <c r="E604" s="129" t="n"/>
      <c r="F604" s="145" t="n"/>
      <c r="G604" s="129" t="n"/>
      <c r="H604" s="129" t="n"/>
      <c r="I604" s="129" t="n"/>
      <c r="J604" s="138" t="str">
        <f>IF(C604&lt;&gt;"Despesa","",IFERROR(INDEX('Config'!$J$6:$J$40,MATCH(D604,'Config'!$I$6:$I$40,0)),"—"))</f>
        <v/>
      </c>
      <c r="K604" s="138" t="str">
        <f>IF(COUNTA(B604:F604)=0,"",IF(OR(B604="",C604="",D604="",F604=""),"▲ Completar","✔"))</f>
        <v/>
      </c>
    </row>
    <row r="605">
      <c r="B605" s="130" t="n"/>
      <c r="C605" s="129" t="n"/>
      <c r="D605" s="129" t="n"/>
      <c r="E605" s="129" t="n"/>
      <c r="F605" s="145" t="n"/>
      <c r="G605" s="129" t="n"/>
      <c r="H605" s="129" t="n"/>
      <c r="I605" s="129" t="n"/>
      <c r="J605" s="138" t="str">
        <f>IF(C605&lt;&gt;"Despesa","",IFERROR(INDEX('Config'!$J$6:$J$40,MATCH(D605,'Config'!$I$6:$I$40,0)),"—"))</f>
        <v/>
      </c>
      <c r="K605" s="138" t="str">
        <f>IF(COUNTA(B605:F605)=0,"",IF(OR(B605="",C605="",D605="",F605=""),"▲ Completar","✔"))</f>
        <v/>
      </c>
    </row>
    <row r="606">
      <c r="B606" s="130" t="n"/>
      <c r="C606" s="129" t="n"/>
      <c r="D606" s="129" t="n"/>
      <c r="E606" s="129" t="n"/>
      <c r="F606" s="145" t="n"/>
      <c r="G606" s="129" t="n"/>
      <c r="H606" s="129" t="n"/>
      <c r="I606" s="129" t="n"/>
      <c r="J606" s="138" t="str">
        <f>IF(C606&lt;&gt;"Despesa","",IFERROR(INDEX('Config'!$J$6:$J$40,MATCH(D606,'Config'!$I$6:$I$40,0)),"—"))</f>
        <v/>
      </c>
      <c r="K606" s="138" t="str">
        <f>IF(COUNTA(B606:F606)=0,"",IF(OR(B606="",C606="",D606="",F606=""),"▲ Completar","✔"))</f>
        <v/>
      </c>
    </row>
    <row r="607">
      <c r="B607" s="130" t="n"/>
      <c r="C607" s="129" t="n"/>
      <c r="D607" s="129" t="n"/>
      <c r="E607" s="129" t="n"/>
      <c r="F607" s="145" t="n"/>
      <c r="G607" s="129" t="n"/>
      <c r="H607" s="129" t="n"/>
      <c r="I607" s="129" t="n"/>
      <c r="J607" s="138" t="str">
        <f>IF(C607&lt;&gt;"Despesa","",IFERROR(INDEX('Config'!$J$6:$J$40,MATCH(D607,'Config'!$I$6:$I$40,0)),"—"))</f>
        <v/>
      </c>
      <c r="K607" s="138" t="str">
        <f>IF(COUNTA(B607:F607)=0,"",IF(OR(B607="",C607="",D607="",F607=""),"▲ Completar","✔"))</f>
        <v/>
      </c>
    </row>
    <row r="608">
      <c r="B608" s="130" t="n"/>
      <c r="C608" s="129" t="n"/>
      <c r="D608" s="129" t="n"/>
      <c r="E608" s="129" t="n"/>
      <c r="F608" s="145" t="n"/>
      <c r="G608" s="129" t="n"/>
      <c r="H608" s="129" t="n"/>
      <c r="I608" s="129" t="n"/>
      <c r="J608" s="138" t="str">
        <f>IF(C608&lt;&gt;"Despesa","",IFERROR(INDEX('Config'!$J$6:$J$40,MATCH(D608,'Config'!$I$6:$I$40,0)),"—"))</f>
        <v/>
      </c>
      <c r="K608" s="138" t="str">
        <f>IF(COUNTA(B608:F608)=0,"",IF(OR(B608="",C608="",D608="",F608=""),"▲ Completar","✔"))</f>
        <v/>
      </c>
    </row>
    <row r="609">
      <c r="B609" s="130" t="n"/>
      <c r="C609" s="129" t="n"/>
      <c r="D609" s="129" t="n"/>
      <c r="E609" s="129" t="n"/>
      <c r="F609" s="145" t="n"/>
      <c r="G609" s="129" t="n"/>
      <c r="H609" s="129" t="n"/>
      <c r="I609" s="129" t="n"/>
      <c r="J609" s="138" t="str">
        <f>IF(C609&lt;&gt;"Despesa","",IFERROR(INDEX('Config'!$J$6:$J$40,MATCH(D609,'Config'!$I$6:$I$40,0)),"—"))</f>
        <v/>
      </c>
      <c r="K609" s="138" t="str">
        <f>IF(COUNTA(B609:F609)=0,"",IF(OR(B609="",C609="",D609="",F609=""),"▲ Completar","✔"))</f>
        <v/>
      </c>
    </row>
    <row r="610">
      <c r="B610" s="130" t="n"/>
      <c r="C610" s="129" t="n"/>
      <c r="D610" s="129" t="n"/>
      <c r="E610" s="129" t="n"/>
      <c r="F610" s="145" t="n"/>
      <c r="G610" s="129" t="n"/>
      <c r="H610" s="129" t="n"/>
      <c r="I610" s="129" t="n"/>
      <c r="J610" s="138" t="str">
        <f>IF(C610&lt;&gt;"Despesa","",IFERROR(INDEX('Config'!$J$6:$J$40,MATCH(D610,'Config'!$I$6:$I$40,0)),"—"))</f>
        <v/>
      </c>
      <c r="K610" s="138" t="str">
        <f>IF(COUNTA(B610:F610)=0,"",IF(OR(B610="",C610="",D610="",F610=""),"▲ Completar","✔"))</f>
        <v/>
      </c>
    </row>
    <row r="611">
      <c r="B611" s="130" t="n"/>
      <c r="C611" s="129" t="n"/>
      <c r="D611" s="129" t="n"/>
      <c r="E611" s="129" t="n"/>
      <c r="F611" s="145" t="n"/>
      <c r="G611" s="129" t="n"/>
      <c r="H611" s="129" t="n"/>
      <c r="I611" s="129" t="n"/>
      <c r="J611" s="138" t="str">
        <f>IF(C611&lt;&gt;"Despesa","",IFERROR(INDEX('Config'!$J$6:$J$40,MATCH(D611,'Config'!$I$6:$I$40,0)),"—"))</f>
        <v/>
      </c>
      <c r="K611" s="138" t="str">
        <f>IF(COUNTA(B611:F611)=0,"",IF(OR(B611="",C611="",D611="",F611=""),"▲ Completar","✔"))</f>
        <v/>
      </c>
    </row>
    <row r="612">
      <c r="B612" s="130" t="n"/>
      <c r="C612" s="129" t="n"/>
      <c r="D612" s="129" t="n"/>
      <c r="E612" s="129" t="n"/>
      <c r="F612" s="145" t="n"/>
      <c r="G612" s="129" t="n"/>
      <c r="H612" s="129" t="n"/>
      <c r="I612" s="129" t="n"/>
      <c r="J612" s="138" t="str">
        <f>IF(C612&lt;&gt;"Despesa","",IFERROR(INDEX('Config'!$J$6:$J$40,MATCH(D612,'Config'!$I$6:$I$40,0)),"—"))</f>
        <v/>
      </c>
      <c r="K612" s="138" t="str">
        <f>IF(COUNTA(B612:F612)=0,"",IF(OR(B612="",C612="",D612="",F612=""),"▲ Completar","✔"))</f>
        <v/>
      </c>
    </row>
    <row r="613">
      <c r="B613" s="130" t="n"/>
      <c r="C613" s="129" t="n"/>
      <c r="D613" s="129" t="n"/>
      <c r="E613" s="129" t="n"/>
      <c r="F613" s="145" t="n"/>
      <c r="G613" s="129" t="n"/>
      <c r="H613" s="129" t="n"/>
      <c r="I613" s="129" t="n"/>
      <c r="J613" s="138" t="str">
        <f>IF(C613&lt;&gt;"Despesa","",IFERROR(INDEX('Config'!$J$6:$J$40,MATCH(D613,'Config'!$I$6:$I$40,0)),"—"))</f>
        <v/>
      </c>
      <c r="K613" s="138" t="str">
        <f>IF(COUNTA(B613:F613)=0,"",IF(OR(B613="",C613="",D613="",F613=""),"▲ Completar","✔"))</f>
        <v/>
      </c>
    </row>
    <row r="614">
      <c r="B614" s="130" t="n"/>
      <c r="C614" s="129" t="n"/>
      <c r="D614" s="129" t="n"/>
      <c r="E614" s="129" t="n"/>
      <c r="F614" s="145" t="n"/>
      <c r="G614" s="129" t="n"/>
      <c r="H614" s="129" t="n"/>
      <c r="I614" s="129" t="n"/>
      <c r="J614" s="138" t="str">
        <f>IF(C614&lt;&gt;"Despesa","",IFERROR(INDEX('Config'!$J$6:$J$40,MATCH(D614,'Config'!$I$6:$I$40,0)),"—"))</f>
        <v/>
      </c>
      <c r="K614" s="138" t="str">
        <f>IF(COUNTA(B614:F614)=0,"",IF(OR(B614="",C614="",D614="",F614=""),"▲ Completar","✔"))</f>
        <v/>
      </c>
    </row>
    <row r="615">
      <c r="B615" s="130" t="n"/>
      <c r="C615" s="129" t="n"/>
      <c r="D615" s="129" t="n"/>
      <c r="E615" s="129" t="n"/>
      <c r="F615" s="145" t="n"/>
      <c r="G615" s="129" t="n"/>
      <c r="H615" s="129" t="n"/>
      <c r="I615" s="129" t="n"/>
      <c r="J615" s="138" t="str">
        <f>IF(C615&lt;&gt;"Despesa","",IFERROR(INDEX('Config'!$J$6:$J$40,MATCH(D615,'Config'!$I$6:$I$40,0)),"—"))</f>
        <v/>
      </c>
      <c r="K615" s="138" t="str">
        <f>IF(COUNTA(B615:F615)=0,"",IF(OR(B615="",C615="",D615="",F615=""),"▲ Completar","✔"))</f>
        <v/>
      </c>
    </row>
    <row r="616">
      <c r="B616" s="130" t="n"/>
      <c r="C616" s="129" t="n"/>
      <c r="D616" s="129" t="n"/>
      <c r="E616" s="129" t="n"/>
      <c r="F616" s="145" t="n"/>
      <c r="G616" s="129" t="n"/>
      <c r="H616" s="129" t="n"/>
      <c r="I616" s="129" t="n"/>
      <c r="J616" s="138" t="str">
        <f>IF(C616&lt;&gt;"Despesa","",IFERROR(INDEX('Config'!$J$6:$J$40,MATCH(D616,'Config'!$I$6:$I$40,0)),"—"))</f>
        <v/>
      </c>
      <c r="K616" s="138" t="str">
        <f>IF(COUNTA(B616:F616)=0,"",IF(OR(B616="",C616="",D616="",F616=""),"▲ Completar","✔"))</f>
        <v/>
      </c>
    </row>
    <row r="617">
      <c r="B617" s="130" t="n"/>
      <c r="C617" s="129" t="n"/>
      <c r="D617" s="129" t="n"/>
      <c r="E617" s="129" t="n"/>
      <c r="F617" s="145" t="n"/>
      <c r="G617" s="129" t="n"/>
      <c r="H617" s="129" t="n"/>
      <c r="I617" s="129" t="n"/>
      <c r="J617" s="138" t="str">
        <f>IF(C617&lt;&gt;"Despesa","",IFERROR(INDEX('Config'!$J$6:$J$40,MATCH(D617,'Config'!$I$6:$I$40,0)),"—"))</f>
        <v/>
      </c>
      <c r="K617" s="138" t="str">
        <f>IF(COUNTA(B617:F617)=0,"",IF(OR(B617="",C617="",D617="",F617=""),"▲ Completar","✔"))</f>
        <v/>
      </c>
    </row>
    <row r="618">
      <c r="B618" s="130" t="n"/>
      <c r="C618" s="129" t="n"/>
      <c r="D618" s="129" t="n"/>
      <c r="E618" s="129" t="n"/>
      <c r="F618" s="145" t="n"/>
      <c r="G618" s="129" t="n"/>
      <c r="H618" s="129" t="n"/>
      <c r="I618" s="129" t="n"/>
      <c r="J618" s="138" t="str">
        <f>IF(C618&lt;&gt;"Despesa","",IFERROR(INDEX('Config'!$J$6:$J$40,MATCH(D618,'Config'!$I$6:$I$40,0)),"—"))</f>
        <v/>
      </c>
      <c r="K618" s="138" t="str">
        <f>IF(COUNTA(B618:F618)=0,"",IF(OR(B618="",C618="",D618="",F618=""),"▲ Completar","✔"))</f>
        <v/>
      </c>
    </row>
    <row r="619">
      <c r="B619" s="130" t="n"/>
      <c r="C619" s="129" t="n"/>
      <c r="D619" s="129" t="n"/>
      <c r="E619" s="129" t="n"/>
      <c r="F619" s="145" t="n"/>
      <c r="G619" s="129" t="n"/>
      <c r="H619" s="129" t="n"/>
      <c r="I619" s="129" t="n"/>
      <c r="J619" s="138" t="str">
        <f>IF(C619&lt;&gt;"Despesa","",IFERROR(INDEX('Config'!$J$6:$J$40,MATCH(D619,'Config'!$I$6:$I$40,0)),"—"))</f>
        <v/>
      </c>
      <c r="K619" s="138" t="str">
        <f>IF(COUNTA(B619:F619)=0,"",IF(OR(B619="",C619="",D619="",F619=""),"▲ Completar","✔"))</f>
        <v/>
      </c>
    </row>
    <row r="620">
      <c r="B620" s="130" t="n"/>
      <c r="C620" s="129" t="n"/>
      <c r="D620" s="129" t="n"/>
      <c r="E620" s="129" t="n"/>
      <c r="F620" s="145" t="n"/>
      <c r="G620" s="129" t="n"/>
      <c r="H620" s="129" t="n"/>
      <c r="I620" s="129" t="n"/>
      <c r="J620" s="138" t="str">
        <f>IF(C620&lt;&gt;"Despesa","",IFERROR(INDEX('Config'!$J$6:$J$40,MATCH(D620,'Config'!$I$6:$I$40,0)),"—"))</f>
        <v/>
      </c>
      <c r="K620" s="138" t="str">
        <f>IF(COUNTA(B620:F620)=0,"",IF(OR(B620="",C620="",D620="",F620=""),"▲ Completar","✔"))</f>
        <v/>
      </c>
    </row>
    <row r="621">
      <c r="B621" s="130" t="n"/>
      <c r="C621" s="129" t="n"/>
      <c r="D621" s="129" t="n"/>
      <c r="E621" s="129" t="n"/>
      <c r="F621" s="145" t="n"/>
      <c r="G621" s="129" t="n"/>
      <c r="H621" s="129" t="n"/>
      <c r="I621" s="129" t="n"/>
      <c r="J621" s="138" t="str">
        <f>IF(C621&lt;&gt;"Despesa","",IFERROR(INDEX('Config'!$J$6:$J$40,MATCH(D621,'Config'!$I$6:$I$40,0)),"—"))</f>
        <v/>
      </c>
      <c r="K621" s="138" t="str">
        <f>IF(COUNTA(B621:F621)=0,"",IF(OR(B621="",C621="",D621="",F621=""),"▲ Completar","✔"))</f>
        <v/>
      </c>
    </row>
    <row r="622">
      <c r="B622" s="130" t="n"/>
      <c r="C622" s="129" t="n"/>
      <c r="D622" s="129" t="n"/>
      <c r="E622" s="129" t="n"/>
      <c r="F622" s="145" t="n"/>
      <c r="G622" s="129" t="n"/>
      <c r="H622" s="129" t="n"/>
      <c r="I622" s="129" t="n"/>
      <c r="J622" s="138" t="str">
        <f>IF(C622&lt;&gt;"Despesa","",IFERROR(INDEX('Config'!$J$6:$J$40,MATCH(D622,'Config'!$I$6:$I$40,0)),"—"))</f>
        <v/>
      </c>
      <c r="K622" s="138" t="str">
        <f>IF(COUNTA(B622:F622)=0,"",IF(OR(B622="",C622="",D622="",F622=""),"▲ Completar","✔"))</f>
        <v/>
      </c>
    </row>
    <row r="623">
      <c r="B623" s="130" t="n"/>
      <c r="C623" s="129" t="n"/>
      <c r="D623" s="129" t="n"/>
      <c r="E623" s="129" t="n"/>
      <c r="F623" s="145" t="n"/>
      <c r="G623" s="129" t="n"/>
      <c r="H623" s="129" t="n"/>
      <c r="I623" s="129" t="n"/>
      <c r="J623" s="138" t="str">
        <f>IF(C623&lt;&gt;"Despesa","",IFERROR(INDEX('Config'!$J$6:$J$40,MATCH(D623,'Config'!$I$6:$I$40,0)),"—"))</f>
        <v/>
      </c>
      <c r="K623" s="138" t="str">
        <f>IF(COUNTA(B623:F623)=0,"",IF(OR(B623="",C623="",D623="",F623=""),"▲ Completar","✔"))</f>
        <v/>
      </c>
    </row>
    <row r="624">
      <c r="B624" s="130" t="n"/>
      <c r="C624" s="129" t="n"/>
      <c r="D624" s="129" t="n"/>
      <c r="E624" s="129" t="n"/>
      <c r="F624" s="145" t="n"/>
      <c r="G624" s="129" t="n"/>
      <c r="H624" s="129" t="n"/>
      <c r="I624" s="129" t="n"/>
      <c r="J624" s="138" t="str">
        <f>IF(C624&lt;&gt;"Despesa","",IFERROR(INDEX('Config'!$J$6:$J$40,MATCH(D624,'Config'!$I$6:$I$40,0)),"—"))</f>
        <v/>
      </c>
      <c r="K624" s="138" t="str">
        <f>IF(COUNTA(B624:F624)=0,"",IF(OR(B624="",C624="",D624="",F624=""),"▲ Completar","✔"))</f>
        <v/>
      </c>
    </row>
    <row r="625">
      <c r="B625" s="130" t="n"/>
      <c r="C625" s="129" t="n"/>
      <c r="D625" s="129" t="n"/>
      <c r="E625" s="129" t="n"/>
      <c r="F625" s="145" t="n"/>
      <c r="G625" s="129" t="n"/>
      <c r="H625" s="129" t="n"/>
      <c r="I625" s="129" t="n"/>
      <c r="J625" s="138" t="str">
        <f>IF(C625&lt;&gt;"Despesa","",IFERROR(INDEX('Config'!$J$6:$J$40,MATCH(D625,'Config'!$I$6:$I$40,0)),"—"))</f>
        <v/>
      </c>
      <c r="K625" s="138" t="str">
        <f>IF(COUNTA(B625:F625)=0,"",IF(OR(B625="",C625="",D625="",F625=""),"▲ Completar","✔"))</f>
        <v/>
      </c>
    </row>
    <row r="626">
      <c r="B626" s="130" t="n"/>
      <c r="C626" s="129" t="n"/>
      <c r="D626" s="129" t="n"/>
      <c r="E626" s="129" t="n"/>
      <c r="F626" s="145" t="n"/>
      <c r="G626" s="129" t="n"/>
      <c r="H626" s="129" t="n"/>
      <c r="I626" s="129" t="n"/>
      <c r="J626" s="138" t="str">
        <f>IF(C626&lt;&gt;"Despesa","",IFERROR(INDEX('Config'!$J$6:$J$40,MATCH(D626,'Config'!$I$6:$I$40,0)),"—"))</f>
        <v/>
      </c>
      <c r="K626" s="138" t="str">
        <f>IF(COUNTA(B626:F626)=0,"",IF(OR(B626="",C626="",D626="",F626=""),"▲ Completar","✔"))</f>
        <v/>
      </c>
    </row>
    <row r="627">
      <c r="B627" s="130" t="n"/>
      <c r="C627" s="129" t="n"/>
      <c r="D627" s="129" t="n"/>
      <c r="E627" s="129" t="n"/>
      <c r="F627" s="145" t="n"/>
      <c r="G627" s="129" t="n"/>
      <c r="H627" s="129" t="n"/>
      <c r="I627" s="129" t="n"/>
      <c r="J627" s="138" t="str">
        <f>IF(C627&lt;&gt;"Despesa","",IFERROR(INDEX('Config'!$J$6:$J$40,MATCH(D627,'Config'!$I$6:$I$40,0)),"—"))</f>
        <v/>
      </c>
      <c r="K627" s="138" t="str">
        <f>IF(COUNTA(B627:F627)=0,"",IF(OR(B627="",C627="",D627="",F627=""),"▲ Completar","✔"))</f>
        <v/>
      </c>
    </row>
    <row r="628">
      <c r="B628" s="130" t="n"/>
      <c r="C628" s="129" t="n"/>
      <c r="D628" s="129" t="n"/>
      <c r="E628" s="129" t="n"/>
      <c r="F628" s="145" t="n"/>
      <c r="G628" s="129" t="n"/>
      <c r="H628" s="129" t="n"/>
      <c r="I628" s="129" t="n"/>
      <c r="J628" s="138" t="str">
        <f>IF(C628&lt;&gt;"Despesa","",IFERROR(INDEX('Config'!$J$6:$J$40,MATCH(D628,'Config'!$I$6:$I$40,0)),"—"))</f>
        <v/>
      </c>
      <c r="K628" s="138" t="str">
        <f>IF(COUNTA(B628:F628)=0,"",IF(OR(B628="",C628="",D628="",F628=""),"▲ Completar","✔"))</f>
        <v/>
      </c>
    </row>
    <row r="629">
      <c r="B629" s="130" t="n"/>
      <c r="C629" s="129" t="n"/>
      <c r="D629" s="129" t="n"/>
      <c r="E629" s="129" t="n"/>
      <c r="F629" s="145" t="n"/>
      <c r="G629" s="129" t="n"/>
      <c r="H629" s="129" t="n"/>
      <c r="I629" s="129" t="n"/>
      <c r="J629" s="138" t="str">
        <f>IF(C629&lt;&gt;"Despesa","",IFERROR(INDEX('Config'!$J$6:$J$40,MATCH(D629,'Config'!$I$6:$I$40,0)),"—"))</f>
        <v/>
      </c>
      <c r="K629" s="138" t="str">
        <f>IF(COUNTA(B629:F629)=0,"",IF(OR(B629="",C629="",D629="",F629=""),"▲ Completar","✔"))</f>
        <v/>
      </c>
    </row>
    <row r="630">
      <c r="B630" s="130" t="n"/>
      <c r="C630" s="129" t="n"/>
      <c r="D630" s="129" t="n"/>
      <c r="E630" s="129" t="n"/>
      <c r="F630" s="145" t="n"/>
      <c r="G630" s="129" t="n"/>
      <c r="H630" s="129" t="n"/>
      <c r="I630" s="129" t="n"/>
      <c r="J630" s="138" t="str">
        <f>IF(C630&lt;&gt;"Despesa","",IFERROR(INDEX('Config'!$J$6:$J$40,MATCH(D630,'Config'!$I$6:$I$40,0)),"—"))</f>
        <v/>
      </c>
      <c r="K630" s="138" t="str">
        <f>IF(COUNTA(B630:F630)=0,"",IF(OR(B630="",C630="",D630="",F630=""),"▲ Completar","✔"))</f>
        <v/>
      </c>
    </row>
    <row r="631">
      <c r="B631" s="130" t="n"/>
      <c r="C631" s="129" t="n"/>
      <c r="D631" s="129" t="n"/>
      <c r="E631" s="129" t="n"/>
      <c r="F631" s="145" t="n"/>
      <c r="G631" s="129" t="n"/>
      <c r="H631" s="129" t="n"/>
      <c r="I631" s="129" t="n"/>
      <c r="J631" s="138" t="str">
        <f>IF(C631&lt;&gt;"Despesa","",IFERROR(INDEX('Config'!$J$6:$J$40,MATCH(D631,'Config'!$I$6:$I$40,0)),"—"))</f>
        <v/>
      </c>
      <c r="K631" s="138" t="str">
        <f>IF(COUNTA(B631:F631)=0,"",IF(OR(B631="",C631="",D631="",F631=""),"▲ Completar","✔"))</f>
        <v/>
      </c>
    </row>
    <row r="632">
      <c r="B632" s="130" t="n"/>
      <c r="C632" s="129" t="n"/>
      <c r="D632" s="129" t="n"/>
      <c r="E632" s="129" t="n"/>
      <c r="F632" s="145" t="n"/>
      <c r="G632" s="129" t="n"/>
      <c r="H632" s="129" t="n"/>
      <c r="I632" s="129" t="n"/>
      <c r="J632" s="138" t="str">
        <f>IF(C632&lt;&gt;"Despesa","",IFERROR(INDEX('Config'!$J$6:$J$40,MATCH(D632,'Config'!$I$6:$I$40,0)),"—"))</f>
        <v/>
      </c>
      <c r="K632" s="138" t="str">
        <f>IF(COUNTA(B632:F632)=0,"",IF(OR(B632="",C632="",D632="",F632=""),"▲ Completar","✔"))</f>
        <v/>
      </c>
    </row>
    <row r="633">
      <c r="B633" s="130" t="n"/>
      <c r="C633" s="129" t="n"/>
      <c r="D633" s="129" t="n"/>
      <c r="E633" s="129" t="n"/>
      <c r="F633" s="145" t="n"/>
      <c r="G633" s="129" t="n"/>
      <c r="H633" s="129" t="n"/>
      <c r="I633" s="129" t="n"/>
      <c r="J633" s="138" t="str">
        <f>IF(C633&lt;&gt;"Despesa","",IFERROR(INDEX('Config'!$J$6:$J$40,MATCH(D633,'Config'!$I$6:$I$40,0)),"—"))</f>
        <v/>
      </c>
      <c r="K633" s="138" t="str">
        <f>IF(COUNTA(B633:F633)=0,"",IF(OR(B633="",C633="",D633="",F633=""),"▲ Completar","✔"))</f>
        <v/>
      </c>
    </row>
    <row r="634">
      <c r="B634" s="130" t="n"/>
      <c r="C634" s="129" t="n"/>
      <c r="D634" s="129" t="n"/>
      <c r="E634" s="129" t="n"/>
      <c r="F634" s="145" t="n"/>
      <c r="G634" s="129" t="n"/>
      <c r="H634" s="129" t="n"/>
      <c r="I634" s="129" t="n"/>
      <c r="J634" s="138" t="str">
        <f>IF(C634&lt;&gt;"Despesa","",IFERROR(INDEX('Config'!$J$6:$J$40,MATCH(D634,'Config'!$I$6:$I$40,0)),"—"))</f>
        <v/>
      </c>
      <c r="K634" s="138" t="str">
        <f>IF(COUNTA(B634:F634)=0,"",IF(OR(B634="",C634="",D634="",F634=""),"▲ Completar","✔"))</f>
        <v/>
      </c>
    </row>
    <row r="635">
      <c r="B635" s="130" t="n"/>
      <c r="C635" s="129" t="n"/>
      <c r="D635" s="129" t="n"/>
      <c r="E635" s="129" t="n"/>
      <c r="F635" s="145" t="n"/>
      <c r="G635" s="129" t="n"/>
      <c r="H635" s="129" t="n"/>
      <c r="I635" s="129" t="n"/>
      <c r="J635" s="138" t="str">
        <f>IF(C635&lt;&gt;"Despesa","",IFERROR(INDEX('Config'!$J$6:$J$40,MATCH(D635,'Config'!$I$6:$I$40,0)),"—"))</f>
        <v/>
      </c>
      <c r="K635" s="138" t="str">
        <f>IF(COUNTA(B635:F635)=0,"",IF(OR(B635="",C635="",D635="",F635=""),"▲ Completar","✔"))</f>
        <v/>
      </c>
    </row>
    <row r="636">
      <c r="B636" s="130" t="n"/>
      <c r="C636" s="129" t="n"/>
      <c r="D636" s="129" t="n"/>
      <c r="E636" s="129" t="n"/>
      <c r="F636" s="145" t="n"/>
      <c r="G636" s="129" t="n"/>
      <c r="H636" s="129" t="n"/>
      <c r="I636" s="129" t="n"/>
      <c r="J636" s="138" t="str">
        <f>IF(C636&lt;&gt;"Despesa","",IFERROR(INDEX('Config'!$J$6:$J$40,MATCH(D636,'Config'!$I$6:$I$40,0)),"—"))</f>
        <v/>
      </c>
      <c r="K636" s="138" t="str">
        <f>IF(COUNTA(B636:F636)=0,"",IF(OR(B636="",C636="",D636="",F636=""),"▲ Completar","✔"))</f>
        <v/>
      </c>
    </row>
    <row r="637">
      <c r="B637" s="130" t="n"/>
      <c r="C637" s="129" t="n"/>
      <c r="D637" s="129" t="n"/>
      <c r="E637" s="129" t="n"/>
      <c r="F637" s="145" t="n"/>
      <c r="G637" s="129" t="n"/>
      <c r="H637" s="129" t="n"/>
      <c r="I637" s="129" t="n"/>
      <c r="J637" s="138" t="str">
        <f>IF(C637&lt;&gt;"Despesa","",IFERROR(INDEX('Config'!$J$6:$J$40,MATCH(D637,'Config'!$I$6:$I$40,0)),"—"))</f>
        <v/>
      </c>
      <c r="K637" s="138" t="str">
        <f>IF(COUNTA(B637:F637)=0,"",IF(OR(B637="",C637="",D637="",F637=""),"▲ Completar","✔"))</f>
        <v/>
      </c>
    </row>
    <row r="638">
      <c r="B638" s="130" t="n"/>
      <c r="C638" s="129" t="n"/>
      <c r="D638" s="129" t="n"/>
      <c r="E638" s="129" t="n"/>
      <c r="F638" s="145" t="n"/>
      <c r="G638" s="129" t="n"/>
      <c r="H638" s="129" t="n"/>
      <c r="I638" s="129" t="n"/>
      <c r="J638" s="138" t="str">
        <f>IF(C638&lt;&gt;"Despesa","",IFERROR(INDEX('Config'!$J$6:$J$40,MATCH(D638,'Config'!$I$6:$I$40,0)),"—"))</f>
        <v/>
      </c>
      <c r="K638" s="138" t="str">
        <f>IF(COUNTA(B638:F638)=0,"",IF(OR(B638="",C638="",D638="",F638=""),"▲ Completar","✔"))</f>
        <v/>
      </c>
    </row>
    <row r="639">
      <c r="B639" s="130" t="n"/>
      <c r="C639" s="129" t="n"/>
      <c r="D639" s="129" t="n"/>
      <c r="E639" s="129" t="n"/>
      <c r="F639" s="145" t="n"/>
      <c r="G639" s="129" t="n"/>
      <c r="H639" s="129" t="n"/>
      <c r="I639" s="129" t="n"/>
      <c r="J639" s="138" t="str">
        <f>IF(C639&lt;&gt;"Despesa","",IFERROR(INDEX('Config'!$J$6:$J$40,MATCH(D639,'Config'!$I$6:$I$40,0)),"—"))</f>
        <v/>
      </c>
      <c r="K639" s="138" t="str">
        <f>IF(COUNTA(B639:F639)=0,"",IF(OR(B639="",C639="",D639="",F639=""),"▲ Completar","✔"))</f>
        <v/>
      </c>
    </row>
    <row r="640">
      <c r="B640" s="130" t="n"/>
      <c r="C640" s="129" t="n"/>
      <c r="D640" s="129" t="n"/>
      <c r="E640" s="129" t="n"/>
      <c r="F640" s="145" t="n"/>
      <c r="G640" s="129" t="n"/>
      <c r="H640" s="129" t="n"/>
      <c r="I640" s="129" t="n"/>
      <c r="J640" s="138" t="str">
        <f>IF(C640&lt;&gt;"Despesa","",IFERROR(INDEX('Config'!$J$6:$J$40,MATCH(D640,'Config'!$I$6:$I$40,0)),"—"))</f>
        <v/>
      </c>
      <c r="K640" s="138" t="str">
        <f>IF(COUNTA(B640:F640)=0,"",IF(OR(B640="",C640="",D640="",F640=""),"▲ Completar","✔"))</f>
        <v/>
      </c>
    </row>
    <row r="641">
      <c r="B641" s="130" t="n"/>
      <c r="C641" s="129" t="n"/>
      <c r="D641" s="129" t="n"/>
      <c r="E641" s="129" t="n"/>
      <c r="F641" s="145" t="n"/>
      <c r="G641" s="129" t="n"/>
      <c r="H641" s="129" t="n"/>
      <c r="I641" s="129" t="n"/>
      <c r="J641" s="138" t="str">
        <f>IF(C641&lt;&gt;"Despesa","",IFERROR(INDEX('Config'!$J$6:$J$40,MATCH(D641,'Config'!$I$6:$I$40,0)),"—"))</f>
        <v/>
      </c>
      <c r="K641" s="138" t="str">
        <f>IF(COUNTA(B641:F641)=0,"",IF(OR(B641="",C641="",D641="",F641=""),"▲ Completar","✔"))</f>
        <v/>
      </c>
    </row>
    <row r="642">
      <c r="B642" s="130" t="n"/>
      <c r="C642" s="129" t="n"/>
      <c r="D642" s="129" t="n"/>
      <c r="E642" s="129" t="n"/>
      <c r="F642" s="145" t="n"/>
      <c r="G642" s="129" t="n"/>
      <c r="H642" s="129" t="n"/>
      <c r="I642" s="129" t="n"/>
      <c r="J642" s="138" t="str">
        <f>IF(C642&lt;&gt;"Despesa","",IFERROR(INDEX('Config'!$J$6:$J$40,MATCH(D642,'Config'!$I$6:$I$40,0)),"—"))</f>
        <v/>
      </c>
      <c r="K642" s="138" t="str">
        <f>IF(COUNTA(B642:F642)=0,"",IF(OR(B642="",C642="",D642="",F642=""),"▲ Completar","✔"))</f>
        <v/>
      </c>
    </row>
    <row r="643">
      <c r="B643" s="130" t="n"/>
      <c r="C643" s="129" t="n"/>
      <c r="D643" s="129" t="n"/>
      <c r="E643" s="129" t="n"/>
      <c r="F643" s="145" t="n"/>
      <c r="G643" s="129" t="n"/>
      <c r="H643" s="129" t="n"/>
      <c r="I643" s="129" t="n"/>
      <c r="J643" s="138" t="str">
        <f>IF(C643&lt;&gt;"Despesa","",IFERROR(INDEX('Config'!$J$6:$J$40,MATCH(D643,'Config'!$I$6:$I$40,0)),"—"))</f>
        <v/>
      </c>
      <c r="K643" s="138" t="str">
        <f>IF(COUNTA(B643:F643)=0,"",IF(OR(B643="",C643="",D643="",F643=""),"▲ Completar","✔"))</f>
        <v/>
      </c>
    </row>
    <row r="644">
      <c r="B644" s="130" t="n"/>
      <c r="C644" s="129" t="n"/>
      <c r="D644" s="129" t="n"/>
      <c r="E644" s="129" t="n"/>
      <c r="F644" s="145" t="n"/>
      <c r="G644" s="129" t="n"/>
      <c r="H644" s="129" t="n"/>
      <c r="I644" s="129" t="n"/>
      <c r="J644" s="138" t="str">
        <f>IF(C644&lt;&gt;"Despesa","",IFERROR(INDEX('Config'!$J$6:$J$40,MATCH(D644,'Config'!$I$6:$I$40,0)),"—"))</f>
        <v/>
      </c>
      <c r="K644" s="138" t="str">
        <f>IF(COUNTA(B644:F644)=0,"",IF(OR(B644="",C644="",D644="",F644=""),"▲ Completar","✔"))</f>
        <v/>
      </c>
    </row>
    <row r="645">
      <c r="B645" s="130" t="n"/>
      <c r="C645" s="129" t="n"/>
      <c r="D645" s="129" t="n"/>
      <c r="E645" s="129" t="n"/>
      <c r="F645" s="145" t="n"/>
      <c r="G645" s="129" t="n"/>
      <c r="H645" s="129" t="n"/>
      <c r="I645" s="129" t="n"/>
      <c r="J645" s="138" t="str">
        <f>IF(C645&lt;&gt;"Despesa","",IFERROR(INDEX('Config'!$J$6:$J$40,MATCH(D645,'Config'!$I$6:$I$40,0)),"—"))</f>
        <v/>
      </c>
      <c r="K645" s="138" t="str">
        <f>IF(COUNTA(B645:F645)=0,"",IF(OR(B645="",C645="",D645="",F645=""),"▲ Completar","✔"))</f>
        <v/>
      </c>
    </row>
    <row r="646">
      <c r="B646" s="130" t="n"/>
      <c r="C646" s="129" t="n"/>
      <c r="D646" s="129" t="n"/>
      <c r="E646" s="129" t="n"/>
      <c r="F646" s="145" t="n"/>
      <c r="G646" s="129" t="n"/>
      <c r="H646" s="129" t="n"/>
      <c r="I646" s="129" t="n"/>
      <c r="J646" s="138" t="str">
        <f>IF(C646&lt;&gt;"Despesa","",IFERROR(INDEX('Config'!$J$6:$J$40,MATCH(D646,'Config'!$I$6:$I$40,0)),"—"))</f>
        <v/>
      </c>
      <c r="K646" s="138" t="str">
        <f>IF(COUNTA(B646:F646)=0,"",IF(OR(B646="",C646="",D646="",F646=""),"▲ Completar","✔"))</f>
        <v/>
      </c>
    </row>
    <row r="647">
      <c r="B647" s="130" t="n"/>
      <c r="C647" s="129" t="n"/>
      <c r="D647" s="129" t="n"/>
      <c r="E647" s="129" t="n"/>
      <c r="F647" s="145" t="n"/>
      <c r="G647" s="129" t="n"/>
      <c r="H647" s="129" t="n"/>
      <c r="I647" s="129" t="n"/>
      <c r="J647" s="138" t="str">
        <f>IF(C647&lt;&gt;"Despesa","",IFERROR(INDEX('Config'!$J$6:$J$40,MATCH(D647,'Config'!$I$6:$I$40,0)),"—"))</f>
        <v/>
      </c>
      <c r="K647" s="138" t="str">
        <f>IF(COUNTA(B647:F647)=0,"",IF(OR(B647="",C647="",D647="",F647=""),"▲ Completar","✔"))</f>
        <v/>
      </c>
    </row>
    <row r="648">
      <c r="B648" s="130" t="n"/>
      <c r="C648" s="129" t="n"/>
      <c r="D648" s="129" t="n"/>
      <c r="E648" s="129" t="n"/>
      <c r="F648" s="145" t="n"/>
      <c r="G648" s="129" t="n"/>
      <c r="H648" s="129" t="n"/>
      <c r="I648" s="129" t="n"/>
      <c r="J648" s="138" t="str">
        <f>IF(C648&lt;&gt;"Despesa","",IFERROR(INDEX('Config'!$J$6:$J$40,MATCH(D648,'Config'!$I$6:$I$40,0)),"—"))</f>
        <v/>
      </c>
      <c r="K648" s="138" t="str">
        <f>IF(COUNTA(B648:F648)=0,"",IF(OR(B648="",C648="",D648="",F648=""),"▲ Completar","✔"))</f>
        <v/>
      </c>
    </row>
    <row r="649">
      <c r="B649" s="130" t="n"/>
      <c r="C649" s="129" t="n"/>
      <c r="D649" s="129" t="n"/>
      <c r="E649" s="129" t="n"/>
      <c r="F649" s="145" t="n"/>
      <c r="G649" s="129" t="n"/>
      <c r="H649" s="129" t="n"/>
      <c r="I649" s="129" t="n"/>
      <c r="J649" s="138" t="str">
        <f>IF(C649&lt;&gt;"Despesa","",IFERROR(INDEX('Config'!$J$6:$J$40,MATCH(D649,'Config'!$I$6:$I$40,0)),"—"))</f>
        <v/>
      </c>
      <c r="K649" s="138" t="str">
        <f>IF(COUNTA(B649:F649)=0,"",IF(OR(B649="",C649="",D649="",F649=""),"▲ Completar","✔"))</f>
        <v/>
      </c>
    </row>
    <row r="650">
      <c r="B650" s="130" t="n"/>
      <c r="C650" s="129" t="n"/>
      <c r="D650" s="129" t="n"/>
      <c r="E650" s="129" t="n"/>
      <c r="F650" s="145" t="n"/>
      <c r="G650" s="129" t="n"/>
      <c r="H650" s="129" t="n"/>
      <c r="I650" s="129" t="n"/>
      <c r="J650" s="138" t="str">
        <f>IF(C650&lt;&gt;"Despesa","",IFERROR(INDEX('Config'!$J$6:$J$40,MATCH(D650,'Config'!$I$6:$I$40,0)),"—"))</f>
        <v/>
      </c>
      <c r="K650" s="138" t="str">
        <f>IF(COUNTA(B650:F650)=0,"",IF(OR(B650="",C650="",D650="",F650=""),"▲ Completar","✔"))</f>
        <v/>
      </c>
    </row>
    <row r="651">
      <c r="B651" s="130" t="n"/>
      <c r="C651" s="129" t="n"/>
      <c r="D651" s="129" t="n"/>
      <c r="E651" s="129" t="n"/>
      <c r="F651" s="145" t="n"/>
      <c r="G651" s="129" t="n"/>
      <c r="H651" s="129" t="n"/>
      <c r="I651" s="129" t="n"/>
      <c r="J651" s="138" t="str">
        <f>IF(C651&lt;&gt;"Despesa","",IFERROR(INDEX('Config'!$J$6:$J$40,MATCH(D651,'Config'!$I$6:$I$40,0)),"—"))</f>
        <v/>
      </c>
      <c r="K651" s="138" t="str">
        <f>IF(COUNTA(B651:F651)=0,"",IF(OR(B651="",C651="",D651="",F651=""),"▲ Completar","✔"))</f>
        <v/>
      </c>
    </row>
    <row r="652">
      <c r="B652" s="130" t="n"/>
      <c r="C652" s="129" t="n"/>
      <c r="D652" s="129" t="n"/>
      <c r="E652" s="129" t="n"/>
      <c r="F652" s="145" t="n"/>
      <c r="G652" s="129" t="n"/>
      <c r="H652" s="129" t="n"/>
      <c r="I652" s="129" t="n"/>
      <c r="J652" s="138" t="str">
        <f>IF(C652&lt;&gt;"Despesa","",IFERROR(INDEX('Config'!$J$6:$J$40,MATCH(D652,'Config'!$I$6:$I$40,0)),"—"))</f>
        <v/>
      </c>
      <c r="K652" s="138" t="str">
        <f>IF(COUNTA(B652:F652)=0,"",IF(OR(B652="",C652="",D652="",F652=""),"▲ Completar","✔"))</f>
        <v/>
      </c>
    </row>
    <row r="653">
      <c r="B653" s="130" t="n"/>
      <c r="C653" s="129" t="n"/>
      <c r="D653" s="129" t="n"/>
      <c r="E653" s="129" t="n"/>
      <c r="F653" s="145" t="n"/>
      <c r="G653" s="129" t="n"/>
      <c r="H653" s="129" t="n"/>
      <c r="I653" s="129" t="n"/>
      <c r="J653" s="138" t="str">
        <f>IF(C653&lt;&gt;"Despesa","",IFERROR(INDEX('Config'!$J$6:$J$40,MATCH(D653,'Config'!$I$6:$I$40,0)),"—"))</f>
        <v/>
      </c>
      <c r="K653" s="138" t="str">
        <f>IF(COUNTA(B653:F653)=0,"",IF(OR(B653="",C653="",D653="",F653=""),"▲ Completar","✔"))</f>
        <v/>
      </c>
    </row>
    <row r="654">
      <c r="B654" s="130" t="n"/>
      <c r="C654" s="129" t="n"/>
      <c r="D654" s="129" t="n"/>
      <c r="E654" s="129" t="n"/>
      <c r="F654" s="145" t="n"/>
      <c r="G654" s="129" t="n"/>
      <c r="H654" s="129" t="n"/>
      <c r="I654" s="129" t="n"/>
      <c r="J654" s="138" t="str">
        <f>IF(C654&lt;&gt;"Despesa","",IFERROR(INDEX('Config'!$J$6:$J$40,MATCH(D654,'Config'!$I$6:$I$40,0)),"—"))</f>
        <v/>
      </c>
      <c r="K654" s="138" t="str">
        <f>IF(COUNTA(B654:F654)=0,"",IF(OR(B654="",C654="",D654="",F654=""),"▲ Completar","✔"))</f>
        <v/>
      </c>
    </row>
    <row r="655">
      <c r="B655" s="130" t="n"/>
      <c r="C655" s="129" t="n"/>
      <c r="D655" s="129" t="n"/>
      <c r="E655" s="129" t="n"/>
      <c r="F655" s="145" t="n"/>
      <c r="G655" s="129" t="n"/>
      <c r="H655" s="129" t="n"/>
      <c r="I655" s="129" t="n"/>
      <c r="J655" s="138" t="str">
        <f>IF(C655&lt;&gt;"Despesa","",IFERROR(INDEX('Config'!$J$6:$J$40,MATCH(D655,'Config'!$I$6:$I$40,0)),"—"))</f>
        <v/>
      </c>
      <c r="K655" s="138" t="str">
        <f>IF(COUNTA(B655:F655)=0,"",IF(OR(B655="",C655="",D655="",F655=""),"▲ Completar","✔"))</f>
        <v/>
      </c>
    </row>
    <row r="656">
      <c r="B656" s="130" t="n"/>
      <c r="C656" s="129" t="n"/>
      <c r="D656" s="129" t="n"/>
      <c r="E656" s="129" t="n"/>
      <c r="F656" s="145" t="n"/>
      <c r="G656" s="129" t="n"/>
      <c r="H656" s="129" t="n"/>
      <c r="I656" s="129" t="n"/>
      <c r="J656" s="138" t="str">
        <f>IF(C656&lt;&gt;"Despesa","",IFERROR(INDEX('Config'!$J$6:$J$40,MATCH(D656,'Config'!$I$6:$I$40,0)),"—"))</f>
        <v/>
      </c>
      <c r="K656" s="138" t="str">
        <f>IF(COUNTA(B656:F656)=0,"",IF(OR(B656="",C656="",D656="",F656=""),"▲ Completar","✔"))</f>
        <v/>
      </c>
    </row>
    <row r="657">
      <c r="B657" s="130" t="n"/>
      <c r="C657" s="129" t="n"/>
      <c r="D657" s="129" t="n"/>
      <c r="E657" s="129" t="n"/>
      <c r="F657" s="145" t="n"/>
      <c r="G657" s="129" t="n"/>
      <c r="H657" s="129" t="n"/>
      <c r="I657" s="129" t="n"/>
      <c r="J657" s="138" t="str">
        <f>IF(C657&lt;&gt;"Despesa","",IFERROR(INDEX('Config'!$J$6:$J$40,MATCH(D657,'Config'!$I$6:$I$40,0)),"—"))</f>
        <v/>
      </c>
      <c r="K657" s="138" t="str">
        <f>IF(COUNTA(B657:F657)=0,"",IF(OR(B657="",C657="",D657="",F657=""),"▲ Completar","✔"))</f>
        <v/>
      </c>
    </row>
    <row r="658">
      <c r="B658" s="130" t="n"/>
      <c r="C658" s="129" t="n"/>
      <c r="D658" s="129" t="n"/>
      <c r="E658" s="129" t="n"/>
      <c r="F658" s="145" t="n"/>
      <c r="G658" s="129" t="n"/>
      <c r="H658" s="129" t="n"/>
      <c r="I658" s="129" t="n"/>
      <c r="J658" s="138" t="str">
        <f>IF(C658&lt;&gt;"Despesa","",IFERROR(INDEX('Config'!$J$6:$J$40,MATCH(D658,'Config'!$I$6:$I$40,0)),"—"))</f>
        <v/>
      </c>
      <c r="K658" s="138" t="str">
        <f>IF(COUNTA(B658:F658)=0,"",IF(OR(B658="",C658="",D658="",F658=""),"▲ Completar","✔"))</f>
        <v/>
      </c>
    </row>
    <row r="659">
      <c r="B659" s="130" t="n"/>
      <c r="C659" s="129" t="n"/>
      <c r="D659" s="129" t="n"/>
      <c r="E659" s="129" t="n"/>
      <c r="F659" s="145" t="n"/>
      <c r="G659" s="129" t="n"/>
      <c r="H659" s="129" t="n"/>
      <c r="I659" s="129" t="n"/>
      <c r="J659" s="138" t="str">
        <f>IF(C659&lt;&gt;"Despesa","",IFERROR(INDEX('Config'!$J$6:$J$40,MATCH(D659,'Config'!$I$6:$I$40,0)),"—"))</f>
        <v/>
      </c>
      <c r="K659" s="138" t="str">
        <f>IF(COUNTA(B659:F659)=0,"",IF(OR(B659="",C659="",D659="",F659=""),"▲ Completar","✔"))</f>
        <v/>
      </c>
    </row>
    <row r="660">
      <c r="B660" s="130" t="n"/>
      <c r="C660" s="129" t="n"/>
      <c r="D660" s="129" t="n"/>
      <c r="E660" s="129" t="n"/>
      <c r="F660" s="145" t="n"/>
      <c r="G660" s="129" t="n"/>
      <c r="H660" s="129" t="n"/>
      <c r="I660" s="129" t="n"/>
      <c r="J660" s="138" t="str">
        <f>IF(C660&lt;&gt;"Despesa","",IFERROR(INDEX('Config'!$J$6:$J$40,MATCH(D660,'Config'!$I$6:$I$40,0)),"—"))</f>
        <v/>
      </c>
      <c r="K660" s="138" t="str">
        <f>IF(COUNTA(B660:F660)=0,"",IF(OR(B660="",C660="",D660="",F660=""),"▲ Completar","✔"))</f>
        <v/>
      </c>
    </row>
    <row r="661">
      <c r="B661" s="130" t="n"/>
      <c r="C661" s="129" t="n"/>
      <c r="D661" s="129" t="n"/>
      <c r="E661" s="129" t="n"/>
      <c r="F661" s="145" t="n"/>
      <c r="G661" s="129" t="n"/>
      <c r="H661" s="129" t="n"/>
      <c r="I661" s="129" t="n"/>
      <c r="J661" s="138" t="str">
        <f>IF(C661&lt;&gt;"Despesa","",IFERROR(INDEX('Config'!$J$6:$J$40,MATCH(D661,'Config'!$I$6:$I$40,0)),"—"))</f>
        <v/>
      </c>
      <c r="K661" s="138" t="str">
        <f>IF(COUNTA(B661:F661)=0,"",IF(OR(B661="",C661="",D661="",F661=""),"▲ Completar","✔"))</f>
        <v/>
      </c>
    </row>
    <row r="662">
      <c r="B662" s="130" t="n"/>
      <c r="C662" s="129" t="n"/>
      <c r="D662" s="129" t="n"/>
      <c r="E662" s="129" t="n"/>
      <c r="F662" s="145" t="n"/>
      <c r="G662" s="129" t="n"/>
      <c r="H662" s="129" t="n"/>
      <c r="I662" s="129" t="n"/>
      <c r="J662" s="138" t="str">
        <f>IF(C662&lt;&gt;"Despesa","",IFERROR(INDEX('Config'!$J$6:$J$40,MATCH(D662,'Config'!$I$6:$I$40,0)),"—"))</f>
        <v/>
      </c>
      <c r="K662" s="138" t="str">
        <f>IF(COUNTA(B662:F662)=0,"",IF(OR(B662="",C662="",D662="",F662=""),"▲ Completar","✔"))</f>
        <v/>
      </c>
    </row>
    <row r="663">
      <c r="B663" s="130" t="n"/>
      <c r="C663" s="129" t="n"/>
      <c r="D663" s="129" t="n"/>
      <c r="E663" s="129" t="n"/>
      <c r="F663" s="145" t="n"/>
      <c r="G663" s="129" t="n"/>
      <c r="H663" s="129" t="n"/>
      <c r="I663" s="129" t="n"/>
      <c r="J663" s="138" t="str">
        <f>IF(C663&lt;&gt;"Despesa","",IFERROR(INDEX('Config'!$J$6:$J$40,MATCH(D663,'Config'!$I$6:$I$40,0)),"—"))</f>
        <v/>
      </c>
      <c r="K663" s="138" t="str">
        <f>IF(COUNTA(B663:F663)=0,"",IF(OR(B663="",C663="",D663="",F663=""),"▲ Completar","✔"))</f>
        <v/>
      </c>
    </row>
    <row r="664">
      <c r="B664" s="130" t="n"/>
      <c r="C664" s="129" t="n"/>
      <c r="D664" s="129" t="n"/>
      <c r="E664" s="129" t="n"/>
      <c r="F664" s="145" t="n"/>
      <c r="G664" s="129" t="n"/>
      <c r="H664" s="129" t="n"/>
      <c r="I664" s="129" t="n"/>
      <c r="J664" s="138" t="str">
        <f>IF(C664&lt;&gt;"Despesa","",IFERROR(INDEX('Config'!$J$6:$J$40,MATCH(D664,'Config'!$I$6:$I$40,0)),"—"))</f>
        <v/>
      </c>
      <c r="K664" s="138" t="str">
        <f>IF(COUNTA(B664:F664)=0,"",IF(OR(B664="",C664="",D664="",F664=""),"▲ Completar","✔"))</f>
        <v/>
      </c>
    </row>
    <row r="665">
      <c r="B665" s="130" t="n"/>
      <c r="C665" s="129" t="n"/>
      <c r="D665" s="129" t="n"/>
      <c r="E665" s="129" t="n"/>
      <c r="F665" s="145" t="n"/>
      <c r="G665" s="129" t="n"/>
      <c r="H665" s="129" t="n"/>
      <c r="I665" s="129" t="n"/>
      <c r="J665" s="138" t="str">
        <f>IF(C665&lt;&gt;"Despesa","",IFERROR(INDEX('Config'!$J$6:$J$40,MATCH(D665,'Config'!$I$6:$I$40,0)),"—"))</f>
        <v/>
      </c>
      <c r="K665" s="138" t="str">
        <f>IF(COUNTA(B665:F665)=0,"",IF(OR(B665="",C665="",D665="",F665=""),"▲ Completar","✔"))</f>
        <v/>
      </c>
    </row>
    <row r="666">
      <c r="B666" s="130" t="n"/>
      <c r="C666" s="129" t="n"/>
      <c r="D666" s="129" t="n"/>
      <c r="E666" s="129" t="n"/>
      <c r="F666" s="145" t="n"/>
      <c r="G666" s="129" t="n"/>
      <c r="H666" s="129" t="n"/>
      <c r="I666" s="129" t="n"/>
      <c r="J666" s="138" t="str">
        <f>IF(C666&lt;&gt;"Despesa","",IFERROR(INDEX('Config'!$J$6:$J$40,MATCH(D666,'Config'!$I$6:$I$40,0)),"—"))</f>
        <v/>
      </c>
      <c r="K666" s="138" t="str">
        <f>IF(COUNTA(B666:F666)=0,"",IF(OR(B666="",C666="",D666="",F666=""),"▲ Completar","✔"))</f>
        <v/>
      </c>
    </row>
    <row r="667">
      <c r="B667" s="130" t="n"/>
      <c r="C667" s="129" t="n"/>
      <c r="D667" s="129" t="n"/>
      <c r="E667" s="129" t="n"/>
      <c r="F667" s="145" t="n"/>
      <c r="G667" s="129" t="n"/>
      <c r="H667" s="129" t="n"/>
      <c r="I667" s="129" t="n"/>
      <c r="J667" s="138" t="str">
        <f>IF(C667&lt;&gt;"Despesa","",IFERROR(INDEX('Config'!$J$6:$J$40,MATCH(D667,'Config'!$I$6:$I$40,0)),"—"))</f>
        <v/>
      </c>
      <c r="K667" s="138" t="str">
        <f>IF(COUNTA(B667:F667)=0,"",IF(OR(B667="",C667="",D667="",F667=""),"▲ Completar","✔"))</f>
        <v/>
      </c>
    </row>
    <row r="668">
      <c r="B668" s="130" t="n"/>
      <c r="C668" s="129" t="n"/>
      <c r="D668" s="129" t="n"/>
      <c r="E668" s="129" t="n"/>
      <c r="F668" s="145" t="n"/>
      <c r="G668" s="129" t="n"/>
      <c r="H668" s="129" t="n"/>
      <c r="I668" s="129" t="n"/>
      <c r="J668" s="138" t="str">
        <f>IF(C668&lt;&gt;"Despesa","",IFERROR(INDEX('Config'!$J$6:$J$40,MATCH(D668,'Config'!$I$6:$I$40,0)),"—"))</f>
        <v/>
      </c>
      <c r="K668" s="138" t="str">
        <f>IF(COUNTA(B668:F668)=0,"",IF(OR(B668="",C668="",D668="",F668=""),"▲ Completar","✔"))</f>
        <v/>
      </c>
    </row>
    <row r="669">
      <c r="B669" s="130" t="n"/>
      <c r="C669" s="129" t="n"/>
      <c r="D669" s="129" t="n"/>
      <c r="E669" s="129" t="n"/>
      <c r="F669" s="145" t="n"/>
      <c r="G669" s="129" t="n"/>
      <c r="H669" s="129" t="n"/>
      <c r="I669" s="129" t="n"/>
      <c r="J669" s="138" t="str">
        <f>IF(C669&lt;&gt;"Despesa","",IFERROR(INDEX('Config'!$J$6:$J$40,MATCH(D669,'Config'!$I$6:$I$40,0)),"—"))</f>
        <v/>
      </c>
      <c r="K669" s="138" t="str">
        <f>IF(COUNTA(B669:F669)=0,"",IF(OR(B669="",C669="",D669="",F669=""),"▲ Completar","✔"))</f>
        <v/>
      </c>
    </row>
    <row r="670">
      <c r="B670" s="130" t="n"/>
      <c r="C670" s="129" t="n"/>
      <c r="D670" s="129" t="n"/>
      <c r="E670" s="129" t="n"/>
      <c r="F670" s="145" t="n"/>
      <c r="G670" s="129" t="n"/>
      <c r="H670" s="129" t="n"/>
      <c r="I670" s="129" t="n"/>
      <c r="J670" s="138" t="str">
        <f>IF(C670&lt;&gt;"Despesa","",IFERROR(INDEX('Config'!$J$6:$J$40,MATCH(D670,'Config'!$I$6:$I$40,0)),"—"))</f>
        <v/>
      </c>
      <c r="K670" s="138" t="str">
        <f>IF(COUNTA(B670:F670)=0,"",IF(OR(B670="",C670="",D670="",F670=""),"▲ Completar","✔"))</f>
        <v/>
      </c>
    </row>
    <row r="671">
      <c r="B671" s="130" t="n"/>
      <c r="C671" s="129" t="n"/>
      <c r="D671" s="129" t="n"/>
      <c r="E671" s="129" t="n"/>
      <c r="F671" s="145" t="n"/>
      <c r="G671" s="129" t="n"/>
      <c r="H671" s="129" t="n"/>
      <c r="I671" s="129" t="n"/>
      <c r="J671" s="138" t="str">
        <f>IF(C671&lt;&gt;"Despesa","",IFERROR(INDEX('Config'!$J$6:$J$40,MATCH(D671,'Config'!$I$6:$I$40,0)),"—"))</f>
        <v/>
      </c>
      <c r="K671" s="138" t="str">
        <f>IF(COUNTA(B671:F671)=0,"",IF(OR(B671="",C671="",D671="",F671=""),"▲ Completar","✔"))</f>
        <v/>
      </c>
    </row>
    <row r="672">
      <c r="B672" s="130" t="n"/>
      <c r="C672" s="129" t="n"/>
      <c r="D672" s="129" t="n"/>
      <c r="E672" s="129" t="n"/>
      <c r="F672" s="145" t="n"/>
      <c r="G672" s="129" t="n"/>
      <c r="H672" s="129" t="n"/>
      <c r="I672" s="129" t="n"/>
      <c r="J672" s="138" t="str">
        <f>IF(C672&lt;&gt;"Despesa","",IFERROR(INDEX('Config'!$J$6:$J$40,MATCH(D672,'Config'!$I$6:$I$40,0)),"—"))</f>
        <v/>
      </c>
      <c r="K672" s="138" t="str">
        <f>IF(COUNTA(B672:F672)=0,"",IF(OR(B672="",C672="",D672="",F672=""),"▲ Completar","✔"))</f>
        <v/>
      </c>
    </row>
    <row r="673">
      <c r="B673" s="130" t="n"/>
      <c r="C673" s="129" t="n"/>
      <c r="D673" s="129" t="n"/>
      <c r="E673" s="129" t="n"/>
      <c r="F673" s="145" t="n"/>
      <c r="G673" s="129" t="n"/>
      <c r="H673" s="129" t="n"/>
      <c r="I673" s="129" t="n"/>
      <c r="J673" s="138" t="str">
        <f>IF(C673&lt;&gt;"Despesa","",IFERROR(INDEX('Config'!$J$6:$J$40,MATCH(D673,'Config'!$I$6:$I$40,0)),"—"))</f>
        <v/>
      </c>
      <c r="K673" s="138" t="str">
        <f>IF(COUNTA(B673:F673)=0,"",IF(OR(B673="",C673="",D673="",F673=""),"▲ Completar","✔"))</f>
        <v/>
      </c>
    </row>
    <row r="674">
      <c r="B674" s="130" t="n"/>
      <c r="C674" s="129" t="n"/>
      <c r="D674" s="129" t="n"/>
      <c r="E674" s="129" t="n"/>
      <c r="F674" s="145" t="n"/>
      <c r="G674" s="129" t="n"/>
      <c r="H674" s="129" t="n"/>
      <c r="I674" s="129" t="n"/>
      <c r="J674" s="138" t="str">
        <f>IF(C674&lt;&gt;"Despesa","",IFERROR(INDEX('Config'!$J$6:$J$40,MATCH(D674,'Config'!$I$6:$I$40,0)),"—"))</f>
        <v/>
      </c>
      <c r="K674" s="138" t="str">
        <f>IF(COUNTA(B674:F674)=0,"",IF(OR(B674="",C674="",D674="",F674=""),"▲ Completar","✔"))</f>
        <v/>
      </c>
    </row>
    <row r="675">
      <c r="B675" s="130" t="n"/>
      <c r="C675" s="129" t="n"/>
      <c r="D675" s="129" t="n"/>
      <c r="E675" s="129" t="n"/>
      <c r="F675" s="145" t="n"/>
      <c r="G675" s="129" t="n"/>
      <c r="H675" s="129" t="n"/>
      <c r="I675" s="129" t="n"/>
      <c r="J675" s="138" t="str">
        <f>IF(C675&lt;&gt;"Despesa","",IFERROR(INDEX('Config'!$J$6:$J$40,MATCH(D675,'Config'!$I$6:$I$40,0)),"—"))</f>
        <v/>
      </c>
      <c r="K675" s="138" t="str">
        <f>IF(COUNTA(B675:F675)=0,"",IF(OR(B675="",C675="",D675="",F675=""),"▲ Completar","✔"))</f>
        <v/>
      </c>
    </row>
    <row r="676">
      <c r="B676" s="130" t="n"/>
      <c r="C676" s="129" t="n"/>
      <c r="D676" s="129" t="n"/>
      <c r="E676" s="129" t="n"/>
      <c r="F676" s="145" t="n"/>
      <c r="G676" s="129" t="n"/>
      <c r="H676" s="129" t="n"/>
      <c r="I676" s="129" t="n"/>
      <c r="J676" s="138" t="str">
        <f>IF(C676&lt;&gt;"Despesa","",IFERROR(INDEX('Config'!$J$6:$J$40,MATCH(D676,'Config'!$I$6:$I$40,0)),"—"))</f>
        <v/>
      </c>
      <c r="K676" s="138" t="str">
        <f>IF(COUNTA(B676:F676)=0,"",IF(OR(B676="",C676="",D676="",F676=""),"▲ Completar","✔"))</f>
        <v/>
      </c>
    </row>
    <row r="677">
      <c r="B677" s="130" t="n"/>
      <c r="C677" s="129" t="n"/>
      <c r="D677" s="129" t="n"/>
      <c r="E677" s="129" t="n"/>
      <c r="F677" s="145" t="n"/>
      <c r="G677" s="129" t="n"/>
      <c r="H677" s="129" t="n"/>
      <c r="I677" s="129" t="n"/>
      <c r="J677" s="138" t="str">
        <f>IF(C677&lt;&gt;"Despesa","",IFERROR(INDEX('Config'!$J$6:$J$40,MATCH(D677,'Config'!$I$6:$I$40,0)),"—"))</f>
        <v/>
      </c>
      <c r="K677" s="138" t="str">
        <f>IF(COUNTA(B677:F677)=0,"",IF(OR(B677="",C677="",D677="",F677=""),"▲ Completar","✔"))</f>
        <v/>
      </c>
    </row>
    <row r="678">
      <c r="B678" s="130" t="n"/>
      <c r="C678" s="129" t="n"/>
      <c r="D678" s="129" t="n"/>
      <c r="E678" s="129" t="n"/>
      <c r="F678" s="145" t="n"/>
      <c r="G678" s="129" t="n"/>
      <c r="H678" s="129" t="n"/>
      <c r="I678" s="129" t="n"/>
      <c r="J678" s="138" t="str">
        <f>IF(C678&lt;&gt;"Despesa","",IFERROR(INDEX('Config'!$J$6:$J$40,MATCH(D678,'Config'!$I$6:$I$40,0)),"—"))</f>
        <v/>
      </c>
      <c r="K678" s="138" t="str">
        <f>IF(COUNTA(B678:F678)=0,"",IF(OR(B678="",C678="",D678="",F678=""),"▲ Completar","✔"))</f>
        <v/>
      </c>
    </row>
    <row r="679">
      <c r="B679" s="130" t="n"/>
      <c r="C679" s="129" t="n"/>
      <c r="D679" s="129" t="n"/>
      <c r="E679" s="129" t="n"/>
      <c r="F679" s="145" t="n"/>
      <c r="G679" s="129" t="n"/>
      <c r="H679" s="129" t="n"/>
      <c r="I679" s="129" t="n"/>
      <c r="J679" s="138" t="str">
        <f>IF(C679&lt;&gt;"Despesa","",IFERROR(INDEX('Config'!$J$6:$J$40,MATCH(D679,'Config'!$I$6:$I$40,0)),"—"))</f>
        <v/>
      </c>
      <c r="K679" s="138" t="str">
        <f>IF(COUNTA(B679:F679)=0,"",IF(OR(B679="",C679="",D679="",F679=""),"▲ Completar","✔"))</f>
        <v/>
      </c>
    </row>
    <row r="680">
      <c r="B680" s="130" t="n"/>
      <c r="C680" s="129" t="n"/>
      <c r="D680" s="129" t="n"/>
      <c r="E680" s="129" t="n"/>
      <c r="F680" s="145" t="n"/>
      <c r="G680" s="129" t="n"/>
      <c r="H680" s="129" t="n"/>
      <c r="I680" s="129" t="n"/>
      <c r="J680" s="138" t="str">
        <f>IF(C680&lt;&gt;"Despesa","",IFERROR(INDEX('Config'!$J$6:$J$40,MATCH(D680,'Config'!$I$6:$I$40,0)),"—"))</f>
        <v/>
      </c>
      <c r="K680" s="138" t="str">
        <f>IF(COUNTA(B680:F680)=0,"",IF(OR(B680="",C680="",D680="",F680=""),"▲ Completar","✔"))</f>
        <v/>
      </c>
    </row>
    <row r="681">
      <c r="B681" s="130" t="n"/>
      <c r="C681" s="129" t="n"/>
      <c r="D681" s="129" t="n"/>
      <c r="E681" s="129" t="n"/>
      <c r="F681" s="145" t="n"/>
      <c r="G681" s="129" t="n"/>
      <c r="H681" s="129" t="n"/>
      <c r="I681" s="129" t="n"/>
      <c r="J681" s="138" t="str">
        <f>IF(C681&lt;&gt;"Despesa","",IFERROR(INDEX('Config'!$J$6:$J$40,MATCH(D681,'Config'!$I$6:$I$40,0)),"—"))</f>
        <v/>
      </c>
      <c r="K681" s="138" t="str">
        <f>IF(COUNTA(B681:F681)=0,"",IF(OR(B681="",C681="",D681="",F681=""),"▲ Completar","✔"))</f>
        <v/>
      </c>
    </row>
    <row r="682">
      <c r="B682" s="130" t="n"/>
      <c r="C682" s="129" t="n"/>
      <c r="D682" s="129" t="n"/>
      <c r="E682" s="129" t="n"/>
      <c r="F682" s="145" t="n"/>
      <c r="G682" s="129" t="n"/>
      <c r="H682" s="129" t="n"/>
      <c r="I682" s="129" t="n"/>
      <c r="J682" s="138" t="str">
        <f>IF(C682&lt;&gt;"Despesa","",IFERROR(INDEX('Config'!$J$6:$J$40,MATCH(D682,'Config'!$I$6:$I$40,0)),"—"))</f>
        <v/>
      </c>
      <c r="K682" s="138" t="str">
        <f>IF(COUNTA(B682:F682)=0,"",IF(OR(B682="",C682="",D682="",F682=""),"▲ Completar","✔"))</f>
        <v/>
      </c>
    </row>
    <row r="683">
      <c r="B683" s="130" t="n"/>
      <c r="C683" s="129" t="n"/>
      <c r="D683" s="129" t="n"/>
      <c r="E683" s="129" t="n"/>
      <c r="F683" s="145" t="n"/>
      <c r="G683" s="129" t="n"/>
      <c r="H683" s="129" t="n"/>
      <c r="I683" s="129" t="n"/>
      <c r="J683" s="138" t="str">
        <f>IF(C683&lt;&gt;"Despesa","",IFERROR(INDEX('Config'!$J$6:$J$40,MATCH(D683,'Config'!$I$6:$I$40,0)),"—"))</f>
        <v/>
      </c>
      <c r="K683" s="138" t="str">
        <f>IF(COUNTA(B683:F683)=0,"",IF(OR(B683="",C683="",D683="",F683=""),"▲ Completar","✔"))</f>
        <v/>
      </c>
    </row>
    <row r="684">
      <c r="B684" s="130" t="n"/>
      <c r="C684" s="129" t="n"/>
      <c r="D684" s="129" t="n"/>
      <c r="E684" s="129" t="n"/>
      <c r="F684" s="145" t="n"/>
      <c r="G684" s="129" t="n"/>
      <c r="H684" s="129" t="n"/>
      <c r="I684" s="129" t="n"/>
      <c r="J684" s="138" t="str">
        <f>IF(C684&lt;&gt;"Despesa","",IFERROR(INDEX('Config'!$J$6:$J$40,MATCH(D684,'Config'!$I$6:$I$40,0)),"—"))</f>
        <v/>
      </c>
      <c r="K684" s="138" t="str">
        <f>IF(COUNTA(B684:F684)=0,"",IF(OR(B684="",C684="",D684="",F684=""),"▲ Completar","✔"))</f>
        <v/>
      </c>
    </row>
    <row r="685">
      <c r="B685" s="130" t="n"/>
      <c r="C685" s="129" t="n"/>
      <c r="D685" s="129" t="n"/>
      <c r="E685" s="129" t="n"/>
      <c r="F685" s="145" t="n"/>
      <c r="G685" s="129" t="n"/>
      <c r="H685" s="129" t="n"/>
      <c r="I685" s="129" t="n"/>
      <c r="J685" s="138" t="str">
        <f>IF(C685&lt;&gt;"Despesa","",IFERROR(INDEX('Config'!$J$6:$J$40,MATCH(D685,'Config'!$I$6:$I$40,0)),"—"))</f>
        <v/>
      </c>
      <c r="K685" s="138" t="str">
        <f>IF(COUNTA(B685:F685)=0,"",IF(OR(B685="",C685="",D685="",F685=""),"▲ Completar","✔"))</f>
        <v/>
      </c>
    </row>
    <row r="686">
      <c r="B686" s="130" t="n"/>
      <c r="C686" s="129" t="n"/>
      <c r="D686" s="129" t="n"/>
      <c r="E686" s="129" t="n"/>
      <c r="F686" s="145" t="n"/>
      <c r="G686" s="129" t="n"/>
      <c r="H686" s="129" t="n"/>
      <c r="I686" s="129" t="n"/>
      <c r="J686" s="138" t="str">
        <f>IF(C686&lt;&gt;"Despesa","",IFERROR(INDEX('Config'!$J$6:$J$40,MATCH(D686,'Config'!$I$6:$I$40,0)),"—"))</f>
        <v/>
      </c>
      <c r="K686" s="138" t="str">
        <f>IF(COUNTA(B686:F686)=0,"",IF(OR(B686="",C686="",D686="",F686=""),"▲ Completar","✔"))</f>
        <v/>
      </c>
    </row>
    <row r="687">
      <c r="B687" s="130" t="n"/>
      <c r="C687" s="129" t="n"/>
      <c r="D687" s="129" t="n"/>
      <c r="E687" s="129" t="n"/>
      <c r="F687" s="145" t="n"/>
      <c r="G687" s="129" t="n"/>
      <c r="H687" s="129" t="n"/>
      <c r="I687" s="129" t="n"/>
      <c r="J687" s="138" t="str">
        <f>IF(C687&lt;&gt;"Despesa","",IFERROR(INDEX('Config'!$J$6:$J$40,MATCH(D687,'Config'!$I$6:$I$40,0)),"—"))</f>
        <v/>
      </c>
      <c r="K687" s="138" t="str">
        <f>IF(COUNTA(B687:F687)=0,"",IF(OR(B687="",C687="",D687="",F687=""),"▲ Completar","✔"))</f>
        <v/>
      </c>
    </row>
    <row r="688">
      <c r="B688" s="130" t="n"/>
      <c r="C688" s="129" t="n"/>
      <c r="D688" s="129" t="n"/>
      <c r="E688" s="129" t="n"/>
      <c r="F688" s="145" t="n"/>
      <c r="G688" s="129" t="n"/>
      <c r="H688" s="129" t="n"/>
      <c r="I688" s="129" t="n"/>
      <c r="J688" s="138" t="str">
        <f>IF(C688&lt;&gt;"Despesa","",IFERROR(INDEX('Config'!$J$6:$J$40,MATCH(D688,'Config'!$I$6:$I$40,0)),"—"))</f>
        <v/>
      </c>
      <c r="K688" s="138" t="str">
        <f>IF(COUNTA(B688:F688)=0,"",IF(OR(B688="",C688="",D688="",F688=""),"▲ Completar","✔"))</f>
        <v/>
      </c>
    </row>
    <row r="689">
      <c r="B689" s="130" t="n"/>
      <c r="C689" s="129" t="n"/>
      <c r="D689" s="129" t="n"/>
      <c r="E689" s="129" t="n"/>
      <c r="F689" s="145" t="n"/>
      <c r="G689" s="129" t="n"/>
      <c r="H689" s="129" t="n"/>
      <c r="I689" s="129" t="n"/>
      <c r="J689" s="138" t="str">
        <f>IF(C689&lt;&gt;"Despesa","",IFERROR(INDEX('Config'!$J$6:$J$40,MATCH(D689,'Config'!$I$6:$I$40,0)),"—"))</f>
        <v/>
      </c>
      <c r="K689" s="138" t="str">
        <f>IF(COUNTA(B689:F689)=0,"",IF(OR(B689="",C689="",D689="",F689=""),"▲ Completar","✔"))</f>
        <v/>
      </c>
    </row>
    <row r="690">
      <c r="B690" s="130" t="n"/>
      <c r="C690" s="129" t="n"/>
      <c r="D690" s="129" t="n"/>
      <c r="E690" s="129" t="n"/>
      <c r="F690" s="145" t="n"/>
      <c r="G690" s="129" t="n"/>
      <c r="H690" s="129" t="n"/>
      <c r="I690" s="129" t="n"/>
      <c r="J690" s="138" t="str">
        <f>IF(C690&lt;&gt;"Despesa","",IFERROR(INDEX('Config'!$J$6:$J$40,MATCH(D690,'Config'!$I$6:$I$40,0)),"—"))</f>
        <v/>
      </c>
      <c r="K690" s="138" t="str">
        <f>IF(COUNTA(B690:F690)=0,"",IF(OR(B690="",C690="",D690="",F690=""),"▲ Completar","✔"))</f>
        <v/>
      </c>
    </row>
    <row r="691">
      <c r="B691" s="130" t="n"/>
      <c r="C691" s="129" t="n"/>
      <c r="D691" s="129" t="n"/>
      <c r="E691" s="129" t="n"/>
      <c r="F691" s="145" t="n"/>
      <c r="G691" s="129" t="n"/>
      <c r="H691" s="129" t="n"/>
      <c r="I691" s="129" t="n"/>
      <c r="J691" s="138" t="str">
        <f>IF(C691&lt;&gt;"Despesa","",IFERROR(INDEX('Config'!$J$6:$J$40,MATCH(D691,'Config'!$I$6:$I$40,0)),"—"))</f>
        <v/>
      </c>
      <c r="K691" s="138" t="str">
        <f>IF(COUNTA(B691:F691)=0,"",IF(OR(B691="",C691="",D691="",F691=""),"▲ Completar","✔"))</f>
        <v/>
      </c>
    </row>
    <row r="692">
      <c r="B692" s="130" t="n"/>
      <c r="C692" s="129" t="n"/>
      <c r="D692" s="129" t="n"/>
      <c r="E692" s="129" t="n"/>
      <c r="F692" s="145" t="n"/>
      <c r="G692" s="129" t="n"/>
      <c r="H692" s="129" t="n"/>
      <c r="I692" s="129" t="n"/>
      <c r="J692" s="138" t="str">
        <f>IF(C692&lt;&gt;"Despesa","",IFERROR(INDEX('Config'!$J$6:$J$40,MATCH(D692,'Config'!$I$6:$I$40,0)),"—"))</f>
        <v/>
      </c>
      <c r="K692" s="138" t="str">
        <f>IF(COUNTA(B692:F692)=0,"",IF(OR(B692="",C692="",D692="",F692=""),"▲ Completar","✔"))</f>
        <v/>
      </c>
    </row>
    <row r="693">
      <c r="B693" s="130" t="n"/>
      <c r="C693" s="129" t="n"/>
      <c r="D693" s="129" t="n"/>
      <c r="E693" s="129" t="n"/>
      <c r="F693" s="145" t="n"/>
      <c r="G693" s="129" t="n"/>
      <c r="H693" s="129" t="n"/>
      <c r="I693" s="129" t="n"/>
      <c r="J693" s="138" t="str">
        <f>IF(C693&lt;&gt;"Despesa","",IFERROR(INDEX('Config'!$J$6:$J$40,MATCH(D693,'Config'!$I$6:$I$40,0)),"—"))</f>
        <v/>
      </c>
      <c r="K693" s="138" t="str">
        <f>IF(COUNTA(B693:F693)=0,"",IF(OR(B693="",C693="",D693="",F693=""),"▲ Completar","✔"))</f>
        <v/>
      </c>
    </row>
    <row r="694">
      <c r="B694" s="130" t="n"/>
      <c r="C694" s="129" t="n"/>
      <c r="D694" s="129" t="n"/>
      <c r="E694" s="129" t="n"/>
      <c r="F694" s="145" t="n"/>
      <c r="G694" s="129" t="n"/>
      <c r="H694" s="129" t="n"/>
      <c r="I694" s="129" t="n"/>
      <c r="J694" s="138" t="str">
        <f>IF(C694&lt;&gt;"Despesa","",IFERROR(INDEX('Config'!$J$6:$J$40,MATCH(D694,'Config'!$I$6:$I$40,0)),"—"))</f>
        <v/>
      </c>
      <c r="K694" s="138" t="str">
        <f>IF(COUNTA(B694:F694)=0,"",IF(OR(B694="",C694="",D694="",F694=""),"▲ Completar","✔"))</f>
        <v/>
      </c>
    </row>
    <row r="695">
      <c r="B695" s="130" t="n"/>
      <c r="C695" s="129" t="n"/>
      <c r="D695" s="129" t="n"/>
      <c r="E695" s="129" t="n"/>
      <c r="F695" s="145" t="n"/>
      <c r="G695" s="129" t="n"/>
      <c r="H695" s="129" t="n"/>
      <c r="I695" s="129" t="n"/>
      <c r="J695" s="138" t="str">
        <f>IF(C695&lt;&gt;"Despesa","",IFERROR(INDEX('Config'!$J$6:$J$40,MATCH(D695,'Config'!$I$6:$I$40,0)),"—"))</f>
        <v/>
      </c>
      <c r="K695" s="138" t="str">
        <f>IF(COUNTA(B695:F695)=0,"",IF(OR(B695="",C695="",D695="",F695=""),"▲ Completar","✔"))</f>
        <v/>
      </c>
    </row>
    <row r="696">
      <c r="B696" s="130" t="n"/>
      <c r="C696" s="129" t="n"/>
      <c r="D696" s="129" t="n"/>
      <c r="E696" s="129" t="n"/>
      <c r="F696" s="145" t="n"/>
      <c r="G696" s="129" t="n"/>
      <c r="H696" s="129" t="n"/>
      <c r="I696" s="129" t="n"/>
      <c r="J696" s="138" t="str">
        <f>IF(C696&lt;&gt;"Despesa","",IFERROR(INDEX('Config'!$J$6:$J$40,MATCH(D696,'Config'!$I$6:$I$40,0)),"—"))</f>
        <v/>
      </c>
      <c r="K696" s="138" t="str">
        <f>IF(COUNTA(B696:F696)=0,"",IF(OR(B696="",C696="",D696="",F696=""),"▲ Completar","✔"))</f>
        <v/>
      </c>
    </row>
    <row r="697">
      <c r="B697" s="130" t="n"/>
      <c r="C697" s="129" t="n"/>
      <c r="D697" s="129" t="n"/>
      <c r="E697" s="129" t="n"/>
      <c r="F697" s="145" t="n"/>
      <c r="G697" s="129" t="n"/>
      <c r="H697" s="129" t="n"/>
      <c r="I697" s="129" t="n"/>
      <c r="J697" s="138" t="str">
        <f>IF(C697&lt;&gt;"Despesa","",IFERROR(INDEX('Config'!$J$6:$J$40,MATCH(D697,'Config'!$I$6:$I$40,0)),"—"))</f>
        <v/>
      </c>
      <c r="K697" s="138" t="str">
        <f>IF(COUNTA(B697:F697)=0,"",IF(OR(B697="",C697="",D697="",F697=""),"▲ Completar","✔"))</f>
        <v/>
      </c>
    </row>
    <row r="698">
      <c r="B698" s="130" t="n"/>
      <c r="C698" s="129" t="n"/>
      <c r="D698" s="129" t="n"/>
      <c r="E698" s="129" t="n"/>
      <c r="F698" s="145" t="n"/>
      <c r="G698" s="129" t="n"/>
      <c r="H698" s="129" t="n"/>
      <c r="I698" s="129" t="n"/>
      <c r="J698" s="138" t="str">
        <f>IF(C698&lt;&gt;"Despesa","",IFERROR(INDEX('Config'!$J$6:$J$40,MATCH(D698,'Config'!$I$6:$I$40,0)),"—"))</f>
        <v/>
      </c>
      <c r="K698" s="138" t="str">
        <f>IF(COUNTA(B698:F698)=0,"",IF(OR(B698="",C698="",D698="",F698=""),"▲ Completar","✔"))</f>
        <v/>
      </c>
    </row>
    <row r="699">
      <c r="B699" s="130" t="n"/>
      <c r="C699" s="129" t="n"/>
      <c r="D699" s="129" t="n"/>
      <c r="E699" s="129" t="n"/>
      <c r="F699" s="145" t="n"/>
      <c r="G699" s="129" t="n"/>
      <c r="H699" s="129" t="n"/>
      <c r="I699" s="129" t="n"/>
      <c r="J699" s="138" t="str">
        <f>IF(C699&lt;&gt;"Despesa","",IFERROR(INDEX('Config'!$J$6:$J$40,MATCH(D699,'Config'!$I$6:$I$40,0)),"—"))</f>
        <v/>
      </c>
      <c r="K699" s="138" t="str">
        <f>IF(COUNTA(B699:F699)=0,"",IF(OR(B699="",C699="",D699="",F699=""),"▲ Completar","✔"))</f>
        <v/>
      </c>
    </row>
    <row r="700">
      <c r="B700" s="130" t="n"/>
      <c r="C700" s="129" t="n"/>
      <c r="D700" s="129" t="n"/>
      <c r="E700" s="129" t="n"/>
      <c r="F700" s="145" t="n"/>
      <c r="G700" s="129" t="n"/>
      <c r="H700" s="129" t="n"/>
      <c r="I700" s="129" t="n"/>
      <c r="J700" s="138" t="str">
        <f>IF(C700&lt;&gt;"Despesa","",IFERROR(INDEX('Config'!$J$6:$J$40,MATCH(D700,'Config'!$I$6:$I$40,0)),"—"))</f>
        <v/>
      </c>
      <c r="K700" s="138" t="str">
        <f>IF(COUNTA(B700:F700)=0,"",IF(OR(B700="",C700="",D700="",F700=""),"▲ Completar","✔"))</f>
        <v/>
      </c>
    </row>
    <row r="701">
      <c r="B701" s="130" t="n"/>
      <c r="C701" s="129" t="n"/>
      <c r="D701" s="129" t="n"/>
      <c r="E701" s="129" t="n"/>
      <c r="F701" s="145" t="n"/>
      <c r="G701" s="129" t="n"/>
      <c r="H701" s="129" t="n"/>
      <c r="I701" s="129" t="n"/>
      <c r="J701" s="138" t="str">
        <f>IF(C701&lt;&gt;"Despesa","",IFERROR(INDEX('Config'!$J$6:$J$40,MATCH(D701,'Config'!$I$6:$I$40,0)),"—"))</f>
        <v/>
      </c>
      <c r="K701" s="138" t="str">
        <f>IF(COUNTA(B701:F701)=0,"",IF(OR(B701="",C701="",D701="",F701=""),"▲ Completar","✔"))</f>
        <v/>
      </c>
    </row>
    <row r="702">
      <c r="B702" s="130" t="n"/>
      <c r="C702" s="129" t="n"/>
      <c r="D702" s="129" t="n"/>
      <c r="E702" s="129" t="n"/>
      <c r="F702" s="145" t="n"/>
      <c r="G702" s="129" t="n"/>
      <c r="H702" s="129" t="n"/>
      <c r="I702" s="129" t="n"/>
      <c r="J702" s="138" t="str">
        <f>IF(C702&lt;&gt;"Despesa","",IFERROR(INDEX('Config'!$J$6:$J$40,MATCH(D702,'Config'!$I$6:$I$40,0)),"—"))</f>
        <v/>
      </c>
      <c r="K702" s="138" t="str">
        <f>IF(COUNTA(B702:F702)=0,"",IF(OR(B702="",C702="",D702="",F702=""),"▲ Completar","✔"))</f>
        <v/>
      </c>
    </row>
    <row r="703">
      <c r="B703" s="130" t="n"/>
      <c r="C703" s="129" t="n"/>
      <c r="D703" s="129" t="n"/>
      <c r="E703" s="129" t="n"/>
      <c r="F703" s="145" t="n"/>
      <c r="G703" s="129" t="n"/>
      <c r="H703" s="129" t="n"/>
      <c r="I703" s="129" t="n"/>
      <c r="J703" s="138" t="str">
        <f>IF(C703&lt;&gt;"Despesa","",IFERROR(INDEX('Config'!$J$6:$J$40,MATCH(D703,'Config'!$I$6:$I$40,0)),"—"))</f>
        <v/>
      </c>
      <c r="K703" s="138" t="str">
        <f>IF(COUNTA(B703:F703)=0,"",IF(OR(B703="",C703="",D703="",F703=""),"▲ Completar","✔"))</f>
        <v/>
      </c>
    </row>
    <row r="704">
      <c r="B704" s="130" t="n"/>
      <c r="C704" s="129" t="n"/>
      <c r="D704" s="129" t="n"/>
      <c r="E704" s="129" t="n"/>
      <c r="F704" s="145" t="n"/>
      <c r="G704" s="129" t="n"/>
      <c r="H704" s="129" t="n"/>
      <c r="I704" s="129" t="n"/>
      <c r="J704" s="138" t="str">
        <f>IF(C704&lt;&gt;"Despesa","",IFERROR(INDEX('Config'!$J$6:$J$40,MATCH(D704,'Config'!$I$6:$I$40,0)),"—"))</f>
        <v/>
      </c>
      <c r="K704" s="138" t="str">
        <f>IF(COUNTA(B704:F704)=0,"",IF(OR(B704="",C704="",D704="",F704=""),"▲ Completar","✔"))</f>
        <v/>
      </c>
    </row>
    <row r="705">
      <c r="B705" s="130" t="n"/>
      <c r="C705" s="129" t="n"/>
      <c r="D705" s="129" t="n"/>
      <c r="E705" s="129" t="n"/>
      <c r="F705" s="145" t="n"/>
      <c r="G705" s="129" t="n"/>
      <c r="H705" s="129" t="n"/>
      <c r="I705" s="129" t="n"/>
      <c r="J705" s="138" t="str">
        <f>IF(C705&lt;&gt;"Despesa","",IFERROR(INDEX('Config'!$J$6:$J$40,MATCH(D705,'Config'!$I$6:$I$40,0)),"—"))</f>
        <v/>
      </c>
      <c r="K705" s="138" t="str">
        <f>IF(COUNTA(B705:F705)=0,"",IF(OR(B705="",C705="",D705="",F705=""),"▲ Completar","✔"))</f>
        <v/>
      </c>
    </row>
    <row r="706">
      <c r="B706" s="130" t="n"/>
      <c r="C706" s="129" t="n"/>
      <c r="D706" s="129" t="n"/>
      <c r="E706" s="129" t="n"/>
      <c r="F706" s="145" t="n"/>
      <c r="G706" s="129" t="n"/>
      <c r="H706" s="129" t="n"/>
      <c r="I706" s="129" t="n"/>
      <c r="J706" s="138" t="str">
        <f>IF(C706&lt;&gt;"Despesa","",IFERROR(INDEX('Config'!$J$6:$J$40,MATCH(D706,'Config'!$I$6:$I$40,0)),"—"))</f>
        <v/>
      </c>
      <c r="K706" s="138" t="str">
        <f>IF(COUNTA(B706:F706)=0,"",IF(OR(B706="",C706="",D706="",F706=""),"▲ Completar","✔"))</f>
        <v/>
      </c>
    </row>
    <row r="707">
      <c r="B707" s="130" t="n"/>
      <c r="C707" s="129" t="n"/>
      <c r="D707" s="129" t="n"/>
      <c r="E707" s="129" t="n"/>
      <c r="F707" s="145" t="n"/>
      <c r="G707" s="129" t="n"/>
      <c r="H707" s="129" t="n"/>
      <c r="I707" s="129" t="n"/>
      <c r="J707" s="138" t="str">
        <f>IF(C707&lt;&gt;"Despesa","",IFERROR(INDEX('Config'!$J$6:$J$40,MATCH(D707,'Config'!$I$6:$I$40,0)),"—"))</f>
        <v/>
      </c>
      <c r="K707" s="138" t="str">
        <f>IF(COUNTA(B707:F707)=0,"",IF(OR(B707="",C707="",D707="",F707=""),"▲ Completar","✔"))</f>
        <v/>
      </c>
    </row>
    <row r="708">
      <c r="B708" s="130" t="n"/>
      <c r="C708" s="129" t="n"/>
      <c r="D708" s="129" t="n"/>
      <c r="E708" s="129" t="n"/>
      <c r="F708" s="145" t="n"/>
      <c r="G708" s="129" t="n"/>
      <c r="H708" s="129" t="n"/>
      <c r="I708" s="129" t="n"/>
      <c r="J708" s="138" t="str">
        <f>IF(C708&lt;&gt;"Despesa","",IFERROR(INDEX('Config'!$J$6:$J$40,MATCH(D708,'Config'!$I$6:$I$40,0)),"—"))</f>
        <v/>
      </c>
      <c r="K708" s="138" t="str">
        <f>IF(COUNTA(B708:F708)=0,"",IF(OR(B708="",C708="",D708="",F708=""),"▲ Completar","✔"))</f>
        <v/>
      </c>
    </row>
    <row r="709">
      <c r="B709" s="130" t="n"/>
      <c r="C709" s="129" t="n"/>
      <c r="D709" s="129" t="n"/>
      <c r="E709" s="129" t="n"/>
      <c r="F709" s="145" t="n"/>
      <c r="G709" s="129" t="n"/>
      <c r="H709" s="129" t="n"/>
      <c r="I709" s="129" t="n"/>
      <c r="J709" s="138" t="str">
        <f>IF(C709&lt;&gt;"Despesa","",IFERROR(INDEX('Config'!$J$6:$J$40,MATCH(D709,'Config'!$I$6:$I$40,0)),"—"))</f>
        <v/>
      </c>
      <c r="K709" s="138" t="str">
        <f>IF(COUNTA(B709:F709)=0,"",IF(OR(B709="",C709="",D709="",F709=""),"▲ Completar","✔"))</f>
        <v/>
      </c>
    </row>
    <row r="710">
      <c r="B710" s="130" t="n"/>
      <c r="C710" s="129" t="n"/>
      <c r="D710" s="129" t="n"/>
      <c r="E710" s="129" t="n"/>
      <c r="F710" s="145" t="n"/>
      <c r="G710" s="129" t="n"/>
      <c r="H710" s="129" t="n"/>
      <c r="I710" s="129" t="n"/>
      <c r="J710" s="138" t="str">
        <f>IF(C710&lt;&gt;"Despesa","",IFERROR(INDEX('Config'!$J$6:$J$40,MATCH(D710,'Config'!$I$6:$I$40,0)),"—"))</f>
        <v/>
      </c>
      <c r="K710" s="138" t="str">
        <f>IF(COUNTA(B710:F710)=0,"",IF(OR(B710="",C710="",D710="",F710=""),"▲ Completar","✔"))</f>
        <v/>
      </c>
    </row>
    <row r="711">
      <c r="B711" s="130" t="n"/>
      <c r="C711" s="129" t="n"/>
      <c r="D711" s="129" t="n"/>
      <c r="E711" s="129" t="n"/>
      <c r="F711" s="145" t="n"/>
      <c r="G711" s="129" t="n"/>
      <c r="H711" s="129" t="n"/>
      <c r="I711" s="129" t="n"/>
      <c r="J711" s="138" t="str">
        <f>IF(C711&lt;&gt;"Despesa","",IFERROR(INDEX('Config'!$J$6:$J$40,MATCH(D711,'Config'!$I$6:$I$40,0)),"—"))</f>
        <v/>
      </c>
      <c r="K711" s="138" t="str">
        <f>IF(COUNTA(B711:F711)=0,"",IF(OR(B711="",C711="",D711="",F711=""),"▲ Completar","✔"))</f>
        <v/>
      </c>
    </row>
    <row r="712">
      <c r="B712" s="130" t="n"/>
      <c r="C712" s="129" t="n"/>
      <c r="D712" s="129" t="n"/>
      <c r="E712" s="129" t="n"/>
      <c r="F712" s="145" t="n"/>
      <c r="G712" s="129" t="n"/>
      <c r="H712" s="129" t="n"/>
      <c r="I712" s="129" t="n"/>
      <c r="J712" s="138" t="str">
        <f>IF(C712&lt;&gt;"Despesa","",IFERROR(INDEX('Config'!$J$6:$J$40,MATCH(D712,'Config'!$I$6:$I$40,0)),"—"))</f>
        <v/>
      </c>
      <c r="K712" s="138" t="str">
        <f>IF(COUNTA(B712:F712)=0,"",IF(OR(B712="",C712="",D712="",F712=""),"▲ Completar","✔"))</f>
        <v/>
      </c>
    </row>
    <row r="713">
      <c r="B713" s="130" t="n"/>
      <c r="C713" s="129" t="n"/>
      <c r="D713" s="129" t="n"/>
      <c r="E713" s="129" t="n"/>
      <c r="F713" s="145" t="n"/>
      <c r="G713" s="129" t="n"/>
      <c r="H713" s="129" t="n"/>
      <c r="I713" s="129" t="n"/>
      <c r="J713" s="138" t="str">
        <f>IF(C713&lt;&gt;"Despesa","",IFERROR(INDEX('Config'!$J$6:$J$40,MATCH(D713,'Config'!$I$6:$I$40,0)),"—"))</f>
        <v/>
      </c>
      <c r="K713" s="138" t="str">
        <f>IF(COUNTA(B713:F713)=0,"",IF(OR(B713="",C713="",D713="",F713=""),"▲ Completar","✔"))</f>
        <v/>
      </c>
    </row>
    <row r="714">
      <c r="B714" s="130" t="n"/>
      <c r="C714" s="129" t="n"/>
      <c r="D714" s="129" t="n"/>
      <c r="E714" s="129" t="n"/>
      <c r="F714" s="145" t="n"/>
      <c r="G714" s="129" t="n"/>
      <c r="H714" s="129" t="n"/>
      <c r="I714" s="129" t="n"/>
      <c r="J714" s="138" t="str">
        <f>IF(C714&lt;&gt;"Despesa","",IFERROR(INDEX('Config'!$J$6:$J$40,MATCH(D714,'Config'!$I$6:$I$40,0)),"—"))</f>
        <v/>
      </c>
      <c r="K714" s="138" t="str">
        <f>IF(COUNTA(B714:F714)=0,"",IF(OR(B714="",C714="",D714="",F714=""),"▲ Completar","✔"))</f>
        <v/>
      </c>
    </row>
    <row r="715">
      <c r="B715" s="130" t="n"/>
      <c r="C715" s="129" t="n"/>
      <c r="D715" s="129" t="n"/>
      <c r="E715" s="129" t="n"/>
      <c r="F715" s="145" t="n"/>
      <c r="G715" s="129" t="n"/>
      <c r="H715" s="129" t="n"/>
      <c r="I715" s="129" t="n"/>
      <c r="J715" s="138" t="str">
        <f>IF(C715&lt;&gt;"Despesa","",IFERROR(INDEX('Config'!$J$6:$J$40,MATCH(D715,'Config'!$I$6:$I$40,0)),"—"))</f>
        <v/>
      </c>
      <c r="K715" s="138" t="str">
        <f>IF(COUNTA(B715:F715)=0,"",IF(OR(B715="",C715="",D715="",F715=""),"▲ Completar","✔"))</f>
        <v/>
      </c>
    </row>
    <row r="716">
      <c r="B716" s="130" t="n"/>
      <c r="C716" s="129" t="n"/>
      <c r="D716" s="129" t="n"/>
      <c r="E716" s="129" t="n"/>
      <c r="F716" s="145" t="n"/>
      <c r="G716" s="129" t="n"/>
      <c r="H716" s="129" t="n"/>
      <c r="I716" s="129" t="n"/>
      <c r="J716" s="138" t="str">
        <f>IF(C716&lt;&gt;"Despesa","",IFERROR(INDEX('Config'!$J$6:$J$40,MATCH(D716,'Config'!$I$6:$I$40,0)),"—"))</f>
        <v/>
      </c>
      <c r="K716" s="138" t="str">
        <f>IF(COUNTA(B716:F716)=0,"",IF(OR(B716="",C716="",D716="",F716=""),"▲ Completar","✔"))</f>
        <v/>
      </c>
    </row>
    <row r="717">
      <c r="B717" s="130" t="n"/>
      <c r="C717" s="129" t="n"/>
      <c r="D717" s="129" t="n"/>
      <c r="E717" s="129" t="n"/>
      <c r="F717" s="145" t="n"/>
      <c r="G717" s="129" t="n"/>
      <c r="H717" s="129" t="n"/>
      <c r="I717" s="129" t="n"/>
      <c r="J717" s="138" t="str">
        <f>IF(C717&lt;&gt;"Despesa","",IFERROR(INDEX('Config'!$J$6:$J$40,MATCH(D717,'Config'!$I$6:$I$40,0)),"—"))</f>
        <v/>
      </c>
      <c r="K717" s="138" t="str">
        <f>IF(COUNTA(B717:F717)=0,"",IF(OR(B717="",C717="",D717="",F717=""),"▲ Completar","✔"))</f>
        <v/>
      </c>
    </row>
    <row r="718">
      <c r="B718" s="130" t="n"/>
      <c r="C718" s="129" t="n"/>
      <c r="D718" s="129" t="n"/>
      <c r="E718" s="129" t="n"/>
      <c r="F718" s="145" t="n"/>
      <c r="G718" s="129" t="n"/>
      <c r="H718" s="129" t="n"/>
      <c r="I718" s="129" t="n"/>
      <c r="J718" s="138" t="str">
        <f>IF(C718&lt;&gt;"Despesa","",IFERROR(INDEX('Config'!$J$6:$J$40,MATCH(D718,'Config'!$I$6:$I$40,0)),"—"))</f>
        <v/>
      </c>
      <c r="K718" s="138" t="str">
        <f>IF(COUNTA(B718:F718)=0,"",IF(OR(B718="",C718="",D718="",F718=""),"▲ Completar","✔"))</f>
        <v/>
      </c>
    </row>
    <row r="719">
      <c r="B719" s="130" t="n"/>
      <c r="C719" s="129" t="n"/>
      <c r="D719" s="129" t="n"/>
      <c r="E719" s="129" t="n"/>
      <c r="F719" s="145" t="n"/>
      <c r="G719" s="129" t="n"/>
      <c r="H719" s="129" t="n"/>
      <c r="I719" s="129" t="n"/>
      <c r="J719" s="138" t="str">
        <f>IF(C719&lt;&gt;"Despesa","",IFERROR(INDEX('Config'!$J$6:$J$40,MATCH(D719,'Config'!$I$6:$I$40,0)),"—"))</f>
        <v/>
      </c>
      <c r="K719" s="138" t="str">
        <f>IF(COUNTA(B719:F719)=0,"",IF(OR(B719="",C719="",D719="",F719=""),"▲ Completar","✔"))</f>
        <v/>
      </c>
    </row>
    <row r="720">
      <c r="B720" s="130" t="n"/>
      <c r="C720" s="129" t="n"/>
      <c r="D720" s="129" t="n"/>
      <c r="E720" s="129" t="n"/>
      <c r="F720" s="145" t="n"/>
      <c r="G720" s="129" t="n"/>
      <c r="H720" s="129" t="n"/>
      <c r="I720" s="129" t="n"/>
      <c r="J720" s="138" t="str">
        <f>IF(C720&lt;&gt;"Despesa","",IFERROR(INDEX('Config'!$J$6:$J$40,MATCH(D720,'Config'!$I$6:$I$40,0)),"—"))</f>
        <v/>
      </c>
      <c r="K720" s="138" t="str">
        <f>IF(COUNTA(B720:F720)=0,"",IF(OR(B720="",C720="",D720="",F720=""),"▲ Completar","✔"))</f>
        <v/>
      </c>
    </row>
    <row r="721">
      <c r="B721" s="130" t="n"/>
      <c r="C721" s="129" t="n"/>
      <c r="D721" s="129" t="n"/>
      <c r="E721" s="129" t="n"/>
      <c r="F721" s="145" t="n"/>
      <c r="G721" s="129" t="n"/>
      <c r="H721" s="129" t="n"/>
      <c r="I721" s="129" t="n"/>
      <c r="J721" s="138" t="str">
        <f>IF(C721&lt;&gt;"Despesa","",IFERROR(INDEX('Config'!$J$6:$J$40,MATCH(D721,'Config'!$I$6:$I$40,0)),"—"))</f>
        <v/>
      </c>
      <c r="K721" s="138" t="str">
        <f>IF(COUNTA(B721:F721)=0,"",IF(OR(B721="",C721="",D721="",F721=""),"▲ Completar","✔"))</f>
        <v/>
      </c>
    </row>
    <row r="722">
      <c r="B722" s="130" t="n"/>
      <c r="C722" s="129" t="n"/>
      <c r="D722" s="129" t="n"/>
      <c r="E722" s="129" t="n"/>
      <c r="F722" s="145" t="n"/>
      <c r="G722" s="129" t="n"/>
      <c r="H722" s="129" t="n"/>
      <c r="I722" s="129" t="n"/>
      <c r="J722" s="138" t="str">
        <f>IF(C722&lt;&gt;"Despesa","",IFERROR(INDEX('Config'!$J$6:$J$40,MATCH(D722,'Config'!$I$6:$I$40,0)),"—"))</f>
        <v/>
      </c>
      <c r="K722" s="138" t="str">
        <f>IF(COUNTA(B722:F722)=0,"",IF(OR(B722="",C722="",D722="",F722=""),"▲ Completar","✔"))</f>
        <v/>
      </c>
    </row>
    <row r="723">
      <c r="B723" s="130" t="n"/>
      <c r="C723" s="129" t="n"/>
      <c r="D723" s="129" t="n"/>
      <c r="E723" s="129" t="n"/>
      <c r="F723" s="145" t="n"/>
      <c r="G723" s="129" t="n"/>
      <c r="H723" s="129" t="n"/>
      <c r="I723" s="129" t="n"/>
      <c r="J723" s="138" t="str">
        <f>IF(C723&lt;&gt;"Despesa","",IFERROR(INDEX('Config'!$J$6:$J$40,MATCH(D723,'Config'!$I$6:$I$40,0)),"—"))</f>
        <v/>
      </c>
      <c r="K723" s="138" t="str">
        <f>IF(COUNTA(B723:F723)=0,"",IF(OR(B723="",C723="",D723="",F723=""),"▲ Completar","✔"))</f>
        <v/>
      </c>
    </row>
    <row r="724">
      <c r="B724" s="130" t="n"/>
      <c r="C724" s="129" t="n"/>
      <c r="D724" s="129" t="n"/>
      <c r="E724" s="129" t="n"/>
      <c r="F724" s="145" t="n"/>
      <c r="G724" s="129" t="n"/>
      <c r="H724" s="129" t="n"/>
      <c r="I724" s="129" t="n"/>
      <c r="J724" s="138" t="str">
        <f>IF(C724&lt;&gt;"Despesa","",IFERROR(INDEX('Config'!$J$6:$J$40,MATCH(D724,'Config'!$I$6:$I$40,0)),"—"))</f>
        <v/>
      </c>
      <c r="K724" s="138" t="str">
        <f>IF(COUNTA(B724:F724)=0,"",IF(OR(B724="",C724="",D724="",F724=""),"▲ Completar","✔"))</f>
        <v/>
      </c>
    </row>
    <row r="725">
      <c r="B725" s="130" t="n"/>
      <c r="C725" s="129" t="n"/>
      <c r="D725" s="129" t="n"/>
      <c r="E725" s="129" t="n"/>
      <c r="F725" s="145" t="n"/>
      <c r="G725" s="129" t="n"/>
      <c r="H725" s="129" t="n"/>
      <c r="I725" s="129" t="n"/>
      <c r="J725" s="138" t="str">
        <f>IF(C725&lt;&gt;"Despesa","",IFERROR(INDEX('Config'!$J$6:$J$40,MATCH(D725,'Config'!$I$6:$I$40,0)),"—"))</f>
        <v/>
      </c>
      <c r="K725" s="138" t="str">
        <f>IF(COUNTA(B725:F725)=0,"",IF(OR(B725="",C725="",D725="",F725=""),"▲ Completar","✔"))</f>
        <v/>
      </c>
    </row>
    <row r="726">
      <c r="B726" s="130" t="n"/>
      <c r="C726" s="129" t="n"/>
      <c r="D726" s="129" t="n"/>
      <c r="E726" s="129" t="n"/>
      <c r="F726" s="145" t="n"/>
      <c r="G726" s="129" t="n"/>
      <c r="H726" s="129" t="n"/>
      <c r="I726" s="129" t="n"/>
      <c r="J726" s="138" t="str">
        <f>IF(C726&lt;&gt;"Despesa","",IFERROR(INDEX('Config'!$J$6:$J$40,MATCH(D726,'Config'!$I$6:$I$40,0)),"—"))</f>
        <v/>
      </c>
      <c r="K726" s="138" t="str">
        <f>IF(COUNTA(B726:F726)=0,"",IF(OR(B726="",C726="",D726="",F726=""),"▲ Completar","✔"))</f>
        <v/>
      </c>
    </row>
    <row r="727">
      <c r="B727" s="130" t="n"/>
      <c r="C727" s="129" t="n"/>
      <c r="D727" s="129" t="n"/>
      <c r="E727" s="129" t="n"/>
      <c r="F727" s="145" t="n"/>
      <c r="G727" s="129" t="n"/>
      <c r="H727" s="129" t="n"/>
      <c r="I727" s="129" t="n"/>
      <c r="J727" s="138" t="str">
        <f>IF(C727&lt;&gt;"Despesa","",IFERROR(INDEX('Config'!$J$6:$J$40,MATCH(D727,'Config'!$I$6:$I$40,0)),"—"))</f>
        <v/>
      </c>
      <c r="K727" s="138" t="str">
        <f>IF(COUNTA(B727:F727)=0,"",IF(OR(B727="",C727="",D727="",F727=""),"▲ Completar","✔"))</f>
        <v/>
      </c>
    </row>
    <row r="728">
      <c r="B728" s="130" t="n"/>
      <c r="C728" s="129" t="n"/>
      <c r="D728" s="129" t="n"/>
      <c r="E728" s="129" t="n"/>
      <c r="F728" s="145" t="n"/>
      <c r="G728" s="129" t="n"/>
      <c r="H728" s="129" t="n"/>
      <c r="I728" s="129" t="n"/>
      <c r="J728" s="138" t="str">
        <f>IF(C728&lt;&gt;"Despesa","",IFERROR(INDEX('Config'!$J$6:$J$40,MATCH(D728,'Config'!$I$6:$I$40,0)),"—"))</f>
        <v/>
      </c>
      <c r="K728" s="138" t="str">
        <f>IF(COUNTA(B728:F728)=0,"",IF(OR(B728="",C728="",D728="",F728=""),"▲ Completar","✔"))</f>
        <v/>
      </c>
    </row>
    <row r="729">
      <c r="B729" s="130" t="n"/>
      <c r="C729" s="129" t="n"/>
      <c r="D729" s="129" t="n"/>
      <c r="E729" s="129" t="n"/>
      <c r="F729" s="145" t="n"/>
      <c r="G729" s="129" t="n"/>
      <c r="H729" s="129" t="n"/>
      <c r="I729" s="129" t="n"/>
      <c r="J729" s="138" t="str">
        <f>IF(C729&lt;&gt;"Despesa","",IFERROR(INDEX('Config'!$J$6:$J$40,MATCH(D729,'Config'!$I$6:$I$40,0)),"—"))</f>
        <v/>
      </c>
      <c r="K729" s="138" t="str">
        <f>IF(COUNTA(B729:F729)=0,"",IF(OR(B729="",C729="",D729="",F729=""),"▲ Completar","✔"))</f>
        <v/>
      </c>
    </row>
    <row r="730">
      <c r="B730" s="130" t="n"/>
      <c r="C730" s="129" t="n"/>
      <c r="D730" s="129" t="n"/>
      <c r="E730" s="129" t="n"/>
      <c r="F730" s="145" t="n"/>
      <c r="G730" s="129" t="n"/>
      <c r="H730" s="129" t="n"/>
      <c r="I730" s="129" t="n"/>
      <c r="J730" s="138" t="str">
        <f>IF(C730&lt;&gt;"Despesa","",IFERROR(INDEX('Config'!$J$6:$J$40,MATCH(D730,'Config'!$I$6:$I$40,0)),"—"))</f>
        <v/>
      </c>
      <c r="K730" s="138" t="str">
        <f>IF(COUNTA(B730:F730)=0,"",IF(OR(B730="",C730="",D730="",F730=""),"▲ Completar","✔"))</f>
        <v/>
      </c>
    </row>
    <row r="731">
      <c r="B731" s="130" t="n"/>
      <c r="C731" s="129" t="n"/>
      <c r="D731" s="129" t="n"/>
      <c r="E731" s="129" t="n"/>
      <c r="F731" s="145" t="n"/>
      <c r="G731" s="129" t="n"/>
      <c r="H731" s="129" t="n"/>
      <c r="I731" s="129" t="n"/>
      <c r="J731" s="138" t="str">
        <f>IF(C731&lt;&gt;"Despesa","",IFERROR(INDEX('Config'!$J$6:$J$40,MATCH(D731,'Config'!$I$6:$I$40,0)),"—"))</f>
        <v/>
      </c>
      <c r="K731" s="138" t="str">
        <f>IF(COUNTA(B731:F731)=0,"",IF(OR(B731="",C731="",D731="",F731=""),"▲ Completar","✔"))</f>
        <v/>
      </c>
    </row>
    <row r="732">
      <c r="B732" s="130" t="n"/>
      <c r="C732" s="129" t="n"/>
      <c r="D732" s="129" t="n"/>
      <c r="E732" s="129" t="n"/>
      <c r="F732" s="145" t="n"/>
      <c r="G732" s="129" t="n"/>
      <c r="H732" s="129" t="n"/>
      <c r="I732" s="129" t="n"/>
      <c r="J732" s="138" t="str">
        <f>IF(C732&lt;&gt;"Despesa","",IFERROR(INDEX('Config'!$J$6:$J$40,MATCH(D732,'Config'!$I$6:$I$40,0)),"—"))</f>
        <v/>
      </c>
      <c r="K732" s="138" t="str">
        <f>IF(COUNTA(B732:F732)=0,"",IF(OR(B732="",C732="",D732="",F732=""),"▲ Completar","✔"))</f>
        <v/>
      </c>
    </row>
    <row r="733">
      <c r="B733" s="130" t="n"/>
      <c r="C733" s="129" t="n"/>
      <c r="D733" s="129" t="n"/>
      <c r="E733" s="129" t="n"/>
      <c r="F733" s="145" t="n"/>
      <c r="G733" s="129" t="n"/>
      <c r="H733" s="129" t="n"/>
      <c r="I733" s="129" t="n"/>
      <c r="J733" s="138" t="str">
        <f>IF(C733&lt;&gt;"Despesa","",IFERROR(INDEX('Config'!$J$6:$J$40,MATCH(D733,'Config'!$I$6:$I$40,0)),"—"))</f>
        <v/>
      </c>
      <c r="K733" s="138" t="str">
        <f>IF(COUNTA(B733:F733)=0,"",IF(OR(B733="",C733="",D733="",F733=""),"▲ Completar","✔"))</f>
        <v/>
      </c>
    </row>
    <row r="734">
      <c r="B734" s="130" t="n"/>
      <c r="C734" s="129" t="n"/>
      <c r="D734" s="129" t="n"/>
      <c r="E734" s="129" t="n"/>
      <c r="F734" s="145" t="n"/>
      <c r="G734" s="129" t="n"/>
      <c r="H734" s="129" t="n"/>
      <c r="I734" s="129" t="n"/>
      <c r="J734" s="138" t="str">
        <f>IF(C734&lt;&gt;"Despesa","",IFERROR(INDEX('Config'!$J$6:$J$40,MATCH(D734,'Config'!$I$6:$I$40,0)),"—"))</f>
        <v/>
      </c>
      <c r="K734" s="138" t="str">
        <f>IF(COUNTA(B734:F734)=0,"",IF(OR(B734="",C734="",D734="",F734=""),"▲ Completar","✔"))</f>
        <v/>
      </c>
    </row>
    <row r="735">
      <c r="B735" s="130" t="n"/>
      <c r="C735" s="129" t="n"/>
      <c r="D735" s="129" t="n"/>
      <c r="E735" s="129" t="n"/>
      <c r="F735" s="145" t="n"/>
      <c r="G735" s="129" t="n"/>
      <c r="H735" s="129" t="n"/>
      <c r="I735" s="129" t="n"/>
      <c r="J735" s="138" t="str">
        <f>IF(C735&lt;&gt;"Despesa","",IFERROR(INDEX('Config'!$J$6:$J$40,MATCH(D735,'Config'!$I$6:$I$40,0)),"—"))</f>
        <v/>
      </c>
      <c r="K735" s="138" t="str">
        <f>IF(COUNTA(B735:F735)=0,"",IF(OR(B735="",C735="",D735="",F735=""),"▲ Completar","✔"))</f>
        <v/>
      </c>
    </row>
    <row r="736">
      <c r="B736" s="130" t="n"/>
      <c r="C736" s="129" t="n"/>
      <c r="D736" s="129" t="n"/>
      <c r="E736" s="129" t="n"/>
      <c r="F736" s="145" t="n"/>
      <c r="G736" s="129" t="n"/>
      <c r="H736" s="129" t="n"/>
      <c r="I736" s="129" t="n"/>
      <c r="J736" s="138" t="str">
        <f>IF(C736&lt;&gt;"Despesa","",IFERROR(INDEX('Config'!$J$6:$J$40,MATCH(D736,'Config'!$I$6:$I$40,0)),"—"))</f>
        <v/>
      </c>
      <c r="K736" s="138" t="str">
        <f>IF(COUNTA(B736:F736)=0,"",IF(OR(B736="",C736="",D736="",F736=""),"▲ Completar","✔"))</f>
        <v/>
      </c>
    </row>
    <row r="737">
      <c r="B737" s="130" t="n"/>
      <c r="C737" s="129" t="n"/>
      <c r="D737" s="129" t="n"/>
      <c r="E737" s="129" t="n"/>
      <c r="F737" s="145" t="n"/>
      <c r="G737" s="129" t="n"/>
      <c r="H737" s="129" t="n"/>
      <c r="I737" s="129" t="n"/>
      <c r="J737" s="138" t="str">
        <f>IF(C737&lt;&gt;"Despesa","",IFERROR(INDEX('Config'!$J$6:$J$40,MATCH(D737,'Config'!$I$6:$I$40,0)),"—"))</f>
        <v/>
      </c>
      <c r="K737" s="138" t="str">
        <f>IF(COUNTA(B737:F737)=0,"",IF(OR(B737="",C737="",D737="",F737=""),"▲ Completar","✔"))</f>
        <v/>
      </c>
    </row>
    <row r="738">
      <c r="B738" s="130" t="n"/>
      <c r="C738" s="129" t="n"/>
      <c r="D738" s="129" t="n"/>
      <c r="E738" s="129" t="n"/>
      <c r="F738" s="145" t="n"/>
      <c r="G738" s="129" t="n"/>
      <c r="H738" s="129" t="n"/>
      <c r="I738" s="129" t="n"/>
      <c r="J738" s="138" t="str">
        <f>IF(C738&lt;&gt;"Despesa","",IFERROR(INDEX('Config'!$J$6:$J$40,MATCH(D738,'Config'!$I$6:$I$40,0)),"—"))</f>
        <v/>
      </c>
      <c r="K738" s="138" t="str">
        <f>IF(COUNTA(B738:F738)=0,"",IF(OR(B738="",C738="",D738="",F738=""),"▲ Completar","✔"))</f>
        <v/>
      </c>
    </row>
    <row r="739">
      <c r="B739" s="130" t="n"/>
      <c r="C739" s="129" t="n"/>
      <c r="D739" s="129" t="n"/>
      <c r="E739" s="129" t="n"/>
      <c r="F739" s="145" t="n"/>
      <c r="G739" s="129" t="n"/>
      <c r="H739" s="129" t="n"/>
      <c r="I739" s="129" t="n"/>
      <c r="J739" s="138" t="str">
        <f>IF(C739&lt;&gt;"Despesa","",IFERROR(INDEX('Config'!$J$6:$J$40,MATCH(D739,'Config'!$I$6:$I$40,0)),"—"))</f>
        <v/>
      </c>
      <c r="K739" s="138" t="str">
        <f>IF(COUNTA(B739:F739)=0,"",IF(OR(B739="",C739="",D739="",F739=""),"▲ Completar","✔"))</f>
        <v/>
      </c>
    </row>
    <row r="740">
      <c r="B740" s="130" t="n"/>
      <c r="C740" s="129" t="n"/>
      <c r="D740" s="129" t="n"/>
      <c r="E740" s="129" t="n"/>
      <c r="F740" s="145" t="n"/>
      <c r="G740" s="129" t="n"/>
      <c r="H740" s="129" t="n"/>
      <c r="I740" s="129" t="n"/>
      <c r="J740" s="138" t="str">
        <f>IF(C740&lt;&gt;"Despesa","",IFERROR(INDEX('Config'!$J$6:$J$40,MATCH(D740,'Config'!$I$6:$I$40,0)),"—"))</f>
        <v/>
      </c>
      <c r="K740" s="138" t="str">
        <f>IF(COUNTA(B740:F740)=0,"",IF(OR(B740="",C740="",D740="",F740=""),"▲ Completar","✔"))</f>
        <v/>
      </c>
    </row>
    <row r="741">
      <c r="B741" s="130" t="n"/>
      <c r="C741" s="129" t="n"/>
      <c r="D741" s="129" t="n"/>
      <c r="E741" s="129" t="n"/>
      <c r="F741" s="145" t="n"/>
      <c r="G741" s="129" t="n"/>
      <c r="H741" s="129" t="n"/>
      <c r="I741" s="129" t="n"/>
      <c r="J741" s="138" t="str">
        <f>IF(C741&lt;&gt;"Despesa","",IFERROR(INDEX('Config'!$J$6:$J$40,MATCH(D741,'Config'!$I$6:$I$40,0)),"—"))</f>
        <v/>
      </c>
      <c r="K741" s="138" t="str">
        <f>IF(COUNTA(B741:F741)=0,"",IF(OR(B741="",C741="",D741="",F741=""),"▲ Completar","✔"))</f>
        <v/>
      </c>
    </row>
    <row r="742">
      <c r="B742" s="130" t="n"/>
      <c r="C742" s="129" t="n"/>
      <c r="D742" s="129" t="n"/>
      <c r="E742" s="129" t="n"/>
      <c r="F742" s="145" t="n"/>
      <c r="G742" s="129" t="n"/>
      <c r="H742" s="129" t="n"/>
      <c r="I742" s="129" t="n"/>
      <c r="J742" s="138" t="str">
        <f>IF(C742&lt;&gt;"Despesa","",IFERROR(INDEX('Config'!$J$6:$J$40,MATCH(D742,'Config'!$I$6:$I$40,0)),"—"))</f>
        <v/>
      </c>
      <c r="K742" s="138" t="str">
        <f>IF(COUNTA(B742:F742)=0,"",IF(OR(B742="",C742="",D742="",F742=""),"▲ Completar","✔"))</f>
        <v/>
      </c>
    </row>
    <row r="743">
      <c r="B743" s="130" t="n"/>
      <c r="C743" s="129" t="n"/>
      <c r="D743" s="129" t="n"/>
      <c r="E743" s="129" t="n"/>
      <c r="F743" s="145" t="n"/>
      <c r="G743" s="129" t="n"/>
      <c r="H743" s="129" t="n"/>
      <c r="I743" s="129" t="n"/>
      <c r="J743" s="138" t="str">
        <f>IF(C743&lt;&gt;"Despesa","",IFERROR(INDEX('Config'!$J$6:$J$40,MATCH(D743,'Config'!$I$6:$I$40,0)),"—"))</f>
        <v/>
      </c>
      <c r="K743" s="138" t="str">
        <f>IF(COUNTA(B743:F743)=0,"",IF(OR(B743="",C743="",D743="",F743=""),"▲ Completar","✔"))</f>
        <v/>
      </c>
    </row>
    <row r="744">
      <c r="B744" s="130" t="n"/>
      <c r="C744" s="129" t="n"/>
      <c r="D744" s="129" t="n"/>
      <c r="E744" s="129" t="n"/>
      <c r="F744" s="145" t="n"/>
      <c r="G744" s="129" t="n"/>
      <c r="H744" s="129" t="n"/>
      <c r="I744" s="129" t="n"/>
      <c r="J744" s="138" t="str">
        <f>IF(C744&lt;&gt;"Despesa","",IFERROR(INDEX('Config'!$J$6:$J$40,MATCH(D744,'Config'!$I$6:$I$40,0)),"—"))</f>
        <v/>
      </c>
      <c r="K744" s="138" t="str">
        <f>IF(COUNTA(B744:F744)=0,"",IF(OR(B744="",C744="",D744="",F744=""),"▲ Completar","✔"))</f>
        <v/>
      </c>
    </row>
    <row r="745">
      <c r="B745" s="130" t="n"/>
      <c r="C745" s="129" t="n"/>
      <c r="D745" s="129" t="n"/>
      <c r="E745" s="129" t="n"/>
      <c r="F745" s="145" t="n"/>
      <c r="G745" s="129" t="n"/>
      <c r="H745" s="129" t="n"/>
      <c r="I745" s="129" t="n"/>
      <c r="J745" s="138" t="str">
        <f>IF(C745&lt;&gt;"Despesa","",IFERROR(INDEX('Config'!$J$6:$J$40,MATCH(D745,'Config'!$I$6:$I$40,0)),"—"))</f>
        <v/>
      </c>
      <c r="K745" s="138" t="str">
        <f>IF(COUNTA(B745:F745)=0,"",IF(OR(B745="",C745="",D745="",F745=""),"▲ Completar","✔"))</f>
        <v/>
      </c>
    </row>
    <row r="746">
      <c r="B746" s="130" t="n"/>
      <c r="C746" s="129" t="n"/>
      <c r="D746" s="129" t="n"/>
      <c r="E746" s="129" t="n"/>
      <c r="F746" s="145" t="n"/>
      <c r="G746" s="129" t="n"/>
      <c r="H746" s="129" t="n"/>
      <c r="I746" s="129" t="n"/>
      <c r="J746" s="138" t="str">
        <f>IF(C746&lt;&gt;"Despesa","",IFERROR(INDEX('Config'!$J$6:$J$40,MATCH(D746,'Config'!$I$6:$I$40,0)),"—"))</f>
        <v/>
      </c>
      <c r="K746" s="138" t="str">
        <f>IF(COUNTA(B746:F746)=0,"",IF(OR(B746="",C746="",D746="",F746=""),"▲ Completar","✔"))</f>
        <v/>
      </c>
    </row>
    <row r="747">
      <c r="B747" s="130" t="n"/>
      <c r="C747" s="129" t="n"/>
      <c r="D747" s="129" t="n"/>
      <c r="E747" s="129" t="n"/>
      <c r="F747" s="145" t="n"/>
      <c r="G747" s="129" t="n"/>
      <c r="H747" s="129" t="n"/>
      <c r="I747" s="129" t="n"/>
      <c r="J747" s="138" t="str">
        <f>IF(C747&lt;&gt;"Despesa","",IFERROR(INDEX('Config'!$J$6:$J$40,MATCH(D747,'Config'!$I$6:$I$40,0)),"—"))</f>
        <v/>
      </c>
      <c r="K747" s="138" t="str">
        <f>IF(COUNTA(B747:F747)=0,"",IF(OR(B747="",C747="",D747="",F747=""),"▲ Completar","✔"))</f>
        <v/>
      </c>
    </row>
    <row r="748">
      <c r="B748" s="130" t="n"/>
      <c r="C748" s="129" t="n"/>
      <c r="D748" s="129" t="n"/>
      <c r="E748" s="129" t="n"/>
      <c r="F748" s="145" t="n"/>
      <c r="G748" s="129" t="n"/>
      <c r="H748" s="129" t="n"/>
      <c r="I748" s="129" t="n"/>
      <c r="J748" s="138" t="str">
        <f>IF(C748&lt;&gt;"Despesa","",IFERROR(INDEX('Config'!$J$6:$J$40,MATCH(D748,'Config'!$I$6:$I$40,0)),"—"))</f>
        <v/>
      </c>
      <c r="K748" s="138" t="str">
        <f>IF(COUNTA(B748:F748)=0,"",IF(OR(B748="",C748="",D748="",F748=""),"▲ Completar","✔"))</f>
        <v/>
      </c>
    </row>
    <row r="749">
      <c r="B749" s="130" t="n"/>
      <c r="C749" s="129" t="n"/>
      <c r="D749" s="129" t="n"/>
      <c r="E749" s="129" t="n"/>
      <c r="F749" s="145" t="n"/>
      <c r="G749" s="129" t="n"/>
      <c r="H749" s="129" t="n"/>
      <c r="I749" s="129" t="n"/>
      <c r="J749" s="138" t="str">
        <f>IF(C749&lt;&gt;"Despesa","",IFERROR(INDEX('Config'!$J$6:$J$40,MATCH(D749,'Config'!$I$6:$I$40,0)),"—"))</f>
        <v/>
      </c>
      <c r="K749" s="138" t="str">
        <f>IF(COUNTA(B749:F749)=0,"",IF(OR(B749="",C749="",D749="",F749=""),"▲ Completar","✔"))</f>
        <v/>
      </c>
    </row>
    <row r="750">
      <c r="B750" s="130" t="n"/>
      <c r="C750" s="129" t="n"/>
      <c r="D750" s="129" t="n"/>
      <c r="E750" s="129" t="n"/>
      <c r="F750" s="145" t="n"/>
      <c r="G750" s="129" t="n"/>
      <c r="H750" s="129" t="n"/>
      <c r="I750" s="129" t="n"/>
      <c r="J750" s="138" t="str">
        <f>IF(C750&lt;&gt;"Despesa","",IFERROR(INDEX('Config'!$J$6:$J$40,MATCH(D750,'Config'!$I$6:$I$40,0)),"—"))</f>
        <v/>
      </c>
      <c r="K750" s="138" t="str">
        <f>IF(COUNTA(B750:F750)=0,"",IF(OR(B750="",C750="",D750="",F750=""),"▲ Completar","✔"))</f>
        <v/>
      </c>
    </row>
    <row r="751">
      <c r="B751" s="130" t="n"/>
      <c r="C751" s="129" t="n"/>
      <c r="D751" s="129" t="n"/>
      <c r="E751" s="129" t="n"/>
      <c r="F751" s="145" t="n"/>
      <c r="G751" s="129" t="n"/>
      <c r="H751" s="129" t="n"/>
      <c r="I751" s="129" t="n"/>
      <c r="J751" s="138" t="str">
        <f>IF(C751&lt;&gt;"Despesa","",IFERROR(INDEX('Config'!$J$6:$J$40,MATCH(D751,'Config'!$I$6:$I$40,0)),"—"))</f>
        <v/>
      </c>
      <c r="K751" s="138" t="str">
        <f>IF(COUNTA(B751:F751)=0,"",IF(OR(B751="",C751="",D751="",F751=""),"▲ Completar","✔"))</f>
        <v/>
      </c>
    </row>
    <row r="752">
      <c r="B752" s="130" t="n"/>
      <c r="C752" s="129" t="n"/>
      <c r="D752" s="129" t="n"/>
      <c r="E752" s="129" t="n"/>
      <c r="F752" s="145" t="n"/>
      <c r="G752" s="129" t="n"/>
      <c r="H752" s="129" t="n"/>
      <c r="I752" s="129" t="n"/>
      <c r="J752" s="138" t="str">
        <f>IF(C752&lt;&gt;"Despesa","",IFERROR(INDEX('Config'!$J$6:$J$40,MATCH(D752,'Config'!$I$6:$I$40,0)),"—"))</f>
        <v/>
      </c>
      <c r="K752" s="138" t="str">
        <f>IF(COUNTA(B752:F752)=0,"",IF(OR(B752="",C752="",D752="",F752=""),"▲ Completar","✔"))</f>
        <v/>
      </c>
    </row>
    <row r="753">
      <c r="B753" s="130" t="n"/>
      <c r="C753" s="129" t="n"/>
      <c r="D753" s="129" t="n"/>
      <c r="E753" s="129" t="n"/>
      <c r="F753" s="145" t="n"/>
      <c r="G753" s="129" t="n"/>
      <c r="H753" s="129" t="n"/>
      <c r="I753" s="129" t="n"/>
      <c r="J753" s="138" t="str">
        <f>IF(C753&lt;&gt;"Despesa","",IFERROR(INDEX('Config'!$J$6:$J$40,MATCH(D753,'Config'!$I$6:$I$40,0)),"—"))</f>
        <v/>
      </c>
      <c r="K753" s="138" t="str">
        <f>IF(COUNTA(B753:F753)=0,"",IF(OR(B753="",C753="",D753="",F753=""),"▲ Completar","✔"))</f>
        <v/>
      </c>
    </row>
    <row r="754">
      <c r="B754" s="130" t="n"/>
      <c r="C754" s="129" t="n"/>
      <c r="D754" s="129" t="n"/>
      <c r="E754" s="129" t="n"/>
      <c r="F754" s="145" t="n"/>
      <c r="G754" s="129" t="n"/>
      <c r="H754" s="129" t="n"/>
      <c r="I754" s="129" t="n"/>
      <c r="J754" s="138" t="str">
        <f>IF(C754&lt;&gt;"Despesa","",IFERROR(INDEX('Config'!$J$6:$J$40,MATCH(D754,'Config'!$I$6:$I$40,0)),"—"))</f>
        <v/>
      </c>
      <c r="K754" s="138" t="str">
        <f>IF(COUNTA(B754:F754)=0,"",IF(OR(B754="",C754="",D754="",F754=""),"▲ Completar","✔"))</f>
        <v/>
      </c>
    </row>
    <row r="755">
      <c r="B755" s="130" t="n"/>
      <c r="C755" s="129" t="n"/>
      <c r="D755" s="129" t="n"/>
      <c r="E755" s="129" t="n"/>
      <c r="F755" s="145" t="n"/>
      <c r="G755" s="129" t="n"/>
      <c r="H755" s="129" t="n"/>
      <c r="I755" s="129" t="n"/>
      <c r="J755" s="138" t="str">
        <f>IF(C755&lt;&gt;"Despesa","",IFERROR(INDEX('Config'!$J$6:$J$40,MATCH(D755,'Config'!$I$6:$I$40,0)),"—"))</f>
        <v/>
      </c>
      <c r="K755" s="138" t="str">
        <f>IF(COUNTA(B755:F755)=0,"",IF(OR(B755="",C755="",D755="",F755=""),"▲ Completar","✔"))</f>
        <v/>
      </c>
    </row>
    <row r="756">
      <c r="B756" s="130" t="n"/>
      <c r="C756" s="129" t="n"/>
      <c r="D756" s="129" t="n"/>
      <c r="E756" s="129" t="n"/>
      <c r="F756" s="145" t="n"/>
      <c r="G756" s="129" t="n"/>
      <c r="H756" s="129" t="n"/>
      <c r="I756" s="129" t="n"/>
      <c r="J756" s="138" t="str">
        <f>IF(C756&lt;&gt;"Despesa","",IFERROR(INDEX('Config'!$J$6:$J$40,MATCH(D756,'Config'!$I$6:$I$40,0)),"—"))</f>
        <v/>
      </c>
      <c r="K756" s="138" t="str">
        <f>IF(COUNTA(B756:F756)=0,"",IF(OR(B756="",C756="",D756="",F756=""),"▲ Completar","✔"))</f>
        <v/>
      </c>
    </row>
    <row r="757">
      <c r="B757" s="130" t="n"/>
      <c r="C757" s="129" t="n"/>
      <c r="D757" s="129" t="n"/>
      <c r="E757" s="129" t="n"/>
      <c r="F757" s="145" t="n"/>
      <c r="G757" s="129" t="n"/>
      <c r="H757" s="129" t="n"/>
      <c r="I757" s="129" t="n"/>
      <c r="J757" s="138" t="str">
        <f>IF(C757&lt;&gt;"Despesa","",IFERROR(INDEX('Config'!$J$6:$J$40,MATCH(D757,'Config'!$I$6:$I$40,0)),"—"))</f>
        <v/>
      </c>
      <c r="K757" s="138" t="str">
        <f>IF(COUNTA(B757:F757)=0,"",IF(OR(B757="",C757="",D757="",F757=""),"▲ Completar","✔"))</f>
        <v/>
      </c>
    </row>
    <row r="758">
      <c r="B758" s="130" t="n"/>
      <c r="C758" s="129" t="n"/>
      <c r="D758" s="129" t="n"/>
      <c r="E758" s="129" t="n"/>
      <c r="F758" s="145" t="n"/>
      <c r="G758" s="129" t="n"/>
      <c r="H758" s="129" t="n"/>
      <c r="I758" s="129" t="n"/>
      <c r="J758" s="138" t="str">
        <f>IF(C758&lt;&gt;"Despesa","",IFERROR(INDEX('Config'!$J$6:$J$40,MATCH(D758,'Config'!$I$6:$I$40,0)),"—"))</f>
        <v/>
      </c>
      <c r="K758" s="138" t="str">
        <f>IF(COUNTA(B758:F758)=0,"",IF(OR(B758="",C758="",D758="",F758=""),"▲ Completar","✔"))</f>
        <v/>
      </c>
    </row>
    <row r="759">
      <c r="B759" s="130" t="n"/>
      <c r="C759" s="129" t="n"/>
      <c r="D759" s="129" t="n"/>
      <c r="E759" s="129" t="n"/>
      <c r="F759" s="145" t="n"/>
      <c r="G759" s="129" t="n"/>
      <c r="H759" s="129" t="n"/>
      <c r="I759" s="129" t="n"/>
      <c r="J759" s="138" t="str">
        <f>IF(C759&lt;&gt;"Despesa","",IFERROR(INDEX('Config'!$J$6:$J$40,MATCH(D759,'Config'!$I$6:$I$40,0)),"—"))</f>
        <v/>
      </c>
      <c r="K759" s="138" t="str">
        <f>IF(COUNTA(B759:F759)=0,"",IF(OR(B759="",C759="",D759="",F759=""),"▲ Completar","✔"))</f>
        <v/>
      </c>
    </row>
    <row r="760">
      <c r="B760" s="130" t="n"/>
      <c r="C760" s="129" t="n"/>
      <c r="D760" s="129" t="n"/>
      <c r="E760" s="129" t="n"/>
      <c r="F760" s="145" t="n"/>
      <c r="G760" s="129" t="n"/>
      <c r="H760" s="129" t="n"/>
      <c r="I760" s="129" t="n"/>
      <c r="J760" s="138" t="str">
        <f>IF(C760&lt;&gt;"Despesa","",IFERROR(INDEX('Config'!$J$6:$J$40,MATCH(D760,'Config'!$I$6:$I$40,0)),"—"))</f>
        <v/>
      </c>
      <c r="K760" s="138" t="str">
        <f>IF(COUNTA(B760:F760)=0,"",IF(OR(B760="",C760="",D760="",F760=""),"▲ Completar","✔"))</f>
        <v/>
      </c>
    </row>
    <row r="761">
      <c r="B761" s="130" t="n"/>
      <c r="C761" s="129" t="n"/>
      <c r="D761" s="129" t="n"/>
      <c r="E761" s="129" t="n"/>
      <c r="F761" s="145" t="n"/>
      <c r="G761" s="129" t="n"/>
      <c r="H761" s="129" t="n"/>
      <c r="I761" s="129" t="n"/>
      <c r="J761" s="138" t="str">
        <f>IF(C761&lt;&gt;"Despesa","",IFERROR(INDEX('Config'!$J$6:$J$40,MATCH(D761,'Config'!$I$6:$I$40,0)),"—"))</f>
        <v/>
      </c>
      <c r="K761" s="138" t="str">
        <f>IF(COUNTA(B761:F761)=0,"",IF(OR(B761="",C761="",D761="",F761=""),"▲ Completar","✔"))</f>
        <v/>
      </c>
    </row>
    <row r="762">
      <c r="B762" s="130" t="n"/>
      <c r="C762" s="129" t="n"/>
      <c r="D762" s="129" t="n"/>
      <c r="E762" s="129" t="n"/>
      <c r="F762" s="145" t="n"/>
      <c r="G762" s="129" t="n"/>
      <c r="H762" s="129" t="n"/>
      <c r="I762" s="129" t="n"/>
      <c r="J762" s="138" t="str">
        <f>IF(C762&lt;&gt;"Despesa","",IFERROR(INDEX('Config'!$J$6:$J$40,MATCH(D762,'Config'!$I$6:$I$40,0)),"—"))</f>
        <v/>
      </c>
      <c r="K762" s="138" t="str">
        <f>IF(COUNTA(B762:F762)=0,"",IF(OR(B762="",C762="",D762="",F762=""),"▲ Completar","✔"))</f>
        <v/>
      </c>
    </row>
    <row r="763">
      <c r="B763" s="130" t="n"/>
      <c r="C763" s="129" t="n"/>
      <c r="D763" s="129" t="n"/>
      <c r="E763" s="129" t="n"/>
      <c r="F763" s="145" t="n"/>
      <c r="G763" s="129" t="n"/>
      <c r="H763" s="129" t="n"/>
      <c r="I763" s="129" t="n"/>
      <c r="J763" s="138" t="str">
        <f>IF(C763&lt;&gt;"Despesa","",IFERROR(INDEX('Config'!$J$6:$J$40,MATCH(D763,'Config'!$I$6:$I$40,0)),"—"))</f>
        <v/>
      </c>
      <c r="K763" s="138" t="str">
        <f>IF(COUNTA(B763:F763)=0,"",IF(OR(B763="",C763="",D763="",F763=""),"▲ Completar","✔"))</f>
        <v/>
      </c>
    </row>
    <row r="764">
      <c r="B764" s="130" t="n"/>
      <c r="C764" s="129" t="n"/>
      <c r="D764" s="129" t="n"/>
      <c r="E764" s="129" t="n"/>
      <c r="F764" s="145" t="n"/>
      <c r="G764" s="129" t="n"/>
      <c r="H764" s="129" t="n"/>
      <c r="I764" s="129" t="n"/>
      <c r="J764" s="138" t="str">
        <f>IF(C764&lt;&gt;"Despesa","",IFERROR(INDEX('Config'!$J$6:$J$40,MATCH(D764,'Config'!$I$6:$I$40,0)),"—"))</f>
        <v/>
      </c>
      <c r="K764" s="138" t="str">
        <f>IF(COUNTA(B764:F764)=0,"",IF(OR(B764="",C764="",D764="",F764=""),"▲ Completar","✔"))</f>
        <v/>
      </c>
    </row>
    <row r="765">
      <c r="B765" s="130" t="n"/>
      <c r="C765" s="129" t="n"/>
      <c r="D765" s="129" t="n"/>
      <c r="E765" s="129" t="n"/>
      <c r="F765" s="145" t="n"/>
      <c r="G765" s="129" t="n"/>
      <c r="H765" s="129" t="n"/>
      <c r="I765" s="129" t="n"/>
      <c r="J765" s="138" t="str">
        <f>IF(C765&lt;&gt;"Despesa","",IFERROR(INDEX('Config'!$J$6:$J$40,MATCH(D765,'Config'!$I$6:$I$40,0)),"—"))</f>
        <v/>
      </c>
      <c r="K765" s="138" t="str">
        <f>IF(COUNTA(B765:F765)=0,"",IF(OR(B765="",C765="",D765="",F765=""),"▲ Completar","✔"))</f>
        <v/>
      </c>
    </row>
    <row r="766">
      <c r="B766" s="130" t="n"/>
      <c r="C766" s="129" t="n"/>
      <c r="D766" s="129" t="n"/>
      <c r="E766" s="129" t="n"/>
      <c r="F766" s="145" t="n"/>
      <c r="G766" s="129" t="n"/>
      <c r="H766" s="129" t="n"/>
      <c r="I766" s="129" t="n"/>
      <c r="J766" s="138" t="str">
        <f>IF(C766&lt;&gt;"Despesa","",IFERROR(INDEX('Config'!$J$6:$J$40,MATCH(D766,'Config'!$I$6:$I$40,0)),"—"))</f>
        <v/>
      </c>
      <c r="K766" s="138" t="str">
        <f>IF(COUNTA(B766:F766)=0,"",IF(OR(B766="",C766="",D766="",F766=""),"▲ Completar","✔"))</f>
        <v/>
      </c>
    </row>
    <row r="767">
      <c r="B767" s="130" t="n"/>
      <c r="C767" s="129" t="n"/>
      <c r="D767" s="129" t="n"/>
      <c r="E767" s="129" t="n"/>
      <c r="F767" s="145" t="n"/>
      <c r="G767" s="129" t="n"/>
      <c r="H767" s="129" t="n"/>
      <c r="I767" s="129" t="n"/>
      <c r="J767" s="138" t="str">
        <f>IF(C767&lt;&gt;"Despesa","",IFERROR(INDEX('Config'!$J$6:$J$40,MATCH(D767,'Config'!$I$6:$I$40,0)),"—"))</f>
        <v/>
      </c>
      <c r="K767" s="138" t="str">
        <f>IF(COUNTA(B767:F767)=0,"",IF(OR(B767="",C767="",D767="",F767=""),"▲ Completar","✔"))</f>
        <v/>
      </c>
    </row>
    <row r="768">
      <c r="B768" s="130" t="n"/>
      <c r="C768" s="129" t="n"/>
      <c r="D768" s="129" t="n"/>
      <c r="E768" s="129" t="n"/>
      <c r="F768" s="145" t="n"/>
      <c r="G768" s="129" t="n"/>
      <c r="H768" s="129" t="n"/>
      <c r="I768" s="129" t="n"/>
      <c r="J768" s="138" t="str">
        <f>IF(C768&lt;&gt;"Despesa","",IFERROR(INDEX('Config'!$J$6:$J$40,MATCH(D768,'Config'!$I$6:$I$40,0)),"—"))</f>
        <v/>
      </c>
      <c r="K768" s="138" t="str">
        <f>IF(COUNTA(B768:F768)=0,"",IF(OR(B768="",C768="",D768="",F768=""),"▲ Completar","✔"))</f>
        <v/>
      </c>
    </row>
    <row r="769">
      <c r="B769" s="130" t="n"/>
      <c r="C769" s="129" t="n"/>
      <c r="D769" s="129" t="n"/>
      <c r="E769" s="129" t="n"/>
      <c r="F769" s="145" t="n"/>
      <c r="G769" s="129" t="n"/>
      <c r="H769" s="129" t="n"/>
      <c r="I769" s="129" t="n"/>
      <c r="J769" s="138" t="str">
        <f>IF(C769&lt;&gt;"Despesa","",IFERROR(INDEX('Config'!$J$6:$J$40,MATCH(D769,'Config'!$I$6:$I$40,0)),"—"))</f>
        <v/>
      </c>
      <c r="K769" s="138" t="str">
        <f>IF(COUNTA(B769:F769)=0,"",IF(OR(B769="",C769="",D769="",F769=""),"▲ Completar","✔"))</f>
        <v/>
      </c>
    </row>
    <row r="770">
      <c r="B770" s="130" t="n"/>
      <c r="C770" s="129" t="n"/>
      <c r="D770" s="129" t="n"/>
      <c r="E770" s="129" t="n"/>
      <c r="F770" s="145" t="n"/>
      <c r="G770" s="129" t="n"/>
      <c r="H770" s="129" t="n"/>
      <c r="I770" s="129" t="n"/>
      <c r="J770" s="138" t="str">
        <f>IF(C770&lt;&gt;"Despesa","",IFERROR(INDEX('Config'!$J$6:$J$40,MATCH(D770,'Config'!$I$6:$I$40,0)),"—"))</f>
        <v/>
      </c>
      <c r="K770" s="138" t="str">
        <f>IF(COUNTA(B770:F770)=0,"",IF(OR(B770="",C770="",D770="",F770=""),"▲ Completar","✔"))</f>
        <v/>
      </c>
    </row>
    <row r="771">
      <c r="B771" s="130" t="n"/>
      <c r="C771" s="129" t="n"/>
      <c r="D771" s="129" t="n"/>
      <c r="E771" s="129" t="n"/>
      <c r="F771" s="145" t="n"/>
      <c r="G771" s="129" t="n"/>
      <c r="H771" s="129" t="n"/>
      <c r="I771" s="129" t="n"/>
      <c r="J771" s="138" t="str">
        <f>IF(C771&lt;&gt;"Despesa","",IFERROR(INDEX('Config'!$J$6:$J$40,MATCH(D771,'Config'!$I$6:$I$40,0)),"—"))</f>
        <v/>
      </c>
      <c r="K771" s="138" t="str">
        <f>IF(COUNTA(B771:F771)=0,"",IF(OR(B771="",C771="",D771="",F771=""),"▲ Completar","✔"))</f>
        <v/>
      </c>
    </row>
    <row r="772">
      <c r="B772" s="130" t="n"/>
      <c r="C772" s="129" t="n"/>
      <c r="D772" s="129" t="n"/>
      <c r="E772" s="129" t="n"/>
      <c r="F772" s="145" t="n"/>
      <c r="G772" s="129" t="n"/>
      <c r="H772" s="129" t="n"/>
      <c r="I772" s="129" t="n"/>
      <c r="J772" s="138" t="str">
        <f>IF(C772&lt;&gt;"Despesa","",IFERROR(INDEX('Config'!$J$6:$J$40,MATCH(D772,'Config'!$I$6:$I$40,0)),"—"))</f>
        <v/>
      </c>
      <c r="K772" s="138" t="str">
        <f>IF(COUNTA(B772:F772)=0,"",IF(OR(B772="",C772="",D772="",F772=""),"▲ Completar","✔"))</f>
        <v/>
      </c>
    </row>
    <row r="773">
      <c r="B773" s="130" t="n"/>
      <c r="C773" s="129" t="n"/>
      <c r="D773" s="129" t="n"/>
      <c r="E773" s="129" t="n"/>
      <c r="F773" s="145" t="n"/>
      <c r="G773" s="129" t="n"/>
      <c r="H773" s="129" t="n"/>
      <c r="I773" s="129" t="n"/>
      <c r="J773" s="138" t="str">
        <f>IF(C773&lt;&gt;"Despesa","",IFERROR(INDEX('Config'!$J$6:$J$40,MATCH(D773,'Config'!$I$6:$I$40,0)),"—"))</f>
        <v/>
      </c>
      <c r="K773" s="138" t="str">
        <f>IF(COUNTA(B773:F773)=0,"",IF(OR(B773="",C773="",D773="",F773=""),"▲ Completar","✔"))</f>
        <v/>
      </c>
    </row>
    <row r="774">
      <c r="B774" s="130" t="n"/>
      <c r="C774" s="129" t="n"/>
      <c r="D774" s="129" t="n"/>
      <c r="E774" s="129" t="n"/>
      <c r="F774" s="145" t="n"/>
      <c r="G774" s="129" t="n"/>
      <c r="H774" s="129" t="n"/>
      <c r="I774" s="129" t="n"/>
      <c r="J774" s="138" t="str">
        <f>IF(C774&lt;&gt;"Despesa","",IFERROR(INDEX('Config'!$J$6:$J$40,MATCH(D774,'Config'!$I$6:$I$40,0)),"—"))</f>
        <v/>
      </c>
      <c r="K774" s="138" t="str">
        <f>IF(COUNTA(B774:F774)=0,"",IF(OR(B774="",C774="",D774="",F774=""),"▲ Completar","✔"))</f>
        <v/>
      </c>
    </row>
    <row r="775">
      <c r="B775" s="130" t="n"/>
      <c r="C775" s="129" t="n"/>
      <c r="D775" s="129" t="n"/>
      <c r="E775" s="129" t="n"/>
      <c r="F775" s="145" t="n"/>
      <c r="G775" s="129" t="n"/>
      <c r="H775" s="129" t="n"/>
      <c r="I775" s="129" t="n"/>
      <c r="J775" s="138" t="str">
        <f>IF(C775&lt;&gt;"Despesa","",IFERROR(INDEX('Config'!$J$6:$J$40,MATCH(D775,'Config'!$I$6:$I$40,0)),"—"))</f>
        <v/>
      </c>
      <c r="K775" s="138" t="str">
        <f>IF(COUNTA(B775:F775)=0,"",IF(OR(B775="",C775="",D775="",F775=""),"▲ Completar","✔"))</f>
        <v/>
      </c>
    </row>
    <row r="776">
      <c r="B776" s="130" t="n"/>
      <c r="C776" s="129" t="n"/>
      <c r="D776" s="129" t="n"/>
      <c r="E776" s="129" t="n"/>
      <c r="F776" s="145" t="n"/>
      <c r="G776" s="129" t="n"/>
      <c r="H776" s="129" t="n"/>
      <c r="I776" s="129" t="n"/>
      <c r="J776" s="138" t="str">
        <f>IF(C776&lt;&gt;"Despesa","",IFERROR(INDEX('Config'!$J$6:$J$40,MATCH(D776,'Config'!$I$6:$I$40,0)),"—"))</f>
        <v/>
      </c>
      <c r="K776" s="138" t="str">
        <f>IF(COUNTA(B776:F776)=0,"",IF(OR(B776="",C776="",D776="",F776=""),"▲ Completar","✔"))</f>
        <v/>
      </c>
    </row>
    <row r="777">
      <c r="B777" s="130" t="n"/>
      <c r="C777" s="129" t="n"/>
      <c r="D777" s="129" t="n"/>
      <c r="E777" s="129" t="n"/>
      <c r="F777" s="145" t="n"/>
      <c r="G777" s="129" t="n"/>
      <c r="H777" s="129" t="n"/>
      <c r="I777" s="129" t="n"/>
      <c r="J777" s="138" t="str">
        <f>IF(C777&lt;&gt;"Despesa","",IFERROR(INDEX('Config'!$J$6:$J$40,MATCH(D777,'Config'!$I$6:$I$40,0)),"—"))</f>
        <v/>
      </c>
      <c r="K777" s="138" t="str">
        <f>IF(COUNTA(B777:F777)=0,"",IF(OR(B777="",C777="",D777="",F777=""),"▲ Completar","✔"))</f>
        <v/>
      </c>
    </row>
    <row r="778">
      <c r="B778" s="130" t="n"/>
      <c r="C778" s="129" t="n"/>
      <c r="D778" s="129" t="n"/>
      <c r="E778" s="129" t="n"/>
      <c r="F778" s="145" t="n"/>
      <c r="G778" s="129" t="n"/>
      <c r="H778" s="129" t="n"/>
      <c r="I778" s="129" t="n"/>
      <c r="J778" s="138" t="str">
        <f>IF(C778&lt;&gt;"Despesa","",IFERROR(INDEX('Config'!$J$6:$J$40,MATCH(D778,'Config'!$I$6:$I$40,0)),"—"))</f>
        <v/>
      </c>
      <c r="K778" s="138" t="str">
        <f>IF(COUNTA(B778:F778)=0,"",IF(OR(B778="",C778="",D778="",F778=""),"▲ Completar","✔"))</f>
        <v/>
      </c>
    </row>
    <row r="779">
      <c r="B779" s="130" t="n"/>
      <c r="C779" s="129" t="n"/>
      <c r="D779" s="129" t="n"/>
      <c r="E779" s="129" t="n"/>
      <c r="F779" s="145" t="n"/>
      <c r="G779" s="129" t="n"/>
      <c r="H779" s="129" t="n"/>
      <c r="I779" s="129" t="n"/>
      <c r="J779" s="138" t="str">
        <f>IF(C779&lt;&gt;"Despesa","",IFERROR(INDEX('Config'!$J$6:$J$40,MATCH(D779,'Config'!$I$6:$I$40,0)),"—"))</f>
        <v/>
      </c>
      <c r="K779" s="138" t="str">
        <f>IF(COUNTA(B779:F779)=0,"",IF(OR(B779="",C779="",D779="",F779=""),"▲ Completar","✔"))</f>
        <v/>
      </c>
    </row>
    <row r="780">
      <c r="B780" s="130" t="n"/>
      <c r="C780" s="129" t="n"/>
      <c r="D780" s="129" t="n"/>
      <c r="E780" s="129" t="n"/>
      <c r="F780" s="145" t="n"/>
      <c r="G780" s="129" t="n"/>
      <c r="H780" s="129" t="n"/>
      <c r="I780" s="129" t="n"/>
      <c r="J780" s="138" t="str">
        <f>IF(C780&lt;&gt;"Despesa","",IFERROR(INDEX('Config'!$J$6:$J$40,MATCH(D780,'Config'!$I$6:$I$40,0)),"—"))</f>
        <v/>
      </c>
      <c r="K780" s="138" t="str">
        <f>IF(COUNTA(B780:F780)=0,"",IF(OR(B780="",C780="",D780="",F780=""),"▲ Completar","✔"))</f>
        <v/>
      </c>
    </row>
    <row r="781">
      <c r="B781" s="130" t="n"/>
      <c r="C781" s="129" t="n"/>
      <c r="D781" s="129" t="n"/>
      <c r="E781" s="129" t="n"/>
      <c r="F781" s="145" t="n"/>
      <c r="G781" s="129" t="n"/>
      <c r="H781" s="129" t="n"/>
      <c r="I781" s="129" t="n"/>
      <c r="J781" s="138" t="str">
        <f>IF(C781&lt;&gt;"Despesa","",IFERROR(INDEX('Config'!$J$6:$J$40,MATCH(D781,'Config'!$I$6:$I$40,0)),"—"))</f>
        <v/>
      </c>
      <c r="K781" s="138" t="str">
        <f>IF(COUNTA(B781:F781)=0,"",IF(OR(B781="",C781="",D781="",F781=""),"▲ Completar","✔"))</f>
        <v/>
      </c>
    </row>
    <row r="782">
      <c r="B782" s="130" t="n"/>
      <c r="C782" s="129" t="n"/>
      <c r="D782" s="129" t="n"/>
      <c r="E782" s="129" t="n"/>
      <c r="F782" s="145" t="n"/>
      <c r="G782" s="129" t="n"/>
      <c r="H782" s="129" t="n"/>
      <c r="I782" s="129" t="n"/>
      <c r="J782" s="138" t="str">
        <f>IF(C782&lt;&gt;"Despesa","",IFERROR(INDEX('Config'!$J$6:$J$40,MATCH(D782,'Config'!$I$6:$I$40,0)),"—"))</f>
        <v/>
      </c>
      <c r="K782" s="138" t="str">
        <f>IF(COUNTA(B782:F782)=0,"",IF(OR(B782="",C782="",D782="",F782=""),"▲ Completar","✔"))</f>
        <v/>
      </c>
    </row>
    <row r="783">
      <c r="B783" s="130" t="n"/>
      <c r="C783" s="129" t="n"/>
      <c r="D783" s="129" t="n"/>
      <c r="E783" s="129" t="n"/>
      <c r="F783" s="145" t="n"/>
      <c r="G783" s="129" t="n"/>
      <c r="H783" s="129" t="n"/>
      <c r="I783" s="129" t="n"/>
      <c r="J783" s="138" t="str">
        <f>IF(C783&lt;&gt;"Despesa","",IFERROR(INDEX('Config'!$J$6:$J$40,MATCH(D783,'Config'!$I$6:$I$40,0)),"—"))</f>
        <v/>
      </c>
      <c r="K783" s="138" t="str">
        <f>IF(COUNTA(B783:F783)=0,"",IF(OR(B783="",C783="",D783="",F783=""),"▲ Completar","✔"))</f>
        <v/>
      </c>
    </row>
    <row r="784">
      <c r="B784" s="130" t="n"/>
      <c r="C784" s="129" t="n"/>
      <c r="D784" s="129" t="n"/>
      <c r="E784" s="129" t="n"/>
      <c r="F784" s="145" t="n"/>
      <c r="G784" s="129" t="n"/>
      <c r="H784" s="129" t="n"/>
      <c r="I784" s="129" t="n"/>
      <c r="J784" s="138" t="str">
        <f>IF(C784&lt;&gt;"Despesa","",IFERROR(INDEX('Config'!$J$6:$J$40,MATCH(D784,'Config'!$I$6:$I$40,0)),"—"))</f>
        <v/>
      </c>
      <c r="K784" s="138" t="str">
        <f>IF(COUNTA(B784:F784)=0,"",IF(OR(B784="",C784="",D784="",F784=""),"▲ Completar","✔"))</f>
        <v/>
      </c>
    </row>
    <row r="785">
      <c r="B785" s="130" t="n"/>
      <c r="C785" s="129" t="n"/>
      <c r="D785" s="129" t="n"/>
      <c r="E785" s="129" t="n"/>
      <c r="F785" s="145" t="n"/>
      <c r="G785" s="129" t="n"/>
      <c r="H785" s="129" t="n"/>
      <c r="I785" s="129" t="n"/>
      <c r="J785" s="138" t="str">
        <f>IF(C785&lt;&gt;"Despesa","",IFERROR(INDEX('Config'!$J$6:$J$40,MATCH(D785,'Config'!$I$6:$I$40,0)),"—"))</f>
        <v/>
      </c>
      <c r="K785" s="138" t="str">
        <f>IF(COUNTA(B785:F785)=0,"",IF(OR(B785="",C785="",D785="",F785=""),"▲ Completar","✔"))</f>
        <v/>
      </c>
    </row>
    <row r="786">
      <c r="B786" s="130" t="n"/>
      <c r="C786" s="129" t="n"/>
      <c r="D786" s="129" t="n"/>
      <c r="E786" s="129" t="n"/>
      <c r="F786" s="145" t="n"/>
      <c r="G786" s="129" t="n"/>
      <c r="H786" s="129" t="n"/>
      <c r="I786" s="129" t="n"/>
      <c r="J786" s="138" t="str">
        <f>IF(C786&lt;&gt;"Despesa","",IFERROR(INDEX('Config'!$J$6:$J$40,MATCH(D786,'Config'!$I$6:$I$40,0)),"—"))</f>
        <v/>
      </c>
      <c r="K786" s="138" t="str">
        <f>IF(COUNTA(B786:F786)=0,"",IF(OR(B786="",C786="",D786="",F786=""),"▲ Completar","✔"))</f>
        <v/>
      </c>
    </row>
    <row r="787">
      <c r="B787" s="130" t="n"/>
      <c r="C787" s="129" t="n"/>
      <c r="D787" s="129" t="n"/>
      <c r="E787" s="129" t="n"/>
      <c r="F787" s="145" t="n"/>
      <c r="G787" s="129" t="n"/>
      <c r="H787" s="129" t="n"/>
      <c r="I787" s="129" t="n"/>
      <c r="J787" s="138" t="str">
        <f>IF(C787&lt;&gt;"Despesa","",IFERROR(INDEX('Config'!$J$6:$J$40,MATCH(D787,'Config'!$I$6:$I$40,0)),"—"))</f>
        <v/>
      </c>
      <c r="K787" s="138" t="str">
        <f>IF(COUNTA(B787:F787)=0,"",IF(OR(B787="",C787="",D787="",F787=""),"▲ Completar","✔"))</f>
        <v/>
      </c>
    </row>
    <row r="788">
      <c r="B788" s="130" t="n"/>
      <c r="C788" s="129" t="n"/>
      <c r="D788" s="129" t="n"/>
      <c r="E788" s="129" t="n"/>
      <c r="F788" s="145" t="n"/>
      <c r="G788" s="129" t="n"/>
      <c r="H788" s="129" t="n"/>
      <c r="I788" s="129" t="n"/>
      <c r="J788" s="138" t="str">
        <f>IF(C788&lt;&gt;"Despesa","",IFERROR(INDEX('Config'!$J$6:$J$40,MATCH(D788,'Config'!$I$6:$I$40,0)),"—"))</f>
        <v/>
      </c>
      <c r="K788" s="138" t="str">
        <f>IF(COUNTA(B788:F788)=0,"",IF(OR(B788="",C788="",D788="",F788=""),"▲ Completar","✔"))</f>
        <v/>
      </c>
    </row>
    <row r="789">
      <c r="B789" s="130" t="n"/>
      <c r="C789" s="129" t="n"/>
      <c r="D789" s="129" t="n"/>
      <c r="E789" s="129" t="n"/>
      <c r="F789" s="145" t="n"/>
      <c r="G789" s="129" t="n"/>
      <c r="H789" s="129" t="n"/>
      <c r="I789" s="129" t="n"/>
      <c r="J789" s="138" t="str">
        <f>IF(C789&lt;&gt;"Despesa","",IFERROR(INDEX('Config'!$J$6:$J$40,MATCH(D789,'Config'!$I$6:$I$40,0)),"—"))</f>
        <v/>
      </c>
      <c r="K789" s="138" t="str">
        <f>IF(COUNTA(B789:F789)=0,"",IF(OR(B789="",C789="",D789="",F789=""),"▲ Completar","✔"))</f>
        <v/>
      </c>
    </row>
    <row r="790">
      <c r="B790" s="130" t="n"/>
      <c r="C790" s="129" t="n"/>
      <c r="D790" s="129" t="n"/>
      <c r="E790" s="129" t="n"/>
      <c r="F790" s="145" t="n"/>
      <c r="G790" s="129" t="n"/>
      <c r="H790" s="129" t="n"/>
      <c r="I790" s="129" t="n"/>
      <c r="J790" s="138" t="str">
        <f>IF(C790&lt;&gt;"Despesa","",IFERROR(INDEX('Config'!$J$6:$J$40,MATCH(D790,'Config'!$I$6:$I$40,0)),"—"))</f>
        <v/>
      </c>
      <c r="K790" s="138" t="str">
        <f>IF(COUNTA(B790:F790)=0,"",IF(OR(B790="",C790="",D790="",F790=""),"▲ Completar","✔"))</f>
        <v/>
      </c>
    </row>
    <row r="791">
      <c r="B791" s="130" t="n"/>
      <c r="C791" s="129" t="n"/>
      <c r="D791" s="129" t="n"/>
      <c r="E791" s="129" t="n"/>
      <c r="F791" s="145" t="n"/>
      <c r="G791" s="129" t="n"/>
      <c r="H791" s="129" t="n"/>
      <c r="I791" s="129" t="n"/>
      <c r="J791" s="138" t="str">
        <f>IF(C791&lt;&gt;"Despesa","",IFERROR(INDEX('Config'!$J$6:$J$40,MATCH(D791,'Config'!$I$6:$I$40,0)),"—"))</f>
        <v/>
      </c>
      <c r="K791" s="138" t="str">
        <f>IF(COUNTA(B791:F791)=0,"",IF(OR(B791="",C791="",D791="",F791=""),"▲ Completar","✔"))</f>
        <v/>
      </c>
    </row>
    <row r="792">
      <c r="B792" s="130" t="n"/>
      <c r="C792" s="129" t="n"/>
      <c r="D792" s="129" t="n"/>
      <c r="E792" s="129" t="n"/>
      <c r="F792" s="145" t="n"/>
      <c r="G792" s="129" t="n"/>
      <c r="H792" s="129" t="n"/>
      <c r="I792" s="129" t="n"/>
      <c r="J792" s="138" t="str">
        <f>IF(C792&lt;&gt;"Despesa","",IFERROR(INDEX('Config'!$J$6:$J$40,MATCH(D792,'Config'!$I$6:$I$40,0)),"—"))</f>
        <v/>
      </c>
      <c r="K792" s="138" t="str">
        <f>IF(COUNTA(B792:F792)=0,"",IF(OR(B792="",C792="",D792="",F792=""),"▲ Completar","✔"))</f>
        <v/>
      </c>
    </row>
    <row r="793">
      <c r="B793" s="130" t="n"/>
      <c r="C793" s="129" t="n"/>
      <c r="D793" s="129" t="n"/>
      <c r="E793" s="129" t="n"/>
      <c r="F793" s="145" t="n"/>
      <c r="G793" s="129" t="n"/>
      <c r="H793" s="129" t="n"/>
      <c r="I793" s="129" t="n"/>
      <c r="J793" s="138" t="str">
        <f>IF(C793&lt;&gt;"Despesa","",IFERROR(INDEX('Config'!$J$6:$J$40,MATCH(D793,'Config'!$I$6:$I$40,0)),"—"))</f>
        <v/>
      </c>
      <c r="K793" s="138" t="str">
        <f>IF(COUNTA(B793:F793)=0,"",IF(OR(B793="",C793="",D793="",F793=""),"▲ Completar","✔"))</f>
        <v/>
      </c>
    </row>
    <row r="794">
      <c r="B794" s="130" t="n"/>
      <c r="C794" s="129" t="n"/>
      <c r="D794" s="129" t="n"/>
      <c r="E794" s="129" t="n"/>
      <c r="F794" s="145" t="n"/>
      <c r="G794" s="129" t="n"/>
      <c r="H794" s="129" t="n"/>
      <c r="I794" s="129" t="n"/>
      <c r="J794" s="138" t="str">
        <f>IF(C794&lt;&gt;"Despesa","",IFERROR(INDEX('Config'!$J$6:$J$40,MATCH(D794,'Config'!$I$6:$I$40,0)),"—"))</f>
        <v/>
      </c>
      <c r="K794" s="138" t="str">
        <f>IF(COUNTA(B794:F794)=0,"",IF(OR(B794="",C794="",D794="",F794=""),"▲ Completar","✔"))</f>
        <v/>
      </c>
    </row>
    <row r="795">
      <c r="B795" s="130" t="n"/>
      <c r="C795" s="129" t="n"/>
      <c r="D795" s="129" t="n"/>
      <c r="E795" s="129" t="n"/>
      <c r="F795" s="145" t="n"/>
      <c r="G795" s="129" t="n"/>
      <c r="H795" s="129" t="n"/>
      <c r="I795" s="129" t="n"/>
      <c r="J795" s="138" t="str">
        <f>IF(C795&lt;&gt;"Despesa","",IFERROR(INDEX('Config'!$J$6:$J$40,MATCH(D795,'Config'!$I$6:$I$40,0)),"—"))</f>
        <v/>
      </c>
      <c r="K795" s="138" t="str">
        <f>IF(COUNTA(B795:F795)=0,"",IF(OR(B795="",C795="",D795="",F795=""),"▲ Completar","✔"))</f>
        <v/>
      </c>
    </row>
    <row r="796">
      <c r="B796" s="130" t="n"/>
      <c r="C796" s="129" t="n"/>
      <c r="D796" s="129" t="n"/>
      <c r="E796" s="129" t="n"/>
      <c r="F796" s="145" t="n"/>
      <c r="G796" s="129" t="n"/>
      <c r="H796" s="129" t="n"/>
      <c r="I796" s="129" t="n"/>
      <c r="J796" s="138" t="str">
        <f>IF(C796&lt;&gt;"Despesa","",IFERROR(INDEX('Config'!$J$6:$J$40,MATCH(D796,'Config'!$I$6:$I$40,0)),"—"))</f>
        <v/>
      </c>
      <c r="K796" s="138" t="str">
        <f>IF(COUNTA(B796:F796)=0,"",IF(OR(B796="",C796="",D796="",F796=""),"▲ Completar","✔"))</f>
        <v/>
      </c>
    </row>
    <row r="797">
      <c r="B797" s="130" t="n"/>
      <c r="C797" s="129" t="n"/>
      <c r="D797" s="129" t="n"/>
      <c r="E797" s="129" t="n"/>
      <c r="F797" s="145" t="n"/>
      <c r="G797" s="129" t="n"/>
      <c r="H797" s="129" t="n"/>
      <c r="I797" s="129" t="n"/>
      <c r="J797" s="138" t="str">
        <f>IF(C797&lt;&gt;"Despesa","",IFERROR(INDEX('Config'!$J$6:$J$40,MATCH(D797,'Config'!$I$6:$I$40,0)),"—"))</f>
        <v/>
      </c>
      <c r="K797" s="138" t="str">
        <f>IF(COUNTA(B797:F797)=0,"",IF(OR(B797="",C797="",D797="",F797=""),"▲ Completar","✔"))</f>
        <v/>
      </c>
    </row>
    <row r="798">
      <c r="B798" s="130" t="n"/>
      <c r="C798" s="129" t="n"/>
      <c r="D798" s="129" t="n"/>
      <c r="E798" s="129" t="n"/>
      <c r="F798" s="145" t="n"/>
      <c r="G798" s="129" t="n"/>
      <c r="H798" s="129" t="n"/>
      <c r="I798" s="129" t="n"/>
      <c r="J798" s="138" t="str">
        <f>IF(C798&lt;&gt;"Despesa","",IFERROR(INDEX('Config'!$J$6:$J$40,MATCH(D798,'Config'!$I$6:$I$40,0)),"—"))</f>
        <v/>
      </c>
      <c r="K798" s="138" t="str">
        <f>IF(COUNTA(B798:F798)=0,"",IF(OR(B798="",C798="",D798="",F798=""),"▲ Completar","✔"))</f>
        <v/>
      </c>
    </row>
    <row r="799">
      <c r="B799" s="130" t="n"/>
      <c r="C799" s="129" t="n"/>
      <c r="D799" s="129" t="n"/>
      <c r="E799" s="129" t="n"/>
      <c r="F799" s="145" t="n"/>
      <c r="G799" s="129" t="n"/>
      <c r="H799" s="129" t="n"/>
      <c r="I799" s="129" t="n"/>
      <c r="J799" s="138" t="str">
        <f>IF(C799&lt;&gt;"Despesa","",IFERROR(INDEX('Config'!$J$6:$J$40,MATCH(D799,'Config'!$I$6:$I$40,0)),"—"))</f>
        <v/>
      </c>
      <c r="K799" s="138" t="str">
        <f>IF(COUNTA(B799:F799)=0,"",IF(OR(B799="",C799="",D799="",F799=""),"▲ Completar","✔"))</f>
        <v/>
      </c>
    </row>
    <row r="800">
      <c r="B800" s="130" t="n"/>
      <c r="C800" s="129" t="n"/>
      <c r="D800" s="129" t="n"/>
      <c r="E800" s="129" t="n"/>
      <c r="F800" s="145" t="n"/>
      <c r="G800" s="129" t="n"/>
      <c r="H800" s="129" t="n"/>
      <c r="I800" s="129" t="n"/>
      <c r="J800" s="138" t="str">
        <f>IF(C800&lt;&gt;"Despesa","",IFERROR(INDEX('Config'!$J$6:$J$40,MATCH(D800,'Config'!$I$6:$I$40,0)),"—"))</f>
        <v/>
      </c>
      <c r="K800" s="138" t="str">
        <f>IF(COUNTA(B800:F800)=0,"",IF(OR(B800="",C800="",D800="",F800=""),"▲ Completar","✔"))</f>
        <v/>
      </c>
    </row>
    <row r="801">
      <c r="B801" s="130" t="n"/>
      <c r="C801" s="129" t="n"/>
      <c r="D801" s="129" t="n"/>
      <c r="E801" s="129" t="n"/>
      <c r="F801" s="145" t="n"/>
      <c r="G801" s="129" t="n"/>
      <c r="H801" s="129" t="n"/>
      <c r="I801" s="129" t="n"/>
      <c r="J801" s="138" t="str">
        <f>IF(C801&lt;&gt;"Despesa","",IFERROR(INDEX('Config'!$J$6:$J$40,MATCH(D801,'Config'!$I$6:$I$40,0)),"—"))</f>
        <v/>
      </c>
      <c r="K801" s="138" t="str">
        <f>IF(COUNTA(B801:F801)=0,"",IF(OR(B801="",C801="",D801="",F801=""),"▲ Completar","✔"))</f>
        <v/>
      </c>
    </row>
    <row r="802">
      <c r="B802" s="130" t="n"/>
      <c r="C802" s="129" t="n"/>
      <c r="D802" s="129" t="n"/>
      <c r="E802" s="129" t="n"/>
      <c r="F802" s="145" t="n"/>
      <c r="G802" s="129" t="n"/>
      <c r="H802" s="129" t="n"/>
      <c r="I802" s="129" t="n"/>
      <c r="J802" s="138" t="str">
        <f>IF(C802&lt;&gt;"Despesa","",IFERROR(INDEX('Config'!$J$6:$J$40,MATCH(D802,'Config'!$I$6:$I$40,0)),"—"))</f>
        <v/>
      </c>
      <c r="K802" s="138" t="str">
        <f>IF(COUNTA(B802:F802)=0,"",IF(OR(B802="",C802="",D802="",F802=""),"▲ Completar","✔"))</f>
        <v/>
      </c>
    </row>
    <row r="803">
      <c r="B803" s="130" t="n"/>
      <c r="C803" s="129" t="n"/>
      <c r="D803" s="129" t="n"/>
      <c r="E803" s="129" t="n"/>
      <c r="F803" s="145" t="n"/>
      <c r="G803" s="129" t="n"/>
      <c r="H803" s="129" t="n"/>
      <c r="I803" s="129" t="n"/>
      <c r="J803" s="138" t="str">
        <f>IF(C803&lt;&gt;"Despesa","",IFERROR(INDEX('Config'!$J$6:$J$40,MATCH(D803,'Config'!$I$6:$I$40,0)),"—"))</f>
        <v/>
      </c>
      <c r="K803" s="138" t="str">
        <f>IF(COUNTA(B803:F803)=0,"",IF(OR(B803="",C803="",D803="",F803=""),"▲ Completar","✔"))</f>
        <v/>
      </c>
    </row>
    <row r="804">
      <c r="B804" s="130" t="n"/>
      <c r="C804" s="129" t="n"/>
      <c r="D804" s="129" t="n"/>
      <c r="E804" s="129" t="n"/>
      <c r="F804" s="145" t="n"/>
      <c r="G804" s="129" t="n"/>
      <c r="H804" s="129" t="n"/>
      <c r="I804" s="129" t="n"/>
      <c r="J804" s="138" t="str">
        <f>IF(C804&lt;&gt;"Despesa","",IFERROR(INDEX('Config'!$J$6:$J$40,MATCH(D804,'Config'!$I$6:$I$40,0)),"—"))</f>
        <v/>
      </c>
      <c r="K804" s="138" t="str">
        <f>IF(COUNTA(B804:F804)=0,"",IF(OR(B804="",C804="",D804="",F804=""),"▲ Completar","✔"))</f>
        <v/>
      </c>
    </row>
    <row r="805">
      <c r="B805" s="130" t="n"/>
      <c r="C805" s="129" t="n"/>
      <c r="D805" s="129" t="n"/>
      <c r="E805" s="129" t="n"/>
      <c r="F805" s="145" t="n"/>
      <c r="G805" s="129" t="n"/>
      <c r="H805" s="129" t="n"/>
      <c r="I805" s="129" t="n"/>
      <c r="J805" s="138" t="str">
        <f>IF(C805&lt;&gt;"Despesa","",IFERROR(INDEX('Config'!$J$6:$J$40,MATCH(D805,'Config'!$I$6:$I$40,0)),"—"))</f>
        <v/>
      </c>
      <c r="K805" s="138" t="str">
        <f>IF(COUNTA(B805:F805)=0,"",IF(OR(B805="",C805="",D805="",F805=""),"▲ Completar","✔"))</f>
        <v/>
      </c>
    </row>
    <row r="806">
      <c r="B806" s="130" t="n"/>
      <c r="C806" s="129" t="n"/>
      <c r="D806" s="129" t="n"/>
      <c r="E806" s="129" t="n"/>
      <c r="F806" s="145" t="n"/>
      <c r="G806" s="129" t="n"/>
      <c r="H806" s="129" t="n"/>
      <c r="I806" s="129" t="n"/>
      <c r="J806" s="138" t="str">
        <f>IF(C806&lt;&gt;"Despesa","",IFERROR(INDEX('Config'!$J$6:$J$40,MATCH(D806,'Config'!$I$6:$I$40,0)),"—"))</f>
        <v/>
      </c>
      <c r="K806" s="138" t="str">
        <f>IF(COUNTA(B806:F806)=0,"",IF(OR(B806="",C806="",D806="",F806=""),"▲ Completar","✔"))</f>
        <v/>
      </c>
    </row>
    <row r="807">
      <c r="B807" s="130" t="n"/>
      <c r="C807" s="129" t="n"/>
      <c r="D807" s="129" t="n"/>
      <c r="E807" s="129" t="n"/>
      <c r="F807" s="145" t="n"/>
      <c r="G807" s="129" t="n"/>
      <c r="H807" s="129" t="n"/>
      <c r="I807" s="129" t="n"/>
      <c r="J807" s="138" t="str">
        <f>IF(C807&lt;&gt;"Despesa","",IFERROR(INDEX('Config'!$J$6:$J$40,MATCH(D807,'Config'!$I$6:$I$40,0)),"—"))</f>
        <v/>
      </c>
      <c r="K807" s="138" t="str">
        <f>IF(COUNTA(B807:F807)=0,"",IF(OR(B807="",C807="",D807="",F807=""),"▲ Completar","✔"))</f>
        <v/>
      </c>
    </row>
    <row r="808">
      <c r="B808" s="130" t="n"/>
      <c r="C808" s="129" t="n"/>
      <c r="D808" s="129" t="n"/>
      <c r="E808" s="129" t="n"/>
      <c r="F808" s="145" t="n"/>
      <c r="G808" s="129" t="n"/>
      <c r="H808" s="129" t="n"/>
      <c r="I808" s="129" t="n"/>
      <c r="J808" s="138" t="str">
        <f>IF(C808&lt;&gt;"Despesa","",IFERROR(INDEX('Config'!$J$6:$J$40,MATCH(D808,'Config'!$I$6:$I$40,0)),"—"))</f>
        <v/>
      </c>
      <c r="K808" s="138" t="str">
        <f>IF(COUNTA(B808:F808)=0,"",IF(OR(B808="",C808="",D808="",F808=""),"▲ Completar","✔"))</f>
        <v/>
      </c>
    </row>
    <row r="809">
      <c r="B809" s="130" t="n"/>
      <c r="C809" s="129" t="n"/>
      <c r="D809" s="129" t="n"/>
      <c r="E809" s="129" t="n"/>
      <c r="F809" s="145" t="n"/>
      <c r="G809" s="129" t="n"/>
      <c r="H809" s="129" t="n"/>
      <c r="I809" s="129" t="n"/>
      <c r="J809" s="138" t="str">
        <f>IF(C809&lt;&gt;"Despesa","",IFERROR(INDEX('Config'!$J$6:$J$40,MATCH(D809,'Config'!$I$6:$I$40,0)),"—"))</f>
        <v/>
      </c>
      <c r="K809" s="138" t="str">
        <f>IF(COUNTA(B809:F809)=0,"",IF(OR(B809="",C809="",D809="",F809=""),"▲ Completar","✔"))</f>
        <v/>
      </c>
    </row>
    <row r="810">
      <c r="B810" s="130" t="n"/>
      <c r="C810" s="129" t="n"/>
      <c r="D810" s="129" t="n"/>
      <c r="E810" s="129" t="n"/>
      <c r="F810" s="145" t="n"/>
      <c r="G810" s="129" t="n"/>
      <c r="H810" s="129" t="n"/>
      <c r="I810" s="129" t="n"/>
      <c r="J810" s="138" t="str">
        <f>IF(C810&lt;&gt;"Despesa","",IFERROR(INDEX('Config'!$J$6:$J$40,MATCH(D810,'Config'!$I$6:$I$40,0)),"—"))</f>
        <v/>
      </c>
      <c r="K810" s="138" t="str">
        <f>IF(COUNTA(B810:F810)=0,"",IF(OR(B810="",C810="",D810="",F810=""),"▲ Completar","✔"))</f>
        <v/>
      </c>
    </row>
    <row r="811">
      <c r="B811" s="130" t="n"/>
      <c r="C811" s="129" t="n"/>
      <c r="D811" s="129" t="n"/>
      <c r="E811" s="129" t="n"/>
      <c r="F811" s="145" t="n"/>
      <c r="G811" s="129" t="n"/>
      <c r="H811" s="129" t="n"/>
      <c r="I811" s="129" t="n"/>
      <c r="J811" s="138" t="str">
        <f>IF(C811&lt;&gt;"Despesa","",IFERROR(INDEX('Config'!$J$6:$J$40,MATCH(D811,'Config'!$I$6:$I$40,0)),"—"))</f>
        <v/>
      </c>
      <c r="K811" s="138" t="str">
        <f>IF(COUNTA(B811:F811)=0,"",IF(OR(B811="",C811="",D811="",F811=""),"▲ Completar","✔"))</f>
        <v/>
      </c>
    </row>
    <row r="812">
      <c r="B812" s="130" t="n"/>
      <c r="C812" s="129" t="n"/>
      <c r="D812" s="129" t="n"/>
      <c r="E812" s="129" t="n"/>
      <c r="F812" s="145" t="n"/>
      <c r="G812" s="129" t="n"/>
      <c r="H812" s="129" t="n"/>
      <c r="I812" s="129" t="n"/>
      <c r="J812" s="138" t="str">
        <f>IF(C812&lt;&gt;"Despesa","",IFERROR(INDEX('Config'!$J$6:$J$40,MATCH(D812,'Config'!$I$6:$I$40,0)),"—"))</f>
        <v/>
      </c>
      <c r="K812" s="138" t="str">
        <f>IF(COUNTA(B812:F812)=0,"",IF(OR(B812="",C812="",D812="",F812=""),"▲ Completar","✔"))</f>
        <v/>
      </c>
    </row>
    <row r="813">
      <c r="B813" s="130" t="n"/>
      <c r="C813" s="129" t="n"/>
      <c r="D813" s="129" t="n"/>
      <c r="E813" s="129" t="n"/>
      <c r="F813" s="145" t="n"/>
      <c r="G813" s="129" t="n"/>
      <c r="H813" s="129" t="n"/>
      <c r="I813" s="129" t="n"/>
      <c r="J813" s="138" t="str">
        <f>IF(C813&lt;&gt;"Despesa","",IFERROR(INDEX('Config'!$J$6:$J$40,MATCH(D813,'Config'!$I$6:$I$40,0)),"—"))</f>
        <v/>
      </c>
      <c r="K813" s="138" t="str">
        <f>IF(COUNTA(B813:F813)=0,"",IF(OR(B813="",C813="",D813="",F813=""),"▲ Completar","✔"))</f>
        <v/>
      </c>
    </row>
    <row r="814">
      <c r="B814" s="130" t="n"/>
      <c r="C814" s="129" t="n"/>
      <c r="D814" s="129" t="n"/>
      <c r="E814" s="129" t="n"/>
      <c r="F814" s="145" t="n"/>
      <c r="G814" s="129" t="n"/>
      <c r="H814" s="129" t="n"/>
      <c r="I814" s="129" t="n"/>
      <c r="J814" s="138" t="str">
        <f>IF(C814&lt;&gt;"Despesa","",IFERROR(INDEX('Config'!$J$6:$J$40,MATCH(D814,'Config'!$I$6:$I$40,0)),"—"))</f>
        <v/>
      </c>
      <c r="K814" s="138" t="str">
        <f>IF(COUNTA(B814:F814)=0,"",IF(OR(B814="",C814="",D814="",F814=""),"▲ Completar","✔"))</f>
        <v/>
      </c>
    </row>
    <row r="815">
      <c r="B815" s="130" t="n"/>
      <c r="C815" s="129" t="n"/>
      <c r="D815" s="129" t="n"/>
      <c r="E815" s="129" t="n"/>
      <c r="F815" s="145" t="n"/>
      <c r="G815" s="129" t="n"/>
      <c r="H815" s="129" t="n"/>
      <c r="I815" s="129" t="n"/>
      <c r="J815" s="138" t="str">
        <f>IF(C815&lt;&gt;"Despesa","",IFERROR(INDEX('Config'!$J$6:$J$40,MATCH(D815,'Config'!$I$6:$I$40,0)),"—"))</f>
        <v/>
      </c>
      <c r="K815" s="138" t="str">
        <f>IF(COUNTA(B815:F815)=0,"",IF(OR(B815="",C815="",D815="",F815=""),"▲ Completar","✔"))</f>
        <v/>
      </c>
    </row>
    <row r="816">
      <c r="B816" s="130" t="n"/>
      <c r="C816" s="129" t="n"/>
      <c r="D816" s="129" t="n"/>
      <c r="E816" s="129" t="n"/>
      <c r="F816" s="145" t="n"/>
      <c r="G816" s="129" t="n"/>
      <c r="H816" s="129" t="n"/>
      <c r="I816" s="129" t="n"/>
      <c r="J816" s="138" t="str">
        <f>IF(C816&lt;&gt;"Despesa","",IFERROR(INDEX('Config'!$J$6:$J$40,MATCH(D816,'Config'!$I$6:$I$40,0)),"—"))</f>
        <v/>
      </c>
      <c r="K816" s="138" t="str">
        <f>IF(COUNTA(B816:F816)=0,"",IF(OR(B816="",C816="",D816="",F816=""),"▲ Completar","✔"))</f>
        <v/>
      </c>
    </row>
    <row r="817">
      <c r="B817" s="130" t="n"/>
      <c r="C817" s="129" t="n"/>
      <c r="D817" s="129" t="n"/>
      <c r="E817" s="129" t="n"/>
      <c r="F817" s="145" t="n"/>
      <c r="G817" s="129" t="n"/>
      <c r="H817" s="129" t="n"/>
      <c r="I817" s="129" t="n"/>
      <c r="J817" s="138" t="str">
        <f>IF(C817&lt;&gt;"Despesa","",IFERROR(INDEX('Config'!$J$6:$J$40,MATCH(D817,'Config'!$I$6:$I$40,0)),"—"))</f>
        <v/>
      </c>
      <c r="K817" s="138" t="str">
        <f>IF(COUNTA(B817:F817)=0,"",IF(OR(B817="",C817="",D817="",F817=""),"▲ Completar","✔"))</f>
        <v/>
      </c>
    </row>
    <row r="818">
      <c r="B818" s="130" t="n"/>
      <c r="C818" s="129" t="n"/>
      <c r="D818" s="129" t="n"/>
      <c r="E818" s="129" t="n"/>
      <c r="F818" s="145" t="n"/>
      <c r="G818" s="129" t="n"/>
      <c r="H818" s="129" t="n"/>
      <c r="I818" s="129" t="n"/>
      <c r="J818" s="138" t="str">
        <f>IF(C818&lt;&gt;"Despesa","",IFERROR(INDEX('Config'!$J$6:$J$40,MATCH(D818,'Config'!$I$6:$I$40,0)),"—"))</f>
        <v/>
      </c>
      <c r="K818" s="138" t="str">
        <f>IF(COUNTA(B818:F818)=0,"",IF(OR(B818="",C818="",D818="",F818=""),"▲ Completar","✔"))</f>
        <v/>
      </c>
    </row>
    <row r="819">
      <c r="B819" s="130" t="n"/>
      <c r="C819" s="129" t="n"/>
      <c r="D819" s="129" t="n"/>
      <c r="E819" s="129" t="n"/>
      <c r="F819" s="145" t="n"/>
      <c r="G819" s="129" t="n"/>
      <c r="H819" s="129" t="n"/>
      <c r="I819" s="129" t="n"/>
      <c r="J819" s="138" t="str">
        <f>IF(C819&lt;&gt;"Despesa","",IFERROR(INDEX('Config'!$J$6:$J$40,MATCH(D819,'Config'!$I$6:$I$40,0)),"—"))</f>
        <v/>
      </c>
      <c r="K819" s="138" t="str">
        <f>IF(COUNTA(B819:F819)=0,"",IF(OR(B819="",C819="",D819="",F819=""),"▲ Completar","✔"))</f>
        <v/>
      </c>
    </row>
    <row r="820">
      <c r="B820" s="130" t="n"/>
      <c r="C820" s="129" t="n"/>
      <c r="D820" s="129" t="n"/>
      <c r="E820" s="129" t="n"/>
      <c r="F820" s="145" t="n"/>
      <c r="G820" s="129" t="n"/>
      <c r="H820" s="129" t="n"/>
      <c r="I820" s="129" t="n"/>
      <c r="J820" s="138" t="str">
        <f>IF(C820&lt;&gt;"Despesa","",IFERROR(INDEX('Config'!$J$6:$J$40,MATCH(D820,'Config'!$I$6:$I$40,0)),"—"))</f>
        <v/>
      </c>
      <c r="K820" s="138" t="str">
        <f>IF(COUNTA(B820:F820)=0,"",IF(OR(B820="",C820="",D820="",F820=""),"▲ Completar","✔"))</f>
        <v/>
      </c>
    </row>
    <row r="821">
      <c r="B821" s="130" t="n"/>
      <c r="C821" s="129" t="n"/>
      <c r="D821" s="129" t="n"/>
      <c r="E821" s="129" t="n"/>
      <c r="F821" s="145" t="n"/>
      <c r="G821" s="129" t="n"/>
      <c r="H821" s="129" t="n"/>
      <c r="I821" s="129" t="n"/>
      <c r="J821" s="138" t="str">
        <f>IF(C821&lt;&gt;"Despesa","",IFERROR(INDEX('Config'!$J$6:$J$40,MATCH(D821,'Config'!$I$6:$I$40,0)),"—"))</f>
        <v/>
      </c>
      <c r="K821" s="138" t="str">
        <f>IF(COUNTA(B821:F821)=0,"",IF(OR(B821="",C821="",D821="",F821=""),"▲ Completar","✔"))</f>
        <v/>
      </c>
    </row>
    <row r="822">
      <c r="B822" s="130" t="n"/>
      <c r="C822" s="129" t="n"/>
      <c r="D822" s="129" t="n"/>
      <c r="E822" s="129" t="n"/>
      <c r="F822" s="145" t="n"/>
      <c r="G822" s="129" t="n"/>
      <c r="H822" s="129" t="n"/>
      <c r="I822" s="129" t="n"/>
      <c r="J822" s="138" t="str">
        <f>IF(C822&lt;&gt;"Despesa","",IFERROR(INDEX('Config'!$J$6:$J$40,MATCH(D822,'Config'!$I$6:$I$40,0)),"—"))</f>
        <v/>
      </c>
      <c r="K822" s="138" t="str">
        <f>IF(COUNTA(B822:F822)=0,"",IF(OR(B822="",C822="",D822="",F822=""),"▲ Completar","✔"))</f>
        <v/>
      </c>
    </row>
    <row r="823">
      <c r="B823" s="130" t="n"/>
      <c r="C823" s="129" t="n"/>
      <c r="D823" s="129" t="n"/>
      <c r="E823" s="129" t="n"/>
      <c r="F823" s="145" t="n"/>
      <c r="G823" s="129" t="n"/>
      <c r="H823" s="129" t="n"/>
      <c r="I823" s="129" t="n"/>
      <c r="J823" s="138" t="str">
        <f>IF(C823&lt;&gt;"Despesa","",IFERROR(INDEX('Config'!$J$6:$J$40,MATCH(D823,'Config'!$I$6:$I$40,0)),"—"))</f>
        <v/>
      </c>
      <c r="K823" s="138" t="str">
        <f>IF(COUNTA(B823:F823)=0,"",IF(OR(B823="",C823="",D823="",F823=""),"▲ Completar","✔"))</f>
        <v/>
      </c>
    </row>
    <row r="824">
      <c r="B824" s="130" t="n"/>
      <c r="C824" s="129" t="n"/>
      <c r="D824" s="129" t="n"/>
      <c r="E824" s="129" t="n"/>
      <c r="F824" s="145" t="n"/>
      <c r="G824" s="129" t="n"/>
      <c r="H824" s="129" t="n"/>
      <c r="I824" s="129" t="n"/>
      <c r="J824" s="138" t="str">
        <f>IF(C824&lt;&gt;"Despesa","",IFERROR(INDEX('Config'!$J$6:$J$40,MATCH(D824,'Config'!$I$6:$I$40,0)),"—"))</f>
        <v/>
      </c>
      <c r="K824" s="138" t="str">
        <f>IF(COUNTA(B824:F824)=0,"",IF(OR(B824="",C824="",D824="",F824=""),"▲ Completar","✔"))</f>
        <v/>
      </c>
    </row>
    <row r="825">
      <c r="B825" s="130" t="n"/>
      <c r="C825" s="129" t="n"/>
      <c r="D825" s="129" t="n"/>
      <c r="E825" s="129" t="n"/>
      <c r="F825" s="145" t="n"/>
      <c r="G825" s="129" t="n"/>
      <c r="H825" s="129" t="n"/>
      <c r="I825" s="129" t="n"/>
      <c r="J825" s="138" t="str">
        <f>IF(C825&lt;&gt;"Despesa","",IFERROR(INDEX('Config'!$J$6:$J$40,MATCH(D825,'Config'!$I$6:$I$40,0)),"—"))</f>
        <v/>
      </c>
      <c r="K825" s="138" t="str">
        <f>IF(COUNTA(B825:F825)=0,"",IF(OR(B825="",C825="",D825="",F825=""),"▲ Completar","✔"))</f>
        <v/>
      </c>
    </row>
    <row r="826">
      <c r="B826" s="130" t="n"/>
      <c r="C826" s="129" t="n"/>
      <c r="D826" s="129" t="n"/>
      <c r="E826" s="129" t="n"/>
      <c r="F826" s="145" t="n"/>
      <c r="G826" s="129" t="n"/>
      <c r="H826" s="129" t="n"/>
      <c r="I826" s="129" t="n"/>
      <c r="J826" s="138" t="str">
        <f>IF(C826&lt;&gt;"Despesa","",IFERROR(INDEX('Config'!$J$6:$J$40,MATCH(D826,'Config'!$I$6:$I$40,0)),"—"))</f>
        <v/>
      </c>
      <c r="K826" s="138" t="str">
        <f>IF(COUNTA(B826:F826)=0,"",IF(OR(B826="",C826="",D826="",F826=""),"▲ Completar","✔"))</f>
        <v/>
      </c>
    </row>
    <row r="827">
      <c r="B827" s="130" t="n"/>
      <c r="C827" s="129" t="n"/>
      <c r="D827" s="129" t="n"/>
      <c r="E827" s="129" t="n"/>
      <c r="F827" s="145" t="n"/>
      <c r="G827" s="129" t="n"/>
      <c r="H827" s="129" t="n"/>
      <c r="I827" s="129" t="n"/>
      <c r="J827" s="138" t="str">
        <f>IF(C827&lt;&gt;"Despesa","",IFERROR(INDEX('Config'!$J$6:$J$40,MATCH(D827,'Config'!$I$6:$I$40,0)),"—"))</f>
        <v/>
      </c>
      <c r="K827" s="138" t="str">
        <f>IF(COUNTA(B827:F827)=0,"",IF(OR(B827="",C827="",D827="",F827=""),"▲ Completar","✔"))</f>
        <v/>
      </c>
    </row>
    <row r="828">
      <c r="B828" s="130" t="n"/>
      <c r="C828" s="129" t="n"/>
      <c r="D828" s="129" t="n"/>
      <c r="E828" s="129" t="n"/>
      <c r="F828" s="145" t="n"/>
      <c r="G828" s="129" t="n"/>
      <c r="H828" s="129" t="n"/>
      <c r="I828" s="129" t="n"/>
      <c r="J828" s="138" t="str">
        <f>IF(C828&lt;&gt;"Despesa","",IFERROR(INDEX('Config'!$J$6:$J$40,MATCH(D828,'Config'!$I$6:$I$40,0)),"—"))</f>
        <v/>
      </c>
      <c r="K828" s="138" t="str">
        <f>IF(COUNTA(B828:F828)=0,"",IF(OR(B828="",C828="",D828="",F828=""),"▲ Completar","✔"))</f>
        <v/>
      </c>
    </row>
    <row r="829">
      <c r="B829" s="130" t="n"/>
      <c r="C829" s="129" t="n"/>
      <c r="D829" s="129" t="n"/>
      <c r="E829" s="129" t="n"/>
      <c r="F829" s="145" t="n"/>
      <c r="G829" s="129" t="n"/>
      <c r="H829" s="129" t="n"/>
      <c r="I829" s="129" t="n"/>
      <c r="J829" s="138" t="str">
        <f>IF(C829&lt;&gt;"Despesa","",IFERROR(INDEX('Config'!$J$6:$J$40,MATCH(D829,'Config'!$I$6:$I$40,0)),"—"))</f>
        <v/>
      </c>
      <c r="K829" s="138" t="str">
        <f>IF(COUNTA(B829:F829)=0,"",IF(OR(B829="",C829="",D829="",F829=""),"▲ Completar","✔"))</f>
        <v/>
      </c>
    </row>
    <row r="830">
      <c r="B830" s="130" t="n"/>
      <c r="C830" s="129" t="n"/>
      <c r="D830" s="129" t="n"/>
      <c r="E830" s="129" t="n"/>
      <c r="F830" s="145" t="n"/>
      <c r="G830" s="129" t="n"/>
      <c r="H830" s="129" t="n"/>
      <c r="I830" s="129" t="n"/>
      <c r="J830" s="138" t="str">
        <f>IF(C830&lt;&gt;"Despesa","",IFERROR(INDEX('Config'!$J$6:$J$40,MATCH(D830,'Config'!$I$6:$I$40,0)),"—"))</f>
        <v/>
      </c>
      <c r="K830" s="138" t="str">
        <f>IF(COUNTA(B830:F830)=0,"",IF(OR(B830="",C830="",D830="",F830=""),"▲ Completar","✔"))</f>
        <v/>
      </c>
    </row>
    <row r="831">
      <c r="B831" s="130" t="n"/>
      <c r="C831" s="129" t="n"/>
      <c r="D831" s="129" t="n"/>
      <c r="E831" s="129" t="n"/>
      <c r="F831" s="145" t="n"/>
      <c r="G831" s="129" t="n"/>
      <c r="H831" s="129" t="n"/>
      <c r="I831" s="129" t="n"/>
      <c r="J831" s="138" t="str">
        <f>IF(C831&lt;&gt;"Despesa","",IFERROR(INDEX('Config'!$J$6:$J$40,MATCH(D831,'Config'!$I$6:$I$40,0)),"—"))</f>
        <v/>
      </c>
      <c r="K831" s="138" t="str">
        <f>IF(COUNTA(B831:F831)=0,"",IF(OR(B831="",C831="",D831="",F831=""),"▲ Completar","✔"))</f>
        <v/>
      </c>
    </row>
    <row r="832">
      <c r="B832" s="130" t="n"/>
      <c r="C832" s="129" t="n"/>
      <c r="D832" s="129" t="n"/>
      <c r="E832" s="129" t="n"/>
      <c r="F832" s="145" t="n"/>
      <c r="G832" s="129" t="n"/>
      <c r="H832" s="129" t="n"/>
      <c r="I832" s="129" t="n"/>
      <c r="J832" s="138" t="str">
        <f>IF(C832&lt;&gt;"Despesa","",IFERROR(INDEX('Config'!$J$6:$J$40,MATCH(D832,'Config'!$I$6:$I$40,0)),"—"))</f>
        <v/>
      </c>
      <c r="K832" s="138" t="str">
        <f>IF(COUNTA(B832:F832)=0,"",IF(OR(B832="",C832="",D832="",F832=""),"▲ Completar","✔"))</f>
        <v/>
      </c>
    </row>
    <row r="833">
      <c r="B833" s="130" t="n"/>
      <c r="C833" s="129" t="n"/>
      <c r="D833" s="129" t="n"/>
      <c r="E833" s="129" t="n"/>
      <c r="F833" s="145" t="n"/>
      <c r="G833" s="129" t="n"/>
      <c r="H833" s="129" t="n"/>
      <c r="I833" s="129" t="n"/>
      <c r="J833" s="138" t="str">
        <f>IF(C833&lt;&gt;"Despesa","",IFERROR(INDEX('Config'!$J$6:$J$40,MATCH(D833,'Config'!$I$6:$I$40,0)),"—"))</f>
        <v/>
      </c>
      <c r="K833" s="138" t="str">
        <f>IF(COUNTA(B833:F833)=0,"",IF(OR(B833="",C833="",D833="",F833=""),"▲ Completar","✔"))</f>
        <v/>
      </c>
    </row>
    <row r="834">
      <c r="B834" s="130" t="n"/>
      <c r="C834" s="129" t="n"/>
      <c r="D834" s="129" t="n"/>
      <c r="E834" s="129" t="n"/>
      <c r="F834" s="145" t="n"/>
      <c r="G834" s="129" t="n"/>
      <c r="H834" s="129" t="n"/>
      <c r="I834" s="129" t="n"/>
      <c r="J834" s="138" t="str">
        <f>IF(C834&lt;&gt;"Despesa","",IFERROR(INDEX('Config'!$J$6:$J$40,MATCH(D834,'Config'!$I$6:$I$40,0)),"—"))</f>
        <v/>
      </c>
      <c r="K834" s="138" t="str">
        <f>IF(COUNTA(B834:F834)=0,"",IF(OR(B834="",C834="",D834="",F834=""),"▲ Completar","✔"))</f>
        <v/>
      </c>
    </row>
    <row r="835">
      <c r="B835" s="130" t="n"/>
      <c r="C835" s="129" t="n"/>
      <c r="D835" s="129" t="n"/>
      <c r="E835" s="129" t="n"/>
      <c r="F835" s="145" t="n"/>
      <c r="G835" s="129" t="n"/>
      <c r="H835" s="129" t="n"/>
      <c r="I835" s="129" t="n"/>
      <c r="J835" s="138" t="str">
        <f>IF(C835&lt;&gt;"Despesa","",IFERROR(INDEX('Config'!$J$6:$J$40,MATCH(D835,'Config'!$I$6:$I$40,0)),"—"))</f>
        <v/>
      </c>
      <c r="K835" s="138" t="str">
        <f>IF(COUNTA(B835:F835)=0,"",IF(OR(B835="",C835="",D835="",F835=""),"▲ Completar","✔"))</f>
        <v/>
      </c>
    </row>
    <row r="836">
      <c r="B836" s="130" t="n"/>
      <c r="C836" s="129" t="n"/>
      <c r="D836" s="129" t="n"/>
      <c r="E836" s="129" t="n"/>
      <c r="F836" s="145" t="n"/>
      <c r="G836" s="129" t="n"/>
      <c r="H836" s="129" t="n"/>
      <c r="I836" s="129" t="n"/>
      <c r="J836" s="138" t="str">
        <f>IF(C836&lt;&gt;"Despesa","",IFERROR(INDEX('Config'!$J$6:$J$40,MATCH(D836,'Config'!$I$6:$I$40,0)),"—"))</f>
        <v/>
      </c>
      <c r="K836" s="138" t="str">
        <f>IF(COUNTA(B836:F836)=0,"",IF(OR(B836="",C836="",D836="",F836=""),"▲ Completar","✔"))</f>
        <v/>
      </c>
    </row>
    <row r="837">
      <c r="B837" s="130" t="n"/>
      <c r="C837" s="129" t="n"/>
      <c r="D837" s="129" t="n"/>
      <c r="E837" s="129" t="n"/>
      <c r="F837" s="145" t="n"/>
      <c r="G837" s="129" t="n"/>
      <c r="H837" s="129" t="n"/>
      <c r="I837" s="129" t="n"/>
      <c r="J837" s="138" t="str">
        <f>IF(C837&lt;&gt;"Despesa","",IFERROR(INDEX('Config'!$J$6:$J$40,MATCH(D837,'Config'!$I$6:$I$40,0)),"—"))</f>
        <v/>
      </c>
      <c r="K837" s="138" t="str">
        <f>IF(COUNTA(B837:F837)=0,"",IF(OR(B837="",C837="",D837="",F837=""),"▲ Completar","✔"))</f>
        <v/>
      </c>
    </row>
    <row r="838">
      <c r="B838" s="130" t="n"/>
      <c r="C838" s="129" t="n"/>
      <c r="D838" s="129" t="n"/>
      <c r="E838" s="129" t="n"/>
      <c r="F838" s="145" t="n"/>
      <c r="G838" s="129" t="n"/>
      <c r="H838" s="129" t="n"/>
      <c r="I838" s="129" t="n"/>
      <c r="J838" s="138" t="str">
        <f>IF(C838&lt;&gt;"Despesa","",IFERROR(INDEX('Config'!$J$6:$J$40,MATCH(D838,'Config'!$I$6:$I$40,0)),"—"))</f>
        <v/>
      </c>
      <c r="K838" s="138" t="str">
        <f>IF(COUNTA(B838:F838)=0,"",IF(OR(B838="",C838="",D838="",F838=""),"▲ Completar","✔"))</f>
        <v/>
      </c>
    </row>
    <row r="839">
      <c r="B839" s="130" t="n"/>
      <c r="C839" s="129" t="n"/>
      <c r="D839" s="129" t="n"/>
      <c r="E839" s="129" t="n"/>
      <c r="F839" s="145" t="n"/>
      <c r="G839" s="129" t="n"/>
      <c r="H839" s="129" t="n"/>
      <c r="I839" s="129" t="n"/>
      <c r="J839" s="138" t="str">
        <f>IF(C839&lt;&gt;"Despesa","",IFERROR(INDEX('Config'!$J$6:$J$40,MATCH(D839,'Config'!$I$6:$I$40,0)),"—"))</f>
        <v/>
      </c>
      <c r="K839" s="138" t="str">
        <f>IF(COUNTA(B839:F839)=0,"",IF(OR(B839="",C839="",D839="",F839=""),"▲ Completar","✔"))</f>
        <v/>
      </c>
    </row>
    <row r="840">
      <c r="B840" s="130" t="n"/>
      <c r="C840" s="129" t="n"/>
      <c r="D840" s="129" t="n"/>
      <c r="E840" s="129" t="n"/>
      <c r="F840" s="145" t="n"/>
      <c r="G840" s="129" t="n"/>
      <c r="H840" s="129" t="n"/>
      <c r="I840" s="129" t="n"/>
      <c r="J840" s="138" t="str">
        <f>IF(C840&lt;&gt;"Despesa","",IFERROR(INDEX('Config'!$J$6:$J$40,MATCH(D840,'Config'!$I$6:$I$40,0)),"—"))</f>
        <v/>
      </c>
      <c r="K840" s="138" t="str">
        <f>IF(COUNTA(B840:F840)=0,"",IF(OR(B840="",C840="",D840="",F840=""),"▲ Completar","✔"))</f>
        <v/>
      </c>
    </row>
    <row r="841">
      <c r="B841" s="130" t="n"/>
      <c r="C841" s="129" t="n"/>
      <c r="D841" s="129" t="n"/>
      <c r="E841" s="129" t="n"/>
      <c r="F841" s="145" t="n"/>
      <c r="G841" s="129" t="n"/>
      <c r="H841" s="129" t="n"/>
      <c r="I841" s="129" t="n"/>
      <c r="J841" s="138" t="str">
        <f>IF(C841&lt;&gt;"Despesa","",IFERROR(INDEX('Config'!$J$6:$J$40,MATCH(D841,'Config'!$I$6:$I$40,0)),"—"))</f>
        <v/>
      </c>
      <c r="K841" s="138" t="str">
        <f>IF(COUNTA(B841:F841)=0,"",IF(OR(B841="",C841="",D841="",F841=""),"▲ Completar","✔"))</f>
        <v/>
      </c>
    </row>
    <row r="842">
      <c r="B842" s="130" t="n"/>
      <c r="C842" s="129" t="n"/>
      <c r="D842" s="129" t="n"/>
      <c r="E842" s="129" t="n"/>
      <c r="F842" s="145" t="n"/>
      <c r="G842" s="129" t="n"/>
      <c r="H842" s="129" t="n"/>
      <c r="I842" s="129" t="n"/>
      <c r="J842" s="138" t="str">
        <f>IF(C842&lt;&gt;"Despesa","",IFERROR(INDEX('Config'!$J$6:$J$40,MATCH(D842,'Config'!$I$6:$I$40,0)),"—"))</f>
        <v/>
      </c>
      <c r="K842" s="138" t="str">
        <f>IF(COUNTA(B842:F842)=0,"",IF(OR(B842="",C842="",D842="",F842=""),"▲ Completar","✔"))</f>
        <v/>
      </c>
    </row>
    <row r="843">
      <c r="B843" s="130" t="n"/>
      <c r="C843" s="129" t="n"/>
      <c r="D843" s="129" t="n"/>
      <c r="E843" s="129" t="n"/>
      <c r="F843" s="145" t="n"/>
      <c r="G843" s="129" t="n"/>
      <c r="H843" s="129" t="n"/>
      <c r="I843" s="129" t="n"/>
      <c r="J843" s="138" t="str">
        <f>IF(C843&lt;&gt;"Despesa","",IFERROR(INDEX('Config'!$J$6:$J$40,MATCH(D843,'Config'!$I$6:$I$40,0)),"—"))</f>
        <v/>
      </c>
      <c r="K843" s="138" t="str">
        <f>IF(COUNTA(B843:F843)=0,"",IF(OR(B843="",C843="",D843="",F843=""),"▲ Completar","✔"))</f>
        <v/>
      </c>
    </row>
    <row r="844">
      <c r="B844" s="130" t="n"/>
      <c r="C844" s="129" t="n"/>
      <c r="D844" s="129" t="n"/>
      <c r="E844" s="129" t="n"/>
      <c r="F844" s="145" t="n"/>
      <c r="G844" s="129" t="n"/>
      <c r="H844" s="129" t="n"/>
      <c r="I844" s="129" t="n"/>
      <c r="J844" s="138" t="str">
        <f>IF(C844&lt;&gt;"Despesa","",IFERROR(INDEX('Config'!$J$6:$J$40,MATCH(D844,'Config'!$I$6:$I$40,0)),"—"))</f>
        <v/>
      </c>
      <c r="K844" s="138" t="str">
        <f>IF(COUNTA(B844:F844)=0,"",IF(OR(B844="",C844="",D844="",F844=""),"▲ Completar","✔"))</f>
        <v/>
      </c>
    </row>
    <row r="845">
      <c r="B845" s="130" t="n"/>
      <c r="C845" s="129" t="n"/>
      <c r="D845" s="129" t="n"/>
      <c r="E845" s="129" t="n"/>
      <c r="F845" s="145" t="n"/>
      <c r="G845" s="129" t="n"/>
      <c r="H845" s="129" t="n"/>
      <c r="I845" s="129" t="n"/>
      <c r="J845" s="138" t="str">
        <f>IF(C845&lt;&gt;"Despesa","",IFERROR(INDEX('Config'!$J$6:$J$40,MATCH(D845,'Config'!$I$6:$I$40,0)),"—"))</f>
        <v/>
      </c>
      <c r="K845" s="138" t="str">
        <f>IF(COUNTA(B845:F845)=0,"",IF(OR(B845="",C845="",D845="",F845=""),"▲ Completar","✔"))</f>
        <v/>
      </c>
    </row>
    <row r="846">
      <c r="B846" s="130" t="n"/>
      <c r="C846" s="129" t="n"/>
      <c r="D846" s="129" t="n"/>
      <c r="E846" s="129" t="n"/>
      <c r="F846" s="145" t="n"/>
      <c r="G846" s="129" t="n"/>
      <c r="H846" s="129" t="n"/>
      <c r="I846" s="129" t="n"/>
      <c r="J846" s="138" t="str">
        <f>IF(C846&lt;&gt;"Despesa","",IFERROR(INDEX('Config'!$J$6:$J$40,MATCH(D846,'Config'!$I$6:$I$40,0)),"—"))</f>
        <v/>
      </c>
      <c r="K846" s="138" t="str">
        <f>IF(COUNTA(B846:F846)=0,"",IF(OR(B846="",C846="",D846="",F846=""),"▲ Completar","✔"))</f>
        <v/>
      </c>
    </row>
    <row r="847">
      <c r="B847" s="130" t="n"/>
      <c r="C847" s="129" t="n"/>
      <c r="D847" s="129" t="n"/>
      <c r="E847" s="129" t="n"/>
      <c r="F847" s="145" t="n"/>
      <c r="G847" s="129" t="n"/>
      <c r="H847" s="129" t="n"/>
      <c r="I847" s="129" t="n"/>
      <c r="J847" s="138" t="str">
        <f>IF(C847&lt;&gt;"Despesa","",IFERROR(INDEX('Config'!$J$6:$J$40,MATCH(D847,'Config'!$I$6:$I$40,0)),"—"))</f>
        <v/>
      </c>
      <c r="K847" s="138" t="str">
        <f>IF(COUNTA(B847:F847)=0,"",IF(OR(B847="",C847="",D847="",F847=""),"▲ Completar","✔"))</f>
        <v/>
      </c>
    </row>
    <row r="848">
      <c r="B848" s="130" t="n"/>
      <c r="C848" s="129" t="n"/>
      <c r="D848" s="129" t="n"/>
      <c r="E848" s="129" t="n"/>
      <c r="F848" s="145" t="n"/>
      <c r="G848" s="129" t="n"/>
      <c r="H848" s="129" t="n"/>
      <c r="I848" s="129" t="n"/>
      <c r="J848" s="138" t="str">
        <f>IF(C848&lt;&gt;"Despesa","",IFERROR(INDEX('Config'!$J$6:$J$40,MATCH(D848,'Config'!$I$6:$I$40,0)),"—"))</f>
        <v/>
      </c>
      <c r="K848" s="138" t="str">
        <f>IF(COUNTA(B848:F848)=0,"",IF(OR(B848="",C848="",D848="",F848=""),"▲ Completar","✔"))</f>
        <v/>
      </c>
    </row>
    <row r="849">
      <c r="B849" s="130" t="n"/>
      <c r="C849" s="129" t="n"/>
      <c r="D849" s="129" t="n"/>
      <c r="E849" s="129" t="n"/>
      <c r="F849" s="145" t="n"/>
      <c r="G849" s="129" t="n"/>
      <c r="H849" s="129" t="n"/>
      <c r="I849" s="129" t="n"/>
      <c r="J849" s="138" t="str">
        <f>IF(C849&lt;&gt;"Despesa","",IFERROR(INDEX('Config'!$J$6:$J$40,MATCH(D849,'Config'!$I$6:$I$40,0)),"—"))</f>
        <v/>
      </c>
      <c r="K849" s="138" t="str">
        <f>IF(COUNTA(B849:F849)=0,"",IF(OR(B849="",C849="",D849="",F849=""),"▲ Completar","✔"))</f>
        <v/>
      </c>
    </row>
    <row r="850">
      <c r="B850" s="130" t="n"/>
      <c r="C850" s="129" t="n"/>
      <c r="D850" s="129" t="n"/>
      <c r="E850" s="129" t="n"/>
      <c r="F850" s="145" t="n"/>
      <c r="G850" s="129" t="n"/>
      <c r="H850" s="129" t="n"/>
      <c r="I850" s="129" t="n"/>
      <c r="J850" s="138" t="str">
        <f>IF(C850&lt;&gt;"Despesa","",IFERROR(INDEX('Config'!$J$6:$J$40,MATCH(D850,'Config'!$I$6:$I$40,0)),"—"))</f>
        <v/>
      </c>
      <c r="K850" s="138" t="str">
        <f>IF(COUNTA(B850:F850)=0,"",IF(OR(B850="",C850="",D850="",F850=""),"▲ Completar","✔"))</f>
        <v/>
      </c>
    </row>
    <row r="851">
      <c r="B851" s="130" t="n"/>
      <c r="C851" s="129" t="n"/>
      <c r="D851" s="129" t="n"/>
      <c r="E851" s="129" t="n"/>
      <c r="F851" s="145" t="n"/>
      <c r="G851" s="129" t="n"/>
      <c r="H851" s="129" t="n"/>
      <c r="I851" s="129" t="n"/>
      <c r="J851" s="138" t="str">
        <f>IF(C851&lt;&gt;"Despesa","",IFERROR(INDEX('Config'!$J$6:$J$40,MATCH(D851,'Config'!$I$6:$I$40,0)),"—"))</f>
        <v/>
      </c>
      <c r="K851" s="138" t="str">
        <f>IF(COUNTA(B851:F851)=0,"",IF(OR(B851="",C851="",D851="",F851=""),"▲ Completar","✔"))</f>
        <v/>
      </c>
    </row>
    <row r="852">
      <c r="B852" s="130" t="n"/>
      <c r="C852" s="129" t="n"/>
      <c r="D852" s="129" t="n"/>
      <c r="E852" s="129" t="n"/>
      <c r="F852" s="145" t="n"/>
      <c r="G852" s="129" t="n"/>
      <c r="H852" s="129" t="n"/>
      <c r="I852" s="129" t="n"/>
      <c r="J852" s="138" t="str">
        <f>IF(C852&lt;&gt;"Despesa","",IFERROR(INDEX('Config'!$J$6:$J$40,MATCH(D852,'Config'!$I$6:$I$40,0)),"—"))</f>
        <v/>
      </c>
      <c r="K852" s="138" t="str">
        <f>IF(COUNTA(B852:F852)=0,"",IF(OR(B852="",C852="",D852="",F852=""),"▲ Completar","✔"))</f>
        <v/>
      </c>
    </row>
    <row r="853">
      <c r="B853" s="130" t="n"/>
      <c r="C853" s="129" t="n"/>
      <c r="D853" s="129" t="n"/>
      <c r="E853" s="129" t="n"/>
      <c r="F853" s="145" t="n"/>
      <c r="G853" s="129" t="n"/>
      <c r="H853" s="129" t="n"/>
      <c r="I853" s="129" t="n"/>
      <c r="J853" s="138" t="str">
        <f>IF(C853&lt;&gt;"Despesa","",IFERROR(INDEX('Config'!$J$6:$J$40,MATCH(D853,'Config'!$I$6:$I$40,0)),"—"))</f>
        <v/>
      </c>
      <c r="K853" s="138" t="str">
        <f>IF(COUNTA(B853:F853)=0,"",IF(OR(B853="",C853="",D853="",F853=""),"▲ Completar","✔"))</f>
        <v/>
      </c>
    </row>
    <row r="854">
      <c r="B854" s="130" t="n"/>
      <c r="C854" s="129" t="n"/>
      <c r="D854" s="129" t="n"/>
      <c r="E854" s="129" t="n"/>
      <c r="F854" s="145" t="n"/>
      <c r="G854" s="129" t="n"/>
      <c r="H854" s="129" t="n"/>
      <c r="I854" s="129" t="n"/>
      <c r="J854" s="138" t="str">
        <f>IF(C854&lt;&gt;"Despesa","",IFERROR(INDEX('Config'!$J$6:$J$40,MATCH(D854,'Config'!$I$6:$I$40,0)),"—"))</f>
        <v/>
      </c>
      <c r="K854" s="138" t="str">
        <f>IF(COUNTA(B854:F854)=0,"",IF(OR(B854="",C854="",D854="",F854=""),"▲ Completar","✔"))</f>
        <v/>
      </c>
    </row>
    <row r="855">
      <c r="B855" s="130" t="n"/>
      <c r="C855" s="129" t="n"/>
      <c r="D855" s="129" t="n"/>
      <c r="E855" s="129" t="n"/>
      <c r="F855" s="145" t="n"/>
      <c r="G855" s="129" t="n"/>
      <c r="H855" s="129" t="n"/>
      <c r="I855" s="129" t="n"/>
      <c r="J855" s="138" t="str">
        <f>IF(C855&lt;&gt;"Despesa","",IFERROR(INDEX('Config'!$J$6:$J$40,MATCH(D855,'Config'!$I$6:$I$40,0)),"—"))</f>
        <v/>
      </c>
      <c r="K855" s="138" t="str">
        <f>IF(COUNTA(B855:F855)=0,"",IF(OR(B855="",C855="",D855="",F855=""),"▲ Completar","✔"))</f>
        <v/>
      </c>
    </row>
    <row r="856">
      <c r="B856" s="130" t="n"/>
      <c r="C856" s="129" t="n"/>
      <c r="D856" s="129" t="n"/>
      <c r="E856" s="129" t="n"/>
      <c r="F856" s="145" t="n"/>
      <c r="G856" s="129" t="n"/>
      <c r="H856" s="129" t="n"/>
      <c r="I856" s="129" t="n"/>
      <c r="J856" s="138" t="str">
        <f>IF(C856&lt;&gt;"Despesa","",IFERROR(INDEX('Config'!$J$6:$J$40,MATCH(D856,'Config'!$I$6:$I$40,0)),"—"))</f>
        <v/>
      </c>
      <c r="K856" s="138" t="str">
        <f>IF(COUNTA(B856:F856)=0,"",IF(OR(B856="",C856="",D856="",F856=""),"▲ Completar","✔"))</f>
        <v/>
      </c>
    </row>
    <row r="857">
      <c r="B857" s="130" t="n"/>
      <c r="C857" s="129" t="n"/>
      <c r="D857" s="129" t="n"/>
      <c r="E857" s="129" t="n"/>
      <c r="F857" s="145" t="n"/>
      <c r="G857" s="129" t="n"/>
      <c r="H857" s="129" t="n"/>
      <c r="I857" s="129" t="n"/>
      <c r="J857" s="138" t="str">
        <f>IF(C857&lt;&gt;"Despesa","",IFERROR(INDEX('Config'!$J$6:$J$40,MATCH(D857,'Config'!$I$6:$I$40,0)),"—"))</f>
        <v/>
      </c>
      <c r="K857" s="138" t="str">
        <f>IF(COUNTA(B857:F857)=0,"",IF(OR(B857="",C857="",D857="",F857=""),"▲ Completar","✔"))</f>
        <v/>
      </c>
    </row>
    <row r="858">
      <c r="B858" s="130" t="n"/>
      <c r="C858" s="129" t="n"/>
      <c r="D858" s="129" t="n"/>
      <c r="E858" s="129" t="n"/>
      <c r="F858" s="145" t="n"/>
      <c r="G858" s="129" t="n"/>
      <c r="H858" s="129" t="n"/>
      <c r="I858" s="129" t="n"/>
      <c r="J858" s="138" t="str">
        <f>IF(C858&lt;&gt;"Despesa","",IFERROR(INDEX('Config'!$J$6:$J$40,MATCH(D858,'Config'!$I$6:$I$40,0)),"—"))</f>
        <v/>
      </c>
      <c r="K858" s="138" t="str">
        <f>IF(COUNTA(B858:F858)=0,"",IF(OR(B858="",C858="",D858="",F858=""),"▲ Completar","✔"))</f>
        <v/>
      </c>
    </row>
    <row r="859">
      <c r="B859" s="130" t="n"/>
      <c r="C859" s="129" t="n"/>
      <c r="D859" s="129" t="n"/>
      <c r="E859" s="129" t="n"/>
      <c r="F859" s="145" t="n"/>
      <c r="G859" s="129" t="n"/>
      <c r="H859" s="129" t="n"/>
      <c r="I859" s="129" t="n"/>
      <c r="J859" s="138" t="str">
        <f>IF(C859&lt;&gt;"Despesa","",IFERROR(INDEX('Config'!$J$6:$J$40,MATCH(D859,'Config'!$I$6:$I$40,0)),"—"))</f>
        <v/>
      </c>
      <c r="K859" s="138" t="str">
        <f>IF(COUNTA(B859:F859)=0,"",IF(OR(B859="",C859="",D859="",F859=""),"▲ Completar","✔"))</f>
        <v/>
      </c>
    </row>
    <row r="860">
      <c r="B860" s="130" t="n"/>
      <c r="C860" s="129" t="n"/>
      <c r="D860" s="129" t="n"/>
      <c r="E860" s="129" t="n"/>
      <c r="F860" s="145" t="n"/>
      <c r="G860" s="129" t="n"/>
      <c r="H860" s="129" t="n"/>
      <c r="I860" s="129" t="n"/>
      <c r="J860" s="138" t="str">
        <f>IF(C860&lt;&gt;"Despesa","",IFERROR(INDEX('Config'!$J$6:$J$40,MATCH(D860,'Config'!$I$6:$I$40,0)),"—"))</f>
        <v/>
      </c>
      <c r="K860" s="138" t="str">
        <f>IF(COUNTA(B860:F860)=0,"",IF(OR(B860="",C860="",D860="",F860=""),"▲ Completar","✔"))</f>
        <v/>
      </c>
    </row>
    <row r="861">
      <c r="B861" s="130" t="n"/>
      <c r="C861" s="129" t="n"/>
      <c r="D861" s="129" t="n"/>
      <c r="E861" s="129" t="n"/>
      <c r="F861" s="145" t="n"/>
      <c r="G861" s="129" t="n"/>
      <c r="H861" s="129" t="n"/>
      <c r="I861" s="129" t="n"/>
      <c r="J861" s="138" t="str">
        <f>IF(C861&lt;&gt;"Despesa","",IFERROR(INDEX('Config'!$J$6:$J$40,MATCH(D861,'Config'!$I$6:$I$40,0)),"—"))</f>
        <v/>
      </c>
      <c r="K861" s="138" t="str">
        <f>IF(COUNTA(B861:F861)=0,"",IF(OR(B861="",C861="",D861="",F861=""),"▲ Completar","✔"))</f>
        <v/>
      </c>
    </row>
    <row r="862">
      <c r="B862" s="130" t="n"/>
      <c r="C862" s="129" t="n"/>
      <c r="D862" s="129" t="n"/>
      <c r="E862" s="129" t="n"/>
      <c r="F862" s="145" t="n"/>
      <c r="G862" s="129" t="n"/>
      <c r="H862" s="129" t="n"/>
      <c r="I862" s="129" t="n"/>
      <c r="J862" s="138" t="str">
        <f>IF(C862&lt;&gt;"Despesa","",IFERROR(INDEX('Config'!$J$6:$J$40,MATCH(D862,'Config'!$I$6:$I$40,0)),"—"))</f>
        <v/>
      </c>
      <c r="K862" s="138" t="str">
        <f>IF(COUNTA(B862:F862)=0,"",IF(OR(B862="",C862="",D862="",F862=""),"▲ Completar","✔"))</f>
        <v/>
      </c>
    </row>
    <row r="863">
      <c r="B863" s="130" t="n"/>
      <c r="C863" s="129" t="n"/>
      <c r="D863" s="129" t="n"/>
      <c r="E863" s="129" t="n"/>
      <c r="F863" s="145" t="n"/>
      <c r="G863" s="129" t="n"/>
      <c r="H863" s="129" t="n"/>
      <c r="I863" s="129" t="n"/>
      <c r="J863" s="138" t="str">
        <f>IF(C863&lt;&gt;"Despesa","",IFERROR(INDEX('Config'!$J$6:$J$40,MATCH(D863,'Config'!$I$6:$I$40,0)),"—"))</f>
        <v/>
      </c>
      <c r="K863" s="138" t="str">
        <f>IF(COUNTA(B863:F863)=0,"",IF(OR(B863="",C863="",D863="",F863=""),"▲ Completar","✔"))</f>
        <v/>
      </c>
    </row>
    <row r="864">
      <c r="B864" s="130" t="n"/>
      <c r="C864" s="129" t="n"/>
      <c r="D864" s="129" t="n"/>
      <c r="E864" s="129" t="n"/>
      <c r="F864" s="145" t="n"/>
      <c r="G864" s="129" t="n"/>
      <c r="H864" s="129" t="n"/>
      <c r="I864" s="129" t="n"/>
      <c r="J864" s="138" t="str">
        <f>IF(C864&lt;&gt;"Despesa","",IFERROR(INDEX('Config'!$J$6:$J$40,MATCH(D864,'Config'!$I$6:$I$40,0)),"—"))</f>
        <v/>
      </c>
      <c r="K864" s="138" t="str">
        <f>IF(COUNTA(B864:F864)=0,"",IF(OR(B864="",C864="",D864="",F864=""),"▲ Completar","✔"))</f>
        <v/>
      </c>
    </row>
    <row r="865">
      <c r="B865" s="130" t="n"/>
      <c r="C865" s="129" t="n"/>
      <c r="D865" s="129" t="n"/>
      <c r="E865" s="129" t="n"/>
      <c r="F865" s="145" t="n"/>
      <c r="G865" s="129" t="n"/>
      <c r="H865" s="129" t="n"/>
      <c r="I865" s="129" t="n"/>
      <c r="J865" s="138" t="str">
        <f>IF(C865&lt;&gt;"Despesa","",IFERROR(INDEX('Config'!$J$6:$J$40,MATCH(D865,'Config'!$I$6:$I$40,0)),"—"))</f>
        <v/>
      </c>
      <c r="K865" s="138" t="str">
        <f>IF(COUNTA(B865:F865)=0,"",IF(OR(B865="",C865="",D865="",F865=""),"▲ Completar","✔"))</f>
        <v/>
      </c>
    </row>
    <row r="866">
      <c r="B866" s="130" t="n"/>
      <c r="C866" s="129" t="n"/>
      <c r="D866" s="129" t="n"/>
      <c r="E866" s="129" t="n"/>
      <c r="F866" s="145" t="n"/>
      <c r="G866" s="129" t="n"/>
      <c r="H866" s="129" t="n"/>
      <c r="I866" s="129" t="n"/>
      <c r="J866" s="138" t="str">
        <f>IF(C866&lt;&gt;"Despesa","",IFERROR(INDEX('Config'!$J$6:$J$40,MATCH(D866,'Config'!$I$6:$I$40,0)),"—"))</f>
        <v/>
      </c>
      <c r="K866" s="138" t="str">
        <f>IF(COUNTA(B866:F866)=0,"",IF(OR(B866="",C866="",D866="",F866=""),"▲ Completar","✔"))</f>
        <v/>
      </c>
    </row>
    <row r="867">
      <c r="B867" s="130" t="n"/>
      <c r="C867" s="129" t="n"/>
      <c r="D867" s="129" t="n"/>
      <c r="E867" s="129" t="n"/>
      <c r="F867" s="145" t="n"/>
      <c r="G867" s="129" t="n"/>
      <c r="H867" s="129" t="n"/>
      <c r="I867" s="129" t="n"/>
      <c r="J867" s="138" t="str">
        <f>IF(C867&lt;&gt;"Despesa","",IFERROR(INDEX('Config'!$J$6:$J$40,MATCH(D867,'Config'!$I$6:$I$40,0)),"—"))</f>
        <v/>
      </c>
      <c r="K867" s="138" t="str">
        <f>IF(COUNTA(B867:F867)=0,"",IF(OR(B867="",C867="",D867="",F867=""),"▲ Completar","✔"))</f>
        <v/>
      </c>
    </row>
    <row r="868">
      <c r="B868" s="130" t="n"/>
      <c r="C868" s="129" t="n"/>
      <c r="D868" s="129" t="n"/>
      <c r="E868" s="129" t="n"/>
      <c r="F868" s="145" t="n"/>
      <c r="G868" s="129" t="n"/>
      <c r="H868" s="129" t="n"/>
      <c r="I868" s="129" t="n"/>
      <c r="J868" s="138" t="str">
        <f>IF(C868&lt;&gt;"Despesa","",IFERROR(INDEX('Config'!$J$6:$J$40,MATCH(D868,'Config'!$I$6:$I$40,0)),"—"))</f>
        <v/>
      </c>
      <c r="K868" s="138" t="str">
        <f>IF(COUNTA(B868:F868)=0,"",IF(OR(B868="",C868="",D868="",F868=""),"▲ Completar","✔"))</f>
        <v/>
      </c>
    </row>
    <row r="869">
      <c r="B869" s="130" t="n"/>
      <c r="C869" s="129" t="n"/>
      <c r="D869" s="129" t="n"/>
      <c r="E869" s="129" t="n"/>
      <c r="F869" s="145" t="n"/>
      <c r="G869" s="129" t="n"/>
      <c r="H869" s="129" t="n"/>
      <c r="I869" s="129" t="n"/>
      <c r="J869" s="138" t="str">
        <f>IF(C869&lt;&gt;"Despesa","",IFERROR(INDEX('Config'!$J$6:$J$40,MATCH(D869,'Config'!$I$6:$I$40,0)),"—"))</f>
        <v/>
      </c>
      <c r="K869" s="138" t="str">
        <f>IF(COUNTA(B869:F869)=0,"",IF(OR(B869="",C869="",D869="",F869=""),"▲ Completar","✔"))</f>
        <v/>
      </c>
    </row>
    <row r="870">
      <c r="B870" s="130" t="n"/>
      <c r="C870" s="129" t="n"/>
      <c r="D870" s="129" t="n"/>
      <c r="E870" s="129" t="n"/>
      <c r="F870" s="145" t="n"/>
      <c r="G870" s="129" t="n"/>
      <c r="H870" s="129" t="n"/>
      <c r="I870" s="129" t="n"/>
      <c r="J870" s="138" t="str">
        <f>IF(C870&lt;&gt;"Despesa","",IFERROR(INDEX('Config'!$J$6:$J$40,MATCH(D870,'Config'!$I$6:$I$40,0)),"—"))</f>
        <v/>
      </c>
      <c r="K870" s="138" t="str">
        <f>IF(COUNTA(B870:F870)=0,"",IF(OR(B870="",C870="",D870="",F870=""),"▲ Completar","✔"))</f>
        <v/>
      </c>
    </row>
    <row r="871">
      <c r="B871" s="130" t="n"/>
      <c r="C871" s="129" t="n"/>
      <c r="D871" s="129" t="n"/>
      <c r="E871" s="129" t="n"/>
      <c r="F871" s="145" t="n"/>
      <c r="G871" s="129" t="n"/>
      <c r="H871" s="129" t="n"/>
      <c r="I871" s="129" t="n"/>
      <c r="J871" s="138" t="str">
        <f>IF(C871&lt;&gt;"Despesa","",IFERROR(INDEX('Config'!$J$6:$J$40,MATCH(D871,'Config'!$I$6:$I$40,0)),"—"))</f>
        <v/>
      </c>
      <c r="K871" s="138" t="str">
        <f>IF(COUNTA(B871:F871)=0,"",IF(OR(B871="",C871="",D871="",F871=""),"▲ Completar","✔"))</f>
        <v/>
      </c>
    </row>
    <row r="872">
      <c r="B872" s="130" t="n"/>
      <c r="C872" s="129" t="n"/>
      <c r="D872" s="129" t="n"/>
      <c r="E872" s="129" t="n"/>
      <c r="F872" s="145" t="n"/>
      <c r="G872" s="129" t="n"/>
      <c r="H872" s="129" t="n"/>
      <c r="I872" s="129" t="n"/>
      <c r="J872" s="138" t="str">
        <f>IF(C872&lt;&gt;"Despesa","",IFERROR(INDEX('Config'!$J$6:$J$40,MATCH(D872,'Config'!$I$6:$I$40,0)),"—"))</f>
        <v/>
      </c>
      <c r="K872" s="138" t="str">
        <f>IF(COUNTA(B872:F872)=0,"",IF(OR(B872="",C872="",D872="",F872=""),"▲ Completar","✔"))</f>
        <v/>
      </c>
    </row>
    <row r="873">
      <c r="B873" s="130" t="n"/>
      <c r="C873" s="129" t="n"/>
      <c r="D873" s="129" t="n"/>
      <c r="E873" s="129" t="n"/>
      <c r="F873" s="145" t="n"/>
      <c r="G873" s="129" t="n"/>
      <c r="H873" s="129" t="n"/>
      <c r="I873" s="129" t="n"/>
      <c r="J873" s="138" t="str">
        <f>IF(C873&lt;&gt;"Despesa","",IFERROR(INDEX('Config'!$J$6:$J$40,MATCH(D873,'Config'!$I$6:$I$40,0)),"—"))</f>
        <v/>
      </c>
      <c r="K873" s="138" t="str">
        <f>IF(COUNTA(B873:F873)=0,"",IF(OR(B873="",C873="",D873="",F873=""),"▲ Completar","✔"))</f>
        <v/>
      </c>
    </row>
    <row r="874">
      <c r="B874" s="130" t="n"/>
      <c r="C874" s="129" t="n"/>
      <c r="D874" s="129" t="n"/>
      <c r="E874" s="129" t="n"/>
      <c r="F874" s="145" t="n"/>
      <c r="G874" s="129" t="n"/>
      <c r="H874" s="129" t="n"/>
      <c r="I874" s="129" t="n"/>
      <c r="J874" s="138" t="str">
        <f>IF(C874&lt;&gt;"Despesa","",IFERROR(INDEX('Config'!$J$6:$J$40,MATCH(D874,'Config'!$I$6:$I$40,0)),"—"))</f>
        <v/>
      </c>
      <c r="K874" s="138" t="str">
        <f>IF(COUNTA(B874:F874)=0,"",IF(OR(B874="",C874="",D874="",F874=""),"▲ Completar","✔"))</f>
        <v/>
      </c>
    </row>
    <row r="875">
      <c r="B875" s="130" t="n"/>
      <c r="C875" s="129" t="n"/>
      <c r="D875" s="129" t="n"/>
      <c r="E875" s="129" t="n"/>
      <c r="F875" s="145" t="n"/>
      <c r="G875" s="129" t="n"/>
      <c r="H875" s="129" t="n"/>
      <c r="I875" s="129" t="n"/>
      <c r="J875" s="138" t="str">
        <f>IF(C875&lt;&gt;"Despesa","",IFERROR(INDEX('Config'!$J$6:$J$40,MATCH(D875,'Config'!$I$6:$I$40,0)),"—"))</f>
        <v/>
      </c>
      <c r="K875" s="138" t="str">
        <f>IF(COUNTA(B875:F875)=0,"",IF(OR(B875="",C875="",D875="",F875=""),"▲ Completar","✔"))</f>
        <v/>
      </c>
    </row>
    <row r="876">
      <c r="B876" s="130" t="n"/>
      <c r="C876" s="129" t="n"/>
      <c r="D876" s="129" t="n"/>
      <c r="E876" s="129" t="n"/>
      <c r="F876" s="145" t="n"/>
      <c r="G876" s="129" t="n"/>
      <c r="H876" s="129" t="n"/>
      <c r="I876" s="129" t="n"/>
      <c r="J876" s="138" t="str">
        <f>IF(C876&lt;&gt;"Despesa","",IFERROR(INDEX('Config'!$J$6:$J$40,MATCH(D876,'Config'!$I$6:$I$40,0)),"—"))</f>
        <v/>
      </c>
      <c r="K876" s="138" t="str">
        <f>IF(COUNTA(B876:F876)=0,"",IF(OR(B876="",C876="",D876="",F876=""),"▲ Completar","✔"))</f>
        <v/>
      </c>
    </row>
    <row r="877">
      <c r="B877" s="130" t="n"/>
      <c r="C877" s="129" t="n"/>
      <c r="D877" s="129" t="n"/>
      <c r="E877" s="129" t="n"/>
      <c r="F877" s="145" t="n"/>
      <c r="G877" s="129" t="n"/>
      <c r="H877" s="129" t="n"/>
      <c r="I877" s="129" t="n"/>
      <c r="J877" s="138" t="str">
        <f>IF(C877&lt;&gt;"Despesa","",IFERROR(INDEX('Config'!$J$6:$J$40,MATCH(D877,'Config'!$I$6:$I$40,0)),"—"))</f>
        <v/>
      </c>
      <c r="K877" s="138" t="str">
        <f>IF(COUNTA(B877:F877)=0,"",IF(OR(B877="",C877="",D877="",F877=""),"▲ Completar","✔"))</f>
        <v/>
      </c>
    </row>
    <row r="878">
      <c r="B878" s="130" t="n"/>
      <c r="C878" s="129" t="n"/>
      <c r="D878" s="129" t="n"/>
      <c r="E878" s="129" t="n"/>
      <c r="F878" s="145" t="n"/>
      <c r="G878" s="129" t="n"/>
      <c r="H878" s="129" t="n"/>
      <c r="I878" s="129" t="n"/>
      <c r="J878" s="138" t="str">
        <f>IF(C878&lt;&gt;"Despesa","",IFERROR(INDEX('Config'!$J$6:$J$40,MATCH(D878,'Config'!$I$6:$I$40,0)),"—"))</f>
        <v/>
      </c>
      <c r="K878" s="138" t="str">
        <f>IF(COUNTA(B878:F878)=0,"",IF(OR(B878="",C878="",D878="",F878=""),"▲ Completar","✔"))</f>
        <v/>
      </c>
    </row>
    <row r="879">
      <c r="B879" s="130" t="n"/>
      <c r="C879" s="129" t="n"/>
      <c r="D879" s="129" t="n"/>
      <c r="E879" s="129" t="n"/>
      <c r="F879" s="145" t="n"/>
      <c r="G879" s="129" t="n"/>
      <c r="H879" s="129" t="n"/>
      <c r="I879" s="129" t="n"/>
      <c r="J879" s="138" t="str">
        <f>IF(C879&lt;&gt;"Despesa","",IFERROR(INDEX('Config'!$J$6:$J$40,MATCH(D879,'Config'!$I$6:$I$40,0)),"—"))</f>
        <v/>
      </c>
      <c r="K879" s="138" t="str">
        <f>IF(COUNTA(B879:F879)=0,"",IF(OR(B879="",C879="",D879="",F879=""),"▲ Completar","✔"))</f>
        <v/>
      </c>
    </row>
    <row r="880">
      <c r="B880" s="130" t="n"/>
      <c r="C880" s="129" t="n"/>
      <c r="D880" s="129" t="n"/>
      <c r="E880" s="129" t="n"/>
      <c r="F880" s="145" t="n"/>
      <c r="G880" s="129" t="n"/>
      <c r="H880" s="129" t="n"/>
      <c r="I880" s="129" t="n"/>
      <c r="J880" s="138" t="str">
        <f>IF(C880&lt;&gt;"Despesa","",IFERROR(INDEX('Config'!$J$6:$J$40,MATCH(D880,'Config'!$I$6:$I$40,0)),"—"))</f>
        <v/>
      </c>
      <c r="K880" s="138" t="str">
        <f>IF(COUNTA(B880:F880)=0,"",IF(OR(B880="",C880="",D880="",F880=""),"▲ Completar","✔"))</f>
        <v/>
      </c>
    </row>
    <row r="881">
      <c r="B881" s="130" t="n"/>
      <c r="C881" s="129" t="n"/>
      <c r="D881" s="129" t="n"/>
      <c r="E881" s="129" t="n"/>
      <c r="F881" s="145" t="n"/>
      <c r="G881" s="129" t="n"/>
      <c r="H881" s="129" t="n"/>
      <c r="I881" s="129" t="n"/>
      <c r="J881" s="138" t="str">
        <f>IF(C881&lt;&gt;"Despesa","",IFERROR(INDEX('Config'!$J$6:$J$40,MATCH(D881,'Config'!$I$6:$I$40,0)),"—"))</f>
        <v/>
      </c>
      <c r="K881" s="138" t="str">
        <f>IF(COUNTA(B881:F881)=0,"",IF(OR(B881="",C881="",D881="",F881=""),"▲ Completar","✔"))</f>
        <v/>
      </c>
    </row>
    <row r="882">
      <c r="B882" s="130" t="n"/>
      <c r="C882" s="129" t="n"/>
      <c r="D882" s="129" t="n"/>
      <c r="E882" s="129" t="n"/>
      <c r="F882" s="145" t="n"/>
      <c r="G882" s="129" t="n"/>
      <c r="H882" s="129" t="n"/>
      <c r="I882" s="129" t="n"/>
      <c r="J882" s="138" t="str">
        <f>IF(C882&lt;&gt;"Despesa","",IFERROR(INDEX('Config'!$J$6:$J$40,MATCH(D882,'Config'!$I$6:$I$40,0)),"—"))</f>
        <v/>
      </c>
      <c r="K882" s="138" t="str">
        <f>IF(COUNTA(B882:F882)=0,"",IF(OR(B882="",C882="",D882="",F882=""),"▲ Completar","✔"))</f>
        <v/>
      </c>
    </row>
    <row r="883">
      <c r="B883" s="130" t="n"/>
      <c r="C883" s="129" t="n"/>
      <c r="D883" s="129" t="n"/>
      <c r="E883" s="129" t="n"/>
      <c r="F883" s="145" t="n"/>
      <c r="G883" s="129" t="n"/>
      <c r="H883" s="129" t="n"/>
      <c r="I883" s="129" t="n"/>
      <c r="J883" s="138" t="str">
        <f>IF(C883&lt;&gt;"Despesa","",IFERROR(INDEX('Config'!$J$6:$J$40,MATCH(D883,'Config'!$I$6:$I$40,0)),"—"))</f>
        <v/>
      </c>
      <c r="K883" s="138" t="str">
        <f>IF(COUNTA(B883:F883)=0,"",IF(OR(B883="",C883="",D883="",F883=""),"▲ Completar","✔"))</f>
        <v/>
      </c>
    </row>
    <row r="884">
      <c r="B884" s="130" t="n"/>
      <c r="C884" s="129" t="n"/>
      <c r="D884" s="129" t="n"/>
      <c r="E884" s="129" t="n"/>
      <c r="F884" s="145" t="n"/>
      <c r="G884" s="129" t="n"/>
      <c r="H884" s="129" t="n"/>
      <c r="I884" s="129" t="n"/>
      <c r="J884" s="138" t="str">
        <f>IF(C884&lt;&gt;"Despesa","",IFERROR(INDEX('Config'!$J$6:$J$40,MATCH(D884,'Config'!$I$6:$I$40,0)),"—"))</f>
        <v/>
      </c>
      <c r="K884" s="138" t="str">
        <f>IF(COUNTA(B884:F884)=0,"",IF(OR(B884="",C884="",D884="",F884=""),"▲ Completar","✔"))</f>
        <v/>
      </c>
    </row>
    <row r="885">
      <c r="B885" s="130" t="n"/>
      <c r="C885" s="129" t="n"/>
      <c r="D885" s="129" t="n"/>
      <c r="E885" s="129" t="n"/>
      <c r="F885" s="145" t="n"/>
      <c r="G885" s="129" t="n"/>
      <c r="H885" s="129" t="n"/>
      <c r="I885" s="129" t="n"/>
      <c r="J885" s="138" t="str">
        <f>IF(C885&lt;&gt;"Despesa","",IFERROR(INDEX('Config'!$J$6:$J$40,MATCH(D885,'Config'!$I$6:$I$40,0)),"—"))</f>
        <v/>
      </c>
      <c r="K885" s="138" t="str">
        <f>IF(COUNTA(B885:F885)=0,"",IF(OR(B885="",C885="",D885="",F885=""),"▲ Completar","✔"))</f>
        <v/>
      </c>
    </row>
    <row r="886">
      <c r="B886" s="130" t="n"/>
      <c r="C886" s="129" t="n"/>
      <c r="D886" s="129" t="n"/>
      <c r="E886" s="129" t="n"/>
      <c r="F886" s="145" t="n"/>
      <c r="G886" s="129" t="n"/>
      <c r="H886" s="129" t="n"/>
      <c r="I886" s="129" t="n"/>
      <c r="J886" s="138" t="str">
        <f>IF(C886&lt;&gt;"Despesa","",IFERROR(INDEX('Config'!$J$6:$J$40,MATCH(D886,'Config'!$I$6:$I$40,0)),"—"))</f>
        <v/>
      </c>
      <c r="K886" s="138" t="str">
        <f>IF(COUNTA(B886:F886)=0,"",IF(OR(B886="",C886="",D886="",F886=""),"▲ Completar","✔"))</f>
        <v/>
      </c>
    </row>
    <row r="887">
      <c r="B887" s="130" t="n"/>
      <c r="C887" s="129" t="n"/>
      <c r="D887" s="129" t="n"/>
      <c r="E887" s="129" t="n"/>
      <c r="F887" s="145" t="n"/>
      <c r="G887" s="129" t="n"/>
      <c r="H887" s="129" t="n"/>
      <c r="I887" s="129" t="n"/>
      <c r="J887" s="138" t="str">
        <f>IF(C887&lt;&gt;"Despesa","",IFERROR(INDEX('Config'!$J$6:$J$40,MATCH(D887,'Config'!$I$6:$I$40,0)),"—"))</f>
        <v/>
      </c>
      <c r="K887" s="138" t="str">
        <f>IF(COUNTA(B887:F887)=0,"",IF(OR(B887="",C887="",D887="",F887=""),"▲ Completar","✔"))</f>
        <v/>
      </c>
    </row>
    <row r="888">
      <c r="B888" s="130" t="n"/>
      <c r="C888" s="129" t="n"/>
      <c r="D888" s="129" t="n"/>
      <c r="E888" s="129" t="n"/>
      <c r="F888" s="145" t="n"/>
      <c r="G888" s="129" t="n"/>
      <c r="H888" s="129" t="n"/>
      <c r="I888" s="129" t="n"/>
      <c r="J888" s="138" t="str">
        <f>IF(C888&lt;&gt;"Despesa","",IFERROR(INDEX('Config'!$J$6:$J$40,MATCH(D888,'Config'!$I$6:$I$40,0)),"—"))</f>
        <v/>
      </c>
      <c r="K888" s="138" t="str">
        <f>IF(COUNTA(B888:F888)=0,"",IF(OR(B888="",C888="",D888="",F888=""),"▲ Completar","✔"))</f>
        <v/>
      </c>
    </row>
    <row r="889">
      <c r="B889" s="130" t="n"/>
      <c r="C889" s="129" t="n"/>
      <c r="D889" s="129" t="n"/>
      <c r="E889" s="129" t="n"/>
      <c r="F889" s="145" t="n"/>
      <c r="G889" s="129" t="n"/>
      <c r="H889" s="129" t="n"/>
      <c r="I889" s="129" t="n"/>
      <c r="J889" s="138" t="str">
        <f>IF(C889&lt;&gt;"Despesa","",IFERROR(INDEX('Config'!$J$6:$J$40,MATCH(D889,'Config'!$I$6:$I$40,0)),"—"))</f>
        <v/>
      </c>
      <c r="K889" s="138" t="str">
        <f>IF(COUNTA(B889:F889)=0,"",IF(OR(B889="",C889="",D889="",F889=""),"▲ Completar","✔"))</f>
        <v/>
      </c>
    </row>
    <row r="890">
      <c r="B890" s="130" t="n"/>
      <c r="C890" s="129" t="n"/>
      <c r="D890" s="129" t="n"/>
      <c r="E890" s="129" t="n"/>
      <c r="F890" s="145" t="n"/>
      <c r="G890" s="129" t="n"/>
      <c r="H890" s="129" t="n"/>
      <c r="I890" s="129" t="n"/>
      <c r="J890" s="138" t="str">
        <f>IF(C890&lt;&gt;"Despesa","",IFERROR(INDEX('Config'!$J$6:$J$40,MATCH(D890,'Config'!$I$6:$I$40,0)),"—"))</f>
        <v/>
      </c>
      <c r="K890" s="138" t="str">
        <f>IF(COUNTA(B890:F890)=0,"",IF(OR(B890="",C890="",D890="",F890=""),"▲ Completar","✔"))</f>
        <v/>
      </c>
    </row>
    <row r="891">
      <c r="B891" s="130" t="n"/>
      <c r="C891" s="129" t="n"/>
      <c r="D891" s="129" t="n"/>
      <c r="E891" s="129" t="n"/>
      <c r="F891" s="145" t="n"/>
      <c r="G891" s="129" t="n"/>
      <c r="H891" s="129" t="n"/>
      <c r="I891" s="129" t="n"/>
      <c r="J891" s="138" t="str">
        <f>IF(C891&lt;&gt;"Despesa","",IFERROR(INDEX('Config'!$J$6:$J$40,MATCH(D891,'Config'!$I$6:$I$40,0)),"—"))</f>
        <v/>
      </c>
      <c r="K891" s="138" t="str">
        <f>IF(COUNTA(B891:F891)=0,"",IF(OR(B891="",C891="",D891="",F891=""),"▲ Completar","✔"))</f>
        <v/>
      </c>
    </row>
    <row r="892">
      <c r="B892" s="130" t="n"/>
      <c r="C892" s="129" t="n"/>
      <c r="D892" s="129" t="n"/>
      <c r="E892" s="129" t="n"/>
      <c r="F892" s="145" t="n"/>
      <c r="G892" s="129" t="n"/>
      <c r="H892" s="129" t="n"/>
      <c r="I892" s="129" t="n"/>
      <c r="J892" s="138" t="str">
        <f>IF(C892&lt;&gt;"Despesa","",IFERROR(INDEX('Config'!$J$6:$J$40,MATCH(D892,'Config'!$I$6:$I$40,0)),"—"))</f>
        <v/>
      </c>
      <c r="K892" s="138" t="str">
        <f>IF(COUNTA(B892:F892)=0,"",IF(OR(B892="",C892="",D892="",F892=""),"▲ Completar","✔"))</f>
        <v/>
      </c>
    </row>
    <row r="893">
      <c r="B893" s="130" t="n"/>
      <c r="C893" s="129" t="n"/>
      <c r="D893" s="129" t="n"/>
      <c r="E893" s="129" t="n"/>
      <c r="F893" s="145" t="n"/>
      <c r="G893" s="129" t="n"/>
      <c r="H893" s="129" t="n"/>
      <c r="I893" s="129" t="n"/>
      <c r="J893" s="138" t="str">
        <f>IF(C893&lt;&gt;"Despesa","",IFERROR(INDEX('Config'!$J$6:$J$40,MATCH(D893,'Config'!$I$6:$I$40,0)),"—"))</f>
        <v/>
      </c>
      <c r="K893" s="138" t="str">
        <f>IF(COUNTA(B893:F893)=0,"",IF(OR(B893="",C893="",D893="",F893=""),"▲ Completar","✔"))</f>
        <v/>
      </c>
    </row>
    <row r="894">
      <c r="B894" s="130" t="n"/>
      <c r="C894" s="129" t="n"/>
      <c r="D894" s="129" t="n"/>
      <c r="E894" s="129" t="n"/>
      <c r="F894" s="145" t="n"/>
      <c r="G894" s="129" t="n"/>
      <c r="H894" s="129" t="n"/>
      <c r="I894" s="129" t="n"/>
      <c r="J894" s="138" t="str">
        <f>IF(C894&lt;&gt;"Despesa","",IFERROR(INDEX('Config'!$J$6:$J$40,MATCH(D894,'Config'!$I$6:$I$40,0)),"—"))</f>
        <v/>
      </c>
      <c r="K894" s="138" t="str">
        <f>IF(COUNTA(B894:F894)=0,"",IF(OR(B894="",C894="",D894="",F894=""),"▲ Completar","✔"))</f>
        <v/>
      </c>
    </row>
    <row r="895">
      <c r="B895" s="130" t="n"/>
      <c r="C895" s="129" t="n"/>
      <c r="D895" s="129" t="n"/>
      <c r="E895" s="129" t="n"/>
      <c r="F895" s="145" t="n"/>
      <c r="G895" s="129" t="n"/>
      <c r="H895" s="129" t="n"/>
      <c r="I895" s="129" t="n"/>
      <c r="J895" s="138" t="str">
        <f>IF(C895&lt;&gt;"Despesa","",IFERROR(INDEX('Config'!$J$6:$J$40,MATCH(D895,'Config'!$I$6:$I$40,0)),"—"))</f>
        <v/>
      </c>
      <c r="K895" s="138" t="str">
        <f>IF(COUNTA(B895:F895)=0,"",IF(OR(B895="",C895="",D895="",F895=""),"▲ Completar","✔"))</f>
        <v/>
      </c>
    </row>
    <row r="896">
      <c r="B896" s="130" t="n"/>
      <c r="C896" s="129" t="n"/>
      <c r="D896" s="129" t="n"/>
      <c r="E896" s="129" t="n"/>
      <c r="F896" s="145" t="n"/>
      <c r="G896" s="129" t="n"/>
      <c r="H896" s="129" t="n"/>
      <c r="I896" s="129" t="n"/>
      <c r="J896" s="138" t="str">
        <f>IF(C896&lt;&gt;"Despesa","",IFERROR(INDEX('Config'!$J$6:$J$40,MATCH(D896,'Config'!$I$6:$I$40,0)),"—"))</f>
        <v/>
      </c>
      <c r="K896" s="138" t="str">
        <f>IF(COUNTA(B896:F896)=0,"",IF(OR(B896="",C896="",D896="",F896=""),"▲ Completar","✔"))</f>
        <v/>
      </c>
    </row>
    <row r="897">
      <c r="B897" s="130" t="n"/>
      <c r="C897" s="129" t="n"/>
      <c r="D897" s="129" t="n"/>
      <c r="E897" s="129" t="n"/>
      <c r="F897" s="145" t="n"/>
      <c r="G897" s="129" t="n"/>
      <c r="H897" s="129" t="n"/>
      <c r="I897" s="129" t="n"/>
      <c r="J897" s="138" t="str">
        <f>IF(C897&lt;&gt;"Despesa","",IFERROR(INDEX('Config'!$J$6:$J$40,MATCH(D897,'Config'!$I$6:$I$40,0)),"—"))</f>
        <v/>
      </c>
      <c r="K897" s="138" t="str">
        <f>IF(COUNTA(B897:F897)=0,"",IF(OR(B897="",C897="",D897="",F897=""),"▲ Completar","✔"))</f>
        <v/>
      </c>
    </row>
    <row r="898">
      <c r="B898" s="130" t="n"/>
      <c r="C898" s="129" t="n"/>
      <c r="D898" s="129" t="n"/>
      <c r="E898" s="129" t="n"/>
      <c r="F898" s="145" t="n"/>
      <c r="G898" s="129" t="n"/>
      <c r="H898" s="129" t="n"/>
      <c r="I898" s="129" t="n"/>
      <c r="J898" s="138" t="str">
        <f>IF(C898&lt;&gt;"Despesa","",IFERROR(INDEX('Config'!$J$6:$J$40,MATCH(D898,'Config'!$I$6:$I$40,0)),"—"))</f>
        <v/>
      </c>
      <c r="K898" s="138" t="str">
        <f>IF(COUNTA(B898:F898)=0,"",IF(OR(B898="",C898="",D898="",F898=""),"▲ Completar","✔"))</f>
        <v/>
      </c>
    </row>
    <row r="899">
      <c r="B899" s="130" t="n"/>
      <c r="C899" s="129" t="n"/>
      <c r="D899" s="129" t="n"/>
      <c r="E899" s="129" t="n"/>
      <c r="F899" s="145" t="n"/>
      <c r="G899" s="129" t="n"/>
      <c r="H899" s="129" t="n"/>
      <c r="I899" s="129" t="n"/>
      <c r="J899" s="138" t="str">
        <f>IF(C899&lt;&gt;"Despesa","",IFERROR(INDEX('Config'!$J$6:$J$40,MATCH(D899,'Config'!$I$6:$I$40,0)),"—"))</f>
        <v/>
      </c>
      <c r="K899" s="138" t="str">
        <f>IF(COUNTA(B899:F899)=0,"",IF(OR(B899="",C899="",D899="",F899=""),"▲ Completar","✔"))</f>
        <v/>
      </c>
    </row>
    <row r="900">
      <c r="B900" s="130" t="n"/>
      <c r="C900" s="129" t="n"/>
      <c r="D900" s="129" t="n"/>
      <c r="E900" s="129" t="n"/>
      <c r="F900" s="145" t="n"/>
      <c r="G900" s="129" t="n"/>
      <c r="H900" s="129" t="n"/>
      <c r="I900" s="129" t="n"/>
      <c r="J900" s="138" t="str">
        <f>IF(C900&lt;&gt;"Despesa","",IFERROR(INDEX('Config'!$J$6:$J$40,MATCH(D900,'Config'!$I$6:$I$40,0)),"—"))</f>
        <v/>
      </c>
      <c r="K900" s="138" t="str">
        <f>IF(COUNTA(B900:F900)=0,"",IF(OR(B900="",C900="",D900="",F900=""),"▲ Completar","✔"))</f>
        <v/>
      </c>
    </row>
    <row r="901">
      <c r="B901" s="130" t="n"/>
      <c r="C901" s="129" t="n"/>
      <c r="D901" s="129" t="n"/>
      <c r="E901" s="129" t="n"/>
      <c r="F901" s="145" t="n"/>
      <c r="G901" s="129" t="n"/>
      <c r="H901" s="129" t="n"/>
      <c r="I901" s="129" t="n"/>
      <c r="J901" s="138" t="str">
        <f>IF(C901&lt;&gt;"Despesa","",IFERROR(INDEX('Config'!$J$6:$J$40,MATCH(D901,'Config'!$I$6:$I$40,0)),"—"))</f>
        <v/>
      </c>
      <c r="K901" s="138" t="str">
        <f>IF(COUNTA(B901:F901)=0,"",IF(OR(B901="",C901="",D901="",F901=""),"▲ Completar","✔"))</f>
        <v/>
      </c>
    </row>
    <row r="902">
      <c r="B902" s="130" t="n"/>
      <c r="C902" s="129" t="n"/>
      <c r="D902" s="129" t="n"/>
      <c r="E902" s="129" t="n"/>
      <c r="F902" s="145" t="n"/>
      <c r="G902" s="129" t="n"/>
      <c r="H902" s="129" t="n"/>
      <c r="I902" s="129" t="n"/>
      <c r="J902" s="138" t="str">
        <f>IF(C902&lt;&gt;"Despesa","",IFERROR(INDEX('Config'!$J$6:$J$40,MATCH(D902,'Config'!$I$6:$I$40,0)),"—"))</f>
        <v/>
      </c>
      <c r="K902" s="138" t="str">
        <f>IF(COUNTA(B902:F902)=0,"",IF(OR(B902="",C902="",D902="",F902=""),"▲ Completar","✔"))</f>
        <v/>
      </c>
    </row>
    <row r="903">
      <c r="B903" s="130" t="n"/>
      <c r="C903" s="129" t="n"/>
      <c r="D903" s="129" t="n"/>
      <c r="E903" s="129" t="n"/>
      <c r="F903" s="145" t="n"/>
      <c r="G903" s="129" t="n"/>
      <c r="H903" s="129" t="n"/>
      <c r="I903" s="129" t="n"/>
      <c r="J903" s="138" t="str">
        <f>IF(C903&lt;&gt;"Despesa","",IFERROR(INDEX('Config'!$J$6:$J$40,MATCH(D903,'Config'!$I$6:$I$40,0)),"—"))</f>
        <v/>
      </c>
      <c r="K903" s="138" t="str">
        <f>IF(COUNTA(B903:F903)=0,"",IF(OR(B903="",C903="",D903="",F903=""),"▲ Completar","✔"))</f>
        <v/>
      </c>
    </row>
    <row r="904">
      <c r="B904" s="130" t="n"/>
      <c r="C904" s="129" t="n"/>
      <c r="D904" s="129" t="n"/>
      <c r="E904" s="129" t="n"/>
      <c r="F904" s="145" t="n"/>
      <c r="G904" s="129" t="n"/>
      <c r="H904" s="129" t="n"/>
      <c r="I904" s="129" t="n"/>
      <c r="J904" s="138" t="str">
        <f>IF(C904&lt;&gt;"Despesa","",IFERROR(INDEX('Config'!$J$6:$J$40,MATCH(D904,'Config'!$I$6:$I$40,0)),"—"))</f>
        <v/>
      </c>
      <c r="K904" s="138" t="str">
        <f>IF(COUNTA(B904:F904)=0,"",IF(OR(B904="",C904="",D904="",F904=""),"▲ Completar","✔"))</f>
        <v/>
      </c>
    </row>
    <row r="905">
      <c r="B905" s="130" t="n"/>
      <c r="C905" s="129" t="n"/>
      <c r="D905" s="129" t="n"/>
      <c r="E905" s="129" t="n"/>
      <c r="F905" s="145" t="n"/>
      <c r="G905" s="129" t="n"/>
      <c r="H905" s="129" t="n"/>
      <c r="I905" s="129" t="n"/>
      <c r="J905" s="138" t="str">
        <f>IF(C905&lt;&gt;"Despesa","",IFERROR(INDEX('Config'!$J$6:$J$40,MATCH(D905,'Config'!$I$6:$I$40,0)),"—"))</f>
        <v/>
      </c>
      <c r="K905" s="138" t="str">
        <f>IF(COUNTA(B905:F905)=0,"",IF(OR(B905="",C905="",D905="",F905=""),"▲ Completar","✔"))</f>
        <v/>
      </c>
    </row>
    <row r="906">
      <c r="B906" s="130" t="n"/>
      <c r="C906" s="129" t="n"/>
      <c r="D906" s="129" t="n"/>
      <c r="E906" s="129" t="n"/>
      <c r="F906" s="145" t="n"/>
      <c r="G906" s="129" t="n"/>
      <c r="H906" s="129" t="n"/>
      <c r="I906" s="129" t="n"/>
      <c r="J906" s="138" t="str">
        <f>IF(C906&lt;&gt;"Despesa","",IFERROR(INDEX('Config'!$J$6:$J$40,MATCH(D906,'Config'!$I$6:$I$40,0)),"—"))</f>
        <v/>
      </c>
      <c r="K906" s="138" t="str">
        <f>IF(COUNTA(B906:F906)=0,"",IF(OR(B906="",C906="",D906="",F906=""),"▲ Completar","✔"))</f>
        <v/>
      </c>
    </row>
    <row r="907">
      <c r="B907" s="130" t="n"/>
      <c r="C907" s="129" t="n"/>
      <c r="D907" s="129" t="n"/>
      <c r="E907" s="129" t="n"/>
      <c r="F907" s="145" t="n"/>
      <c r="G907" s="129" t="n"/>
      <c r="H907" s="129" t="n"/>
      <c r="I907" s="129" t="n"/>
      <c r="J907" s="138" t="str">
        <f>IF(C907&lt;&gt;"Despesa","",IFERROR(INDEX('Config'!$J$6:$J$40,MATCH(D907,'Config'!$I$6:$I$40,0)),"—"))</f>
        <v/>
      </c>
      <c r="K907" s="138" t="str">
        <f>IF(COUNTA(B907:F907)=0,"",IF(OR(B907="",C907="",D907="",F907=""),"▲ Completar","✔"))</f>
        <v/>
      </c>
    </row>
    <row r="908">
      <c r="B908" s="130" t="n"/>
      <c r="C908" s="129" t="n"/>
      <c r="D908" s="129" t="n"/>
      <c r="E908" s="129" t="n"/>
      <c r="F908" s="145" t="n"/>
      <c r="G908" s="129" t="n"/>
      <c r="H908" s="129" t="n"/>
      <c r="I908" s="129" t="n"/>
      <c r="J908" s="138" t="str">
        <f>IF(C908&lt;&gt;"Despesa","",IFERROR(INDEX('Config'!$J$6:$J$40,MATCH(D908,'Config'!$I$6:$I$40,0)),"—"))</f>
        <v/>
      </c>
      <c r="K908" s="138" t="str">
        <f>IF(COUNTA(B908:F908)=0,"",IF(OR(B908="",C908="",D908="",F908=""),"▲ Completar","✔"))</f>
        <v/>
      </c>
    </row>
    <row r="909">
      <c r="B909" s="130" t="n"/>
      <c r="C909" s="129" t="n"/>
      <c r="D909" s="129" t="n"/>
      <c r="E909" s="129" t="n"/>
      <c r="F909" s="145" t="n"/>
      <c r="G909" s="129" t="n"/>
      <c r="H909" s="129" t="n"/>
      <c r="I909" s="129" t="n"/>
      <c r="J909" s="138" t="str">
        <f>IF(C909&lt;&gt;"Despesa","",IFERROR(INDEX('Config'!$J$6:$J$40,MATCH(D909,'Config'!$I$6:$I$40,0)),"—"))</f>
        <v/>
      </c>
      <c r="K909" s="138" t="str">
        <f>IF(COUNTA(B909:F909)=0,"",IF(OR(B909="",C909="",D909="",F909=""),"▲ Completar","✔"))</f>
        <v/>
      </c>
    </row>
    <row r="910">
      <c r="B910" s="130" t="n"/>
      <c r="C910" s="129" t="n"/>
      <c r="D910" s="129" t="n"/>
      <c r="E910" s="129" t="n"/>
      <c r="F910" s="145" t="n"/>
      <c r="G910" s="129" t="n"/>
      <c r="H910" s="129" t="n"/>
      <c r="I910" s="129" t="n"/>
      <c r="J910" s="138" t="str">
        <f>IF(C910&lt;&gt;"Despesa","",IFERROR(INDEX('Config'!$J$6:$J$40,MATCH(D910,'Config'!$I$6:$I$40,0)),"—"))</f>
        <v/>
      </c>
      <c r="K910" s="138" t="str">
        <f>IF(COUNTA(B910:F910)=0,"",IF(OR(B910="",C910="",D910="",F910=""),"▲ Completar","✔"))</f>
        <v/>
      </c>
    </row>
    <row r="911">
      <c r="B911" s="130" t="n"/>
      <c r="C911" s="129" t="n"/>
      <c r="D911" s="129" t="n"/>
      <c r="E911" s="129" t="n"/>
      <c r="F911" s="145" t="n"/>
      <c r="G911" s="129" t="n"/>
      <c r="H911" s="129" t="n"/>
      <c r="I911" s="129" t="n"/>
      <c r="J911" s="138" t="str">
        <f>IF(C911&lt;&gt;"Despesa","",IFERROR(INDEX('Config'!$J$6:$J$40,MATCH(D911,'Config'!$I$6:$I$40,0)),"—"))</f>
        <v/>
      </c>
      <c r="K911" s="138" t="str">
        <f>IF(COUNTA(B911:F911)=0,"",IF(OR(B911="",C911="",D911="",F911=""),"▲ Completar","✔"))</f>
        <v/>
      </c>
    </row>
    <row r="912">
      <c r="B912" s="130" t="n"/>
      <c r="C912" s="129" t="n"/>
      <c r="D912" s="129" t="n"/>
      <c r="E912" s="129" t="n"/>
      <c r="F912" s="145" t="n"/>
      <c r="G912" s="129" t="n"/>
      <c r="H912" s="129" t="n"/>
      <c r="I912" s="129" t="n"/>
      <c r="J912" s="138" t="str">
        <f>IF(C912&lt;&gt;"Despesa","",IFERROR(INDEX('Config'!$J$6:$J$40,MATCH(D912,'Config'!$I$6:$I$40,0)),"—"))</f>
        <v/>
      </c>
      <c r="K912" s="138" t="str">
        <f>IF(COUNTA(B912:F912)=0,"",IF(OR(B912="",C912="",D912="",F912=""),"▲ Completar","✔"))</f>
        <v/>
      </c>
    </row>
    <row r="913">
      <c r="B913" s="130" t="n"/>
      <c r="C913" s="129" t="n"/>
      <c r="D913" s="129" t="n"/>
      <c r="E913" s="129" t="n"/>
      <c r="F913" s="145" t="n"/>
      <c r="G913" s="129" t="n"/>
      <c r="H913" s="129" t="n"/>
      <c r="I913" s="129" t="n"/>
      <c r="J913" s="138" t="str">
        <f>IF(C913&lt;&gt;"Despesa","",IFERROR(INDEX('Config'!$J$6:$J$40,MATCH(D913,'Config'!$I$6:$I$40,0)),"—"))</f>
        <v/>
      </c>
      <c r="K913" s="138" t="str">
        <f>IF(COUNTA(B913:F913)=0,"",IF(OR(B913="",C913="",D913="",F913=""),"▲ Completar","✔"))</f>
        <v/>
      </c>
    </row>
    <row r="914">
      <c r="B914" s="130" t="n"/>
      <c r="C914" s="129" t="n"/>
      <c r="D914" s="129" t="n"/>
      <c r="E914" s="129" t="n"/>
      <c r="F914" s="145" t="n"/>
      <c r="G914" s="129" t="n"/>
      <c r="H914" s="129" t="n"/>
      <c r="I914" s="129" t="n"/>
      <c r="J914" s="138" t="str">
        <f>IF(C914&lt;&gt;"Despesa","",IFERROR(INDEX('Config'!$J$6:$J$40,MATCH(D914,'Config'!$I$6:$I$40,0)),"—"))</f>
        <v/>
      </c>
      <c r="K914" s="138" t="str">
        <f>IF(COUNTA(B914:F914)=0,"",IF(OR(B914="",C914="",D914="",F914=""),"▲ Completar","✔"))</f>
        <v/>
      </c>
    </row>
    <row r="915">
      <c r="B915" s="130" t="n"/>
      <c r="C915" s="129" t="n"/>
      <c r="D915" s="129" t="n"/>
      <c r="E915" s="129" t="n"/>
      <c r="F915" s="145" t="n"/>
      <c r="G915" s="129" t="n"/>
      <c r="H915" s="129" t="n"/>
      <c r="I915" s="129" t="n"/>
      <c r="J915" s="138" t="str">
        <f>IF(C915&lt;&gt;"Despesa","",IFERROR(INDEX('Config'!$J$6:$J$40,MATCH(D915,'Config'!$I$6:$I$40,0)),"—"))</f>
        <v/>
      </c>
      <c r="K915" s="138" t="str">
        <f>IF(COUNTA(B915:F915)=0,"",IF(OR(B915="",C915="",D915="",F915=""),"▲ Completar","✔"))</f>
        <v/>
      </c>
    </row>
    <row r="916">
      <c r="B916" s="130" t="n"/>
      <c r="C916" s="129" t="n"/>
      <c r="D916" s="129" t="n"/>
      <c r="E916" s="129" t="n"/>
      <c r="F916" s="145" t="n"/>
      <c r="G916" s="129" t="n"/>
      <c r="H916" s="129" t="n"/>
      <c r="I916" s="129" t="n"/>
      <c r="J916" s="138" t="str">
        <f>IF(C916&lt;&gt;"Despesa","",IFERROR(INDEX('Config'!$J$6:$J$40,MATCH(D916,'Config'!$I$6:$I$40,0)),"—"))</f>
        <v/>
      </c>
      <c r="K916" s="138" t="str">
        <f>IF(COUNTA(B916:F916)=0,"",IF(OR(B916="",C916="",D916="",F916=""),"▲ Completar","✔"))</f>
        <v/>
      </c>
    </row>
    <row r="917">
      <c r="B917" s="130" t="n"/>
      <c r="C917" s="129" t="n"/>
      <c r="D917" s="129" t="n"/>
      <c r="E917" s="129" t="n"/>
      <c r="F917" s="145" t="n"/>
      <c r="G917" s="129" t="n"/>
      <c r="H917" s="129" t="n"/>
      <c r="I917" s="129" t="n"/>
      <c r="J917" s="138" t="str">
        <f>IF(C917&lt;&gt;"Despesa","",IFERROR(INDEX('Config'!$J$6:$J$40,MATCH(D917,'Config'!$I$6:$I$40,0)),"—"))</f>
        <v/>
      </c>
      <c r="K917" s="138" t="str">
        <f>IF(COUNTA(B917:F917)=0,"",IF(OR(B917="",C917="",D917="",F917=""),"▲ Completar","✔"))</f>
        <v/>
      </c>
    </row>
    <row r="918">
      <c r="B918" s="130" t="n"/>
      <c r="C918" s="129" t="n"/>
      <c r="D918" s="129" t="n"/>
      <c r="E918" s="129" t="n"/>
      <c r="F918" s="145" t="n"/>
      <c r="G918" s="129" t="n"/>
      <c r="H918" s="129" t="n"/>
      <c r="I918" s="129" t="n"/>
      <c r="J918" s="138" t="str">
        <f>IF(C918&lt;&gt;"Despesa","",IFERROR(INDEX('Config'!$J$6:$J$40,MATCH(D918,'Config'!$I$6:$I$40,0)),"—"))</f>
        <v/>
      </c>
      <c r="K918" s="138" t="str">
        <f>IF(COUNTA(B918:F918)=0,"",IF(OR(B918="",C918="",D918="",F918=""),"▲ Completar","✔"))</f>
        <v/>
      </c>
    </row>
    <row r="919">
      <c r="B919" s="130" t="n"/>
      <c r="C919" s="129" t="n"/>
      <c r="D919" s="129" t="n"/>
      <c r="E919" s="129" t="n"/>
      <c r="F919" s="145" t="n"/>
      <c r="G919" s="129" t="n"/>
      <c r="H919" s="129" t="n"/>
      <c r="I919" s="129" t="n"/>
      <c r="J919" s="138" t="str">
        <f>IF(C919&lt;&gt;"Despesa","",IFERROR(INDEX('Config'!$J$6:$J$40,MATCH(D919,'Config'!$I$6:$I$40,0)),"—"))</f>
        <v/>
      </c>
      <c r="K919" s="138" t="str">
        <f>IF(COUNTA(B919:F919)=0,"",IF(OR(B919="",C919="",D919="",F919=""),"▲ Completar","✔"))</f>
        <v/>
      </c>
    </row>
    <row r="920">
      <c r="B920" s="130" t="n"/>
      <c r="C920" s="129" t="n"/>
      <c r="D920" s="129" t="n"/>
      <c r="E920" s="129" t="n"/>
      <c r="F920" s="145" t="n"/>
      <c r="G920" s="129" t="n"/>
      <c r="H920" s="129" t="n"/>
      <c r="I920" s="129" t="n"/>
      <c r="J920" s="138" t="str">
        <f>IF(C920&lt;&gt;"Despesa","",IFERROR(INDEX('Config'!$J$6:$J$40,MATCH(D920,'Config'!$I$6:$I$40,0)),"—"))</f>
        <v/>
      </c>
      <c r="K920" s="138" t="str">
        <f>IF(COUNTA(B920:F920)=0,"",IF(OR(B920="",C920="",D920="",F920=""),"▲ Completar","✔"))</f>
        <v/>
      </c>
    </row>
    <row r="921">
      <c r="B921" s="130" t="n"/>
      <c r="C921" s="129" t="n"/>
      <c r="D921" s="129" t="n"/>
      <c r="E921" s="129" t="n"/>
      <c r="F921" s="145" t="n"/>
      <c r="G921" s="129" t="n"/>
      <c r="H921" s="129" t="n"/>
      <c r="I921" s="129" t="n"/>
      <c r="J921" s="138" t="str">
        <f>IF(C921&lt;&gt;"Despesa","",IFERROR(INDEX('Config'!$J$6:$J$40,MATCH(D921,'Config'!$I$6:$I$40,0)),"—"))</f>
        <v/>
      </c>
      <c r="K921" s="138" t="str">
        <f>IF(COUNTA(B921:F921)=0,"",IF(OR(B921="",C921="",D921="",F921=""),"▲ Completar","✔"))</f>
        <v/>
      </c>
    </row>
    <row r="922">
      <c r="B922" s="130" t="n"/>
      <c r="C922" s="129" t="n"/>
      <c r="D922" s="129" t="n"/>
      <c r="E922" s="129" t="n"/>
      <c r="F922" s="145" t="n"/>
      <c r="G922" s="129" t="n"/>
      <c r="H922" s="129" t="n"/>
      <c r="I922" s="129" t="n"/>
      <c r="J922" s="138" t="str">
        <f>IF(C922&lt;&gt;"Despesa","",IFERROR(INDEX('Config'!$J$6:$J$40,MATCH(D922,'Config'!$I$6:$I$40,0)),"—"))</f>
        <v/>
      </c>
      <c r="K922" s="138" t="str">
        <f>IF(COUNTA(B922:F922)=0,"",IF(OR(B922="",C922="",D922="",F922=""),"▲ Completar","✔"))</f>
        <v/>
      </c>
    </row>
    <row r="923">
      <c r="B923" s="130" t="n"/>
      <c r="C923" s="129" t="n"/>
      <c r="D923" s="129" t="n"/>
      <c r="E923" s="129" t="n"/>
      <c r="F923" s="145" t="n"/>
      <c r="G923" s="129" t="n"/>
      <c r="H923" s="129" t="n"/>
      <c r="I923" s="129" t="n"/>
      <c r="J923" s="138" t="str">
        <f>IF(C923&lt;&gt;"Despesa","",IFERROR(INDEX('Config'!$J$6:$J$40,MATCH(D923,'Config'!$I$6:$I$40,0)),"—"))</f>
        <v/>
      </c>
      <c r="K923" s="138" t="str">
        <f>IF(COUNTA(B923:F923)=0,"",IF(OR(B923="",C923="",D923="",F923=""),"▲ Completar","✔"))</f>
        <v/>
      </c>
    </row>
    <row r="924">
      <c r="B924" s="130" t="n"/>
      <c r="C924" s="129" t="n"/>
      <c r="D924" s="129" t="n"/>
      <c r="E924" s="129" t="n"/>
      <c r="F924" s="145" t="n"/>
      <c r="G924" s="129" t="n"/>
      <c r="H924" s="129" t="n"/>
      <c r="I924" s="129" t="n"/>
      <c r="J924" s="138" t="str">
        <f>IF(C924&lt;&gt;"Despesa","",IFERROR(INDEX('Config'!$J$6:$J$40,MATCH(D924,'Config'!$I$6:$I$40,0)),"—"))</f>
        <v/>
      </c>
      <c r="K924" s="138" t="str">
        <f>IF(COUNTA(B924:F924)=0,"",IF(OR(B924="",C924="",D924="",F924=""),"▲ Completar","✔"))</f>
        <v/>
      </c>
    </row>
    <row r="925">
      <c r="B925" s="130" t="n"/>
      <c r="C925" s="129" t="n"/>
      <c r="D925" s="129" t="n"/>
      <c r="E925" s="129" t="n"/>
      <c r="F925" s="145" t="n"/>
      <c r="G925" s="129" t="n"/>
      <c r="H925" s="129" t="n"/>
      <c r="I925" s="129" t="n"/>
      <c r="J925" s="138" t="str">
        <f>IF(C925&lt;&gt;"Despesa","",IFERROR(INDEX('Config'!$J$6:$J$40,MATCH(D925,'Config'!$I$6:$I$40,0)),"—"))</f>
        <v/>
      </c>
      <c r="K925" s="138" t="str">
        <f>IF(COUNTA(B925:F925)=0,"",IF(OR(B925="",C925="",D925="",F925=""),"▲ Completar","✔"))</f>
        <v/>
      </c>
    </row>
    <row r="926">
      <c r="B926" s="130" t="n"/>
      <c r="C926" s="129" t="n"/>
      <c r="D926" s="129" t="n"/>
      <c r="E926" s="129" t="n"/>
      <c r="F926" s="145" t="n"/>
      <c r="G926" s="129" t="n"/>
      <c r="H926" s="129" t="n"/>
      <c r="I926" s="129" t="n"/>
      <c r="J926" s="138" t="str">
        <f>IF(C926&lt;&gt;"Despesa","",IFERROR(INDEX('Config'!$J$6:$J$40,MATCH(D926,'Config'!$I$6:$I$40,0)),"—"))</f>
        <v/>
      </c>
      <c r="K926" s="138" t="str">
        <f>IF(COUNTA(B926:F926)=0,"",IF(OR(B926="",C926="",D926="",F926=""),"▲ Completar","✔"))</f>
        <v/>
      </c>
    </row>
    <row r="927">
      <c r="B927" s="130" t="n"/>
      <c r="C927" s="129" t="n"/>
      <c r="D927" s="129" t="n"/>
      <c r="E927" s="129" t="n"/>
      <c r="F927" s="145" t="n"/>
      <c r="G927" s="129" t="n"/>
      <c r="H927" s="129" t="n"/>
      <c r="I927" s="129" t="n"/>
      <c r="J927" s="138" t="str">
        <f>IF(C927&lt;&gt;"Despesa","",IFERROR(INDEX('Config'!$J$6:$J$40,MATCH(D927,'Config'!$I$6:$I$40,0)),"—"))</f>
        <v/>
      </c>
      <c r="K927" s="138" t="str">
        <f>IF(COUNTA(B927:F927)=0,"",IF(OR(B927="",C927="",D927="",F927=""),"▲ Completar","✔"))</f>
        <v/>
      </c>
    </row>
    <row r="928">
      <c r="B928" s="130" t="n"/>
      <c r="C928" s="129" t="n"/>
      <c r="D928" s="129" t="n"/>
      <c r="E928" s="129" t="n"/>
      <c r="F928" s="145" t="n"/>
      <c r="G928" s="129" t="n"/>
      <c r="H928" s="129" t="n"/>
      <c r="I928" s="129" t="n"/>
      <c r="J928" s="138" t="str">
        <f>IF(C928&lt;&gt;"Despesa","",IFERROR(INDEX('Config'!$J$6:$J$40,MATCH(D928,'Config'!$I$6:$I$40,0)),"—"))</f>
        <v/>
      </c>
      <c r="K928" s="138" t="str">
        <f>IF(COUNTA(B928:F928)=0,"",IF(OR(B928="",C928="",D928="",F928=""),"▲ Completar","✔"))</f>
        <v/>
      </c>
    </row>
    <row r="929">
      <c r="B929" s="130" t="n"/>
      <c r="C929" s="129" t="n"/>
      <c r="D929" s="129" t="n"/>
      <c r="E929" s="129" t="n"/>
      <c r="F929" s="145" t="n"/>
      <c r="G929" s="129" t="n"/>
      <c r="H929" s="129" t="n"/>
      <c r="I929" s="129" t="n"/>
      <c r="J929" s="138" t="str">
        <f>IF(C929&lt;&gt;"Despesa","",IFERROR(INDEX('Config'!$J$6:$J$40,MATCH(D929,'Config'!$I$6:$I$40,0)),"—"))</f>
        <v/>
      </c>
      <c r="K929" s="138" t="str">
        <f>IF(COUNTA(B929:F929)=0,"",IF(OR(B929="",C929="",D929="",F929=""),"▲ Completar","✔"))</f>
        <v/>
      </c>
    </row>
    <row r="930">
      <c r="B930" s="130" t="n"/>
      <c r="C930" s="129" t="n"/>
      <c r="D930" s="129" t="n"/>
      <c r="E930" s="129" t="n"/>
      <c r="F930" s="145" t="n"/>
      <c r="G930" s="129" t="n"/>
      <c r="H930" s="129" t="n"/>
      <c r="I930" s="129" t="n"/>
      <c r="J930" s="138" t="str">
        <f>IF(C930&lt;&gt;"Despesa","",IFERROR(INDEX('Config'!$J$6:$J$40,MATCH(D930,'Config'!$I$6:$I$40,0)),"—"))</f>
        <v/>
      </c>
      <c r="K930" s="138" t="str">
        <f>IF(COUNTA(B930:F930)=0,"",IF(OR(B930="",C930="",D930="",F930=""),"▲ Completar","✔"))</f>
        <v/>
      </c>
    </row>
    <row r="931">
      <c r="B931" s="130" t="n"/>
      <c r="C931" s="129" t="n"/>
      <c r="D931" s="129" t="n"/>
      <c r="E931" s="129" t="n"/>
      <c r="F931" s="145" t="n"/>
      <c r="G931" s="129" t="n"/>
      <c r="H931" s="129" t="n"/>
      <c r="I931" s="129" t="n"/>
      <c r="J931" s="138" t="str">
        <f>IF(C931&lt;&gt;"Despesa","",IFERROR(INDEX('Config'!$J$6:$J$40,MATCH(D931,'Config'!$I$6:$I$40,0)),"—"))</f>
        <v/>
      </c>
      <c r="K931" s="138" t="str">
        <f>IF(COUNTA(B931:F931)=0,"",IF(OR(B931="",C931="",D931="",F931=""),"▲ Completar","✔"))</f>
        <v/>
      </c>
    </row>
    <row r="932">
      <c r="B932" s="130" t="n"/>
      <c r="C932" s="129" t="n"/>
      <c r="D932" s="129" t="n"/>
      <c r="E932" s="129" t="n"/>
      <c r="F932" s="145" t="n"/>
      <c r="G932" s="129" t="n"/>
      <c r="H932" s="129" t="n"/>
      <c r="I932" s="129" t="n"/>
      <c r="J932" s="138" t="str">
        <f>IF(C932&lt;&gt;"Despesa","",IFERROR(INDEX('Config'!$J$6:$J$40,MATCH(D932,'Config'!$I$6:$I$40,0)),"—"))</f>
        <v/>
      </c>
      <c r="K932" s="138" t="str">
        <f>IF(COUNTA(B932:F932)=0,"",IF(OR(B932="",C932="",D932="",F932=""),"▲ Completar","✔"))</f>
        <v/>
      </c>
    </row>
    <row r="933">
      <c r="B933" s="130" t="n"/>
      <c r="C933" s="129" t="n"/>
      <c r="D933" s="129" t="n"/>
      <c r="E933" s="129" t="n"/>
      <c r="F933" s="145" t="n"/>
      <c r="G933" s="129" t="n"/>
      <c r="H933" s="129" t="n"/>
      <c r="I933" s="129" t="n"/>
      <c r="J933" s="138" t="str">
        <f>IF(C933&lt;&gt;"Despesa","",IFERROR(INDEX('Config'!$J$6:$J$40,MATCH(D933,'Config'!$I$6:$I$40,0)),"—"))</f>
        <v/>
      </c>
      <c r="K933" s="138" t="str">
        <f>IF(COUNTA(B933:F933)=0,"",IF(OR(B933="",C933="",D933="",F933=""),"▲ Completar","✔"))</f>
        <v/>
      </c>
    </row>
    <row r="934">
      <c r="B934" s="130" t="n"/>
      <c r="C934" s="129" t="n"/>
      <c r="D934" s="129" t="n"/>
      <c r="E934" s="129" t="n"/>
      <c r="F934" s="145" t="n"/>
      <c r="G934" s="129" t="n"/>
      <c r="H934" s="129" t="n"/>
      <c r="I934" s="129" t="n"/>
      <c r="J934" s="138" t="str">
        <f>IF(C934&lt;&gt;"Despesa","",IFERROR(INDEX('Config'!$J$6:$J$40,MATCH(D934,'Config'!$I$6:$I$40,0)),"—"))</f>
        <v/>
      </c>
      <c r="K934" s="138" t="str">
        <f>IF(COUNTA(B934:F934)=0,"",IF(OR(B934="",C934="",D934="",F934=""),"▲ Completar","✔"))</f>
        <v/>
      </c>
    </row>
    <row r="935">
      <c r="B935" s="130" t="n"/>
      <c r="C935" s="129" t="n"/>
      <c r="D935" s="129" t="n"/>
      <c r="E935" s="129" t="n"/>
      <c r="F935" s="145" t="n"/>
      <c r="G935" s="129" t="n"/>
      <c r="H935" s="129" t="n"/>
      <c r="I935" s="129" t="n"/>
      <c r="J935" s="138" t="str">
        <f>IF(C935&lt;&gt;"Despesa","",IFERROR(INDEX('Config'!$J$6:$J$40,MATCH(D935,'Config'!$I$6:$I$40,0)),"—"))</f>
        <v/>
      </c>
      <c r="K935" s="138" t="str">
        <f>IF(COUNTA(B935:F935)=0,"",IF(OR(B935="",C935="",D935="",F935=""),"▲ Completar","✔"))</f>
        <v/>
      </c>
    </row>
    <row r="936">
      <c r="B936" s="130" t="n"/>
      <c r="C936" s="129" t="n"/>
      <c r="D936" s="129" t="n"/>
      <c r="E936" s="129" t="n"/>
      <c r="F936" s="145" t="n"/>
      <c r="G936" s="129" t="n"/>
      <c r="H936" s="129" t="n"/>
      <c r="I936" s="129" t="n"/>
      <c r="J936" s="138" t="str">
        <f>IF(C936&lt;&gt;"Despesa","",IFERROR(INDEX('Config'!$J$6:$J$40,MATCH(D936,'Config'!$I$6:$I$40,0)),"—"))</f>
        <v/>
      </c>
      <c r="K936" s="138" t="str">
        <f>IF(COUNTA(B936:F936)=0,"",IF(OR(B936="",C936="",D936="",F936=""),"▲ Completar","✔"))</f>
        <v/>
      </c>
    </row>
    <row r="937">
      <c r="B937" s="130" t="n"/>
      <c r="C937" s="129" t="n"/>
      <c r="D937" s="129" t="n"/>
      <c r="E937" s="129" t="n"/>
      <c r="F937" s="145" t="n"/>
      <c r="G937" s="129" t="n"/>
      <c r="H937" s="129" t="n"/>
      <c r="I937" s="129" t="n"/>
      <c r="J937" s="138" t="str">
        <f>IF(C937&lt;&gt;"Despesa","",IFERROR(INDEX('Config'!$J$6:$J$40,MATCH(D937,'Config'!$I$6:$I$40,0)),"—"))</f>
        <v/>
      </c>
      <c r="K937" s="138" t="str">
        <f>IF(COUNTA(B937:F937)=0,"",IF(OR(B937="",C937="",D937="",F937=""),"▲ Completar","✔"))</f>
        <v/>
      </c>
    </row>
    <row r="938">
      <c r="B938" s="130" t="n"/>
      <c r="C938" s="129" t="n"/>
      <c r="D938" s="129" t="n"/>
      <c r="E938" s="129" t="n"/>
      <c r="F938" s="145" t="n"/>
      <c r="G938" s="129" t="n"/>
      <c r="H938" s="129" t="n"/>
      <c r="I938" s="129" t="n"/>
      <c r="J938" s="138" t="str">
        <f>IF(C938&lt;&gt;"Despesa","",IFERROR(INDEX('Config'!$J$6:$J$40,MATCH(D938,'Config'!$I$6:$I$40,0)),"—"))</f>
        <v/>
      </c>
      <c r="K938" s="138" t="str">
        <f>IF(COUNTA(B938:F938)=0,"",IF(OR(B938="",C938="",D938="",F938=""),"▲ Completar","✔"))</f>
        <v/>
      </c>
    </row>
    <row r="939">
      <c r="B939" s="130" t="n"/>
      <c r="C939" s="129" t="n"/>
      <c r="D939" s="129" t="n"/>
      <c r="E939" s="129" t="n"/>
      <c r="F939" s="145" t="n"/>
      <c r="G939" s="129" t="n"/>
      <c r="H939" s="129" t="n"/>
      <c r="I939" s="129" t="n"/>
      <c r="J939" s="138" t="str">
        <f>IF(C939&lt;&gt;"Despesa","",IFERROR(INDEX('Config'!$J$6:$J$40,MATCH(D939,'Config'!$I$6:$I$40,0)),"—"))</f>
        <v/>
      </c>
      <c r="K939" s="138" t="str">
        <f>IF(COUNTA(B939:F939)=0,"",IF(OR(B939="",C939="",D939="",F939=""),"▲ Completar","✔"))</f>
        <v/>
      </c>
    </row>
    <row r="940">
      <c r="B940" s="130" t="n"/>
      <c r="C940" s="129" t="n"/>
      <c r="D940" s="129" t="n"/>
      <c r="E940" s="129" t="n"/>
      <c r="F940" s="145" t="n"/>
      <c r="G940" s="129" t="n"/>
      <c r="H940" s="129" t="n"/>
      <c r="I940" s="129" t="n"/>
      <c r="J940" s="138" t="str">
        <f>IF(C940&lt;&gt;"Despesa","",IFERROR(INDEX('Config'!$J$6:$J$40,MATCH(D940,'Config'!$I$6:$I$40,0)),"—"))</f>
        <v/>
      </c>
      <c r="K940" s="138" t="str">
        <f>IF(COUNTA(B940:F940)=0,"",IF(OR(B940="",C940="",D940="",F940=""),"▲ Completar","✔"))</f>
        <v/>
      </c>
    </row>
    <row r="941">
      <c r="B941" s="130" t="n"/>
      <c r="C941" s="129" t="n"/>
      <c r="D941" s="129" t="n"/>
      <c r="E941" s="129" t="n"/>
      <c r="F941" s="145" t="n"/>
      <c r="G941" s="129" t="n"/>
      <c r="H941" s="129" t="n"/>
      <c r="I941" s="129" t="n"/>
      <c r="J941" s="138" t="str">
        <f>IF(C941&lt;&gt;"Despesa","",IFERROR(INDEX('Config'!$J$6:$J$40,MATCH(D941,'Config'!$I$6:$I$40,0)),"—"))</f>
        <v/>
      </c>
      <c r="K941" s="138" t="str">
        <f>IF(COUNTA(B941:F941)=0,"",IF(OR(B941="",C941="",D941="",F941=""),"▲ Completar","✔"))</f>
        <v/>
      </c>
    </row>
    <row r="942">
      <c r="B942" s="130" t="n"/>
      <c r="C942" s="129" t="n"/>
      <c r="D942" s="129" t="n"/>
      <c r="E942" s="129" t="n"/>
      <c r="F942" s="145" t="n"/>
      <c r="G942" s="129" t="n"/>
      <c r="H942" s="129" t="n"/>
      <c r="I942" s="129" t="n"/>
      <c r="J942" s="138" t="str">
        <f>IF(C942&lt;&gt;"Despesa","",IFERROR(INDEX('Config'!$J$6:$J$40,MATCH(D942,'Config'!$I$6:$I$40,0)),"—"))</f>
        <v/>
      </c>
      <c r="K942" s="138" t="str">
        <f>IF(COUNTA(B942:F942)=0,"",IF(OR(B942="",C942="",D942="",F942=""),"▲ Completar","✔"))</f>
        <v/>
      </c>
    </row>
    <row r="943">
      <c r="B943" s="130" t="n"/>
      <c r="C943" s="129" t="n"/>
      <c r="D943" s="129" t="n"/>
      <c r="E943" s="129" t="n"/>
      <c r="F943" s="145" t="n"/>
      <c r="G943" s="129" t="n"/>
      <c r="H943" s="129" t="n"/>
      <c r="I943" s="129" t="n"/>
      <c r="J943" s="138" t="str">
        <f>IF(C943&lt;&gt;"Despesa","",IFERROR(INDEX('Config'!$J$6:$J$40,MATCH(D943,'Config'!$I$6:$I$40,0)),"—"))</f>
        <v/>
      </c>
      <c r="K943" s="138" t="str">
        <f>IF(COUNTA(B943:F943)=0,"",IF(OR(B943="",C943="",D943="",F943=""),"▲ Completar","✔"))</f>
        <v/>
      </c>
    </row>
    <row r="944">
      <c r="B944" s="130" t="n"/>
      <c r="C944" s="129" t="n"/>
      <c r="D944" s="129" t="n"/>
      <c r="E944" s="129" t="n"/>
      <c r="F944" s="145" t="n"/>
      <c r="G944" s="129" t="n"/>
      <c r="H944" s="129" t="n"/>
      <c r="I944" s="129" t="n"/>
      <c r="J944" s="138" t="str">
        <f>IF(C944&lt;&gt;"Despesa","",IFERROR(INDEX('Config'!$J$6:$J$40,MATCH(D944,'Config'!$I$6:$I$40,0)),"—"))</f>
        <v/>
      </c>
      <c r="K944" s="138" t="str">
        <f>IF(COUNTA(B944:F944)=0,"",IF(OR(B944="",C944="",D944="",F944=""),"▲ Completar","✔"))</f>
        <v/>
      </c>
    </row>
    <row r="945">
      <c r="B945" s="130" t="n"/>
      <c r="C945" s="129" t="n"/>
      <c r="D945" s="129" t="n"/>
      <c r="E945" s="129" t="n"/>
      <c r="F945" s="145" t="n"/>
      <c r="G945" s="129" t="n"/>
      <c r="H945" s="129" t="n"/>
      <c r="I945" s="129" t="n"/>
      <c r="J945" s="138" t="str">
        <f>IF(C945&lt;&gt;"Despesa","",IFERROR(INDEX('Config'!$J$6:$J$40,MATCH(D945,'Config'!$I$6:$I$40,0)),"—"))</f>
        <v/>
      </c>
      <c r="K945" s="138" t="str">
        <f>IF(COUNTA(B945:F945)=0,"",IF(OR(B945="",C945="",D945="",F945=""),"▲ Completar","✔"))</f>
        <v/>
      </c>
    </row>
    <row r="946">
      <c r="B946" s="130" t="n"/>
      <c r="C946" s="129" t="n"/>
      <c r="D946" s="129" t="n"/>
      <c r="E946" s="129" t="n"/>
      <c r="F946" s="145" t="n"/>
      <c r="G946" s="129" t="n"/>
      <c r="H946" s="129" t="n"/>
      <c r="I946" s="129" t="n"/>
      <c r="J946" s="138" t="str">
        <f>IF(C946&lt;&gt;"Despesa","",IFERROR(INDEX('Config'!$J$6:$J$40,MATCH(D946,'Config'!$I$6:$I$40,0)),"—"))</f>
        <v/>
      </c>
      <c r="K946" s="138" t="str">
        <f>IF(COUNTA(B946:F946)=0,"",IF(OR(B946="",C946="",D946="",F946=""),"▲ Completar","✔"))</f>
        <v/>
      </c>
    </row>
    <row r="947">
      <c r="B947" s="130" t="n"/>
      <c r="C947" s="129" t="n"/>
      <c r="D947" s="129" t="n"/>
      <c r="E947" s="129" t="n"/>
      <c r="F947" s="145" t="n"/>
      <c r="G947" s="129" t="n"/>
      <c r="H947" s="129" t="n"/>
      <c r="I947" s="129" t="n"/>
      <c r="J947" s="138" t="str">
        <f>IF(C947&lt;&gt;"Despesa","",IFERROR(INDEX('Config'!$J$6:$J$40,MATCH(D947,'Config'!$I$6:$I$40,0)),"—"))</f>
        <v/>
      </c>
      <c r="K947" s="138" t="str">
        <f>IF(COUNTA(B947:F947)=0,"",IF(OR(B947="",C947="",D947="",F947=""),"▲ Completar","✔"))</f>
        <v/>
      </c>
    </row>
    <row r="948">
      <c r="B948" s="130" t="n"/>
      <c r="C948" s="129" t="n"/>
      <c r="D948" s="129" t="n"/>
      <c r="E948" s="129" t="n"/>
      <c r="F948" s="145" t="n"/>
      <c r="G948" s="129" t="n"/>
      <c r="H948" s="129" t="n"/>
      <c r="I948" s="129" t="n"/>
      <c r="J948" s="138" t="str">
        <f>IF(C948&lt;&gt;"Despesa","",IFERROR(INDEX('Config'!$J$6:$J$40,MATCH(D948,'Config'!$I$6:$I$40,0)),"—"))</f>
        <v/>
      </c>
      <c r="K948" s="138" t="str">
        <f>IF(COUNTA(B948:F948)=0,"",IF(OR(B948="",C948="",D948="",F948=""),"▲ Completar","✔"))</f>
        <v/>
      </c>
    </row>
    <row r="949">
      <c r="B949" s="130" t="n"/>
      <c r="C949" s="129" t="n"/>
      <c r="D949" s="129" t="n"/>
      <c r="E949" s="129" t="n"/>
      <c r="F949" s="145" t="n"/>
      <c r="G949" s="129" t="n"/>
      <c r="H949" s="129" t="n"/>
      <c r="I949" s="129" t="n"/>
      <c r="J949" s="138" t="str">
        <f>IF(C949&lt;&gt;"Despesa","",IFERROR(INDEX('Config'!$J$6:$J$40,MATCH(D949,'Config'!$I$6:$I$40,0)),"—"))</f>
        <v/>
      </c>
      <c r="K949" s="138" t="str">
        <f>IF(COUNTA(B949:F949)=0,"",IF(OR(B949="",C949="",D949="",F949=""),"▲ Completar","✔"))</f>
        <v/>
      </c>
    </row>
    <row r="950">
      <c r="B950" s="130" t="n"/>
      <c r="C950" s="129" t="n"/>
      <c r="D950" s="129" t="n"/>
      <c r="E950" s="129" t="n"/>
      <c r="F950" s="145" t="n"/>
      <c r="G950" s="129" t="n"/>
      <c r="H950" s="129" t="n"/>
      <c r="I950" s="129" t="n"/>
      <c r="J950" s="138" t="str">
        <f>IF(C950&lt;&gt;"Despesa","",IFERROR(INDEX('Config'!$J$6:$J$40,MATCH(D950,'Config'!$I$6:$I$40,0)),"—"))</f>
        <v/>
      </c>
      <c r="K950" s="138" t="str">
        <f>IF(COUNTA(B950:F950)=0,"",IF(OR(B950="",C950="",D950="",F950=""),"▲ Completar","✔"))</f>
        <v/>
      </c>
    </row>
    <row r="951">
      <c r="B951" s="130" t="n"/>
      <c r="C951" s="129" t="n"/>
      <c r="D951" s="129" t="n"/>
      <c r="E951" s="129" t="n"/>
      <c r="F951" s="145" t="n"/>
      <c r="G951" s="129" t="n"/>
      <c r="H951" s="129" t="n"/>
      <c r="I951" s="129" t="n"/>
      <c r="J951" s="138" t="str">
        <f>IF(C951&lt;&gt;"Despesa","",IFERROR(INDEX('Config'!$J$6:$J$40,MATCH(D951,'Config'!$I$6:$I$40,0)),"—"))</f>
        <v/>
      </c>
      <c r="K951" s="138" t="str">
        <f>IF(COUNTA(B951:F951)=0,"",IF(OR(B951="",C951="",D951="",F951=""),"▲ Completar","✔"))</f>
        <v/>
      </c>
    </row>
    <row r="952">
      <c r="B952" s="130" t="n"/>
      <c r="C952" s="129" t="n"/>
      <c r="D952" s="129" t="n"/>
      <c r="E952" s="129" t="n"/>
      <c r="F952" s="145" t="n"/>
      <c r="G952" s="129" t="n"/>
      <c r="H952" s="129" t="n"/>
      <c r="I952" s="129" t="n"/>
      <c r="J952" s="138" t="str">
        <f>IF(C952&lt;&gt;"Despesa","",IFERROR(INDEX('Config'!$J$6:$J$40,MATCH(D952,'Config'!$I$6:$I$40,0)),"—"))</f>
        <v/>
      </c>
      <c r="K952" s="138" t="str">
        <f>IF(COUNTA(B952:F952)=0,"",IF(OR(B952="",C952="",D952="",F952=""),"▲ Completar","✔"))</f>
        <v/>
      </c>
    </row>
    <row r="953">
      <c r="B953" s="130" t="n"/>
      <c r="C953" s="129" t="n"/>
      <c r="D953" s="129" t="n"/>
      <c r="E953" s="129" t="n"/>
      <c r="F953" s="145" t="n"/>
      <c r="G953" s="129" t="n"/>
      <c r="H953" s="129" t="n"/>
      <c r="I953" s="129" t="n"/>
      <c r="J953" s="138" t="str">
        <f>IF(C953&lt;&gt;"Despesa","",IFERROR(INDEX('Config'!$J$6:$J$40,MATCH(D953,'Config'!$I$6:$I$40,0)),"—"))</f>
        <v/>
      </c>
      <c r="K953" s="138" t="str">
        <f>IF(COUNTA(B953:F953)=0,"",IF(OR(B953="",C953="",D953="",F953=""),"▲ Completar","✔"))</f>
        <v/>
      </c>
    </row>
    <row r="954">
      <c r="B954" s="130" t="n"/>
      <c r="C954" s="129" t="n"/>
      <c r="D954" s="129" t="n"/>
      <c r="E954" s="129" t="n"/>
      <c r="F954" s="145" t="n"/>
      <c r="G954" s="129" t="n"/>
      <c r="H954" s="129" t="n"/>
      <c r="I954" s="129" t="n"/>
      <c r="J954" s="138" t="str">
        <f>IF(C954&lt;&gt;"Despesa","",IFERROR(INDEX('Config'!$J$6:$J$40,MATCH(D954,'Config'!$I$6:$I$40,0)),"—"))</f>
        <v/>
      </c>
      <c r="K954" s="138" t="str">
        <f>IF(COUNTA(B954:F954)=0,"",IF(OR(B954="",C954="",D954="",F954=""),"▲ Completar","✔"))</f>
        <v/>
      </c>
    </row>
    <row r="955">
      <c r="B955" s="130" t="n"/>
      <c r="C955" s="129" t="n"/>
      <c r="D955" s="129" t="n"/>
      <c r="E955" s="129" t="n"/>
      <c r="F955" s="145" t="n"/>
      <c r="G955" s="129" t="n"/>
      <c r="H955" s="129" t="n"/>
      <c r="I955" s="129" t="n"/>
      <c r="J955" s="138" t="str">
        <f>IF(C955&lt;&gt;"Despesa","",IFERROR(INDEX('Config'!$J$6:$J$40,MATCH(D955,'Config'!$I$6:$I$40,0)),"—"))</f>
        <v/>
      </c>
      <c r="K955" s="138" t="str">
        <f>IF(COUNTA(B955:F955)=0,"",IF(OR(B955="",C955="",D955="",F955=""),"▲ Completar","✔"))</f>
        <v/>
      </c>
    </row>
    <row r="956">
      <c r="B956" s="130" t="n"/>
      <c r="C956" s="129" t="n"/>
      <c r="D956" s="129" t="n"/>
      <c r="E956" s="129" t="n"/>
      <c r="F956" s="145" t="n"/>
      <c r="G956" s="129" t="n"/>
      <c r="H956" s="129" t="n"/>
      <c r="I956" s="129" t="n"/>
      <c r="J956" s="138" t="str">
        <f>IF(C956&lt;&gt;"Despesa","",IFERROR(INDEX('Config'!$J$6:$J$40,MATCH(D956,'Config'!$I$6:$I$40,0)),"—"))</f>
        <v/>
      </c>
      <c r="K956" s="138" t="str">
        <f>IF(COUNTA(B956:F956)=0,"",IF(OR(B956="",C956="",D956="",F956=""),"▲ Completar","✔"))</f>
        <v/>
      </c>
    </row>
    <row r="957">
      <c r="B957" s="130" t="n"/>
      <c r="C957" s="129" t="n"/>
      <c r="D957" s="129" t="n"/>
      <c r="E957" s="129" t="n"/>
      <c r="F957" s="145" t="n"/>
      <c r="G957" s="129" t="n"/>
      <c r="H957" s="129" t="n"/>
      <c r="I957" s="129" t="n"/>
      <c r="J957" s="138" t="str">
        <f>IF(C957&lt;&gt;"Despesa","",IFERROR(INDEX('Config'!$J$6:$J$40,MATCH(D957,'Config'!$I$6:$I$40,0)),"—"))</f>
        <v/>
      </c>
      <c r="K957" s="138" t="str">
        <f>IF(COUNTA(B957:F957)=0,"",IF(OR(B957="",C957="",D957="",F957=""),"▲ Completar","✔"))</f>
        <v/>
      </c>
    </row>
    <row r="958">
      <c r="B958" s="130" t="n"/>
      <c r="C958" s="129" t="n"/>
      <c r="D958" s="129" t="n"/>
      <c r="E958" s="129" t="n"/>
      <c r="F958" s="145" t="n"/>
      <c r="G958" s="129" t="n"/>
      <c r="H958" s="129" t="n"/>
      <c r="I958" s="129" t="n"/>
      <c r="J958" s="138" t="str">
        <f>IF(C958&lt;&gt;"Despesa","",IFERROR(INDEX('Config'!$J$6:$J$40,MATCH(D958,'Config'!$I$6:$I$40,0)),"—"))</f>
        <v/>
      </c>
      <c r="K958" s="138" t="str">
        <f>IF(COUNTA(B958:F958)=0,"",IF(OR(B958="",C958="",D958="",F958=""),"▲ Completar","✔"))</f>
        <v/>
      </c>
    </row>
    <row r="959">
      <c r="B959" s="130" t="n"/>
      <c r="C959" s="129" t="n"/>
      <c r="D959" s="129" t="n"/>
      <c r="E959" s="129" t="n"/>
      <c r="F959" s="145" t="n"/>
      <c r="G959" s="129" t="n"/>
      <c r="H959" s="129" t="n"/>
      <c r="I959" s="129" t="n"/>
      <c r="J959" s="138" t="str">
        <f>IF(C959&lt;&gt;"Despesa","",IFERROR(INDEX('Config'!$J$6:$J$40,MATCH(D959,'Config'!$I$6:$I$40,0)),"—"))</f>
        <v/>
      </c>
      <c r="K959" s="138" t="str">
        <f>IF(COUNTA(B959:F959)=0,"",IF(OR(B959="",C959="",D959="",F959=""),"▲ Completar","✔"))</f>
        <v/>
      </c>
    </row>
    <row r="960">
      <c r="B960" s="130" t="n"/>
      <c r="C960" s="129" t="n"/>
      <c r="D960" s="129" t="n"/>
      <c r="E960" s="129" t="n"/>
      <c r="F960" s="145" t="n"/>
      <c r="G960" s="129" t="n"/>
      <c r="H960" s="129" t="n"/>
      <c r="I960" s="129" t="n"/>
      <c r="J960" s="138" t="str">
        <f>IF(C960&lt;&gt;"Despesa","",IFERROR(INDEX('Config'!$J$6:$J$40,MATCH(D960,'Config'!$I$6:$I$40,0)),"—"))</f>
        <v/>
      </c>
      <c r="K960" s="138" t="str">
        <f>IF(COUNTA(B960:F960)=0,"",IF(OR(B960="",C960="",D960="",F960=""),"▲ Completar","✔"))</f>
        <v/>
      </c>
    </row>
    <row r="961">
      <c r="B961" s="130" t="n"/>
      <c r="C961" s="129" t="n"/>
      <c r="D961" s="129" t="n"/>
      <c r="E961" s="129" t="n"/>
      <c r="F961" s="145" t="n"/>
      <c r="G961" s="129" t="n"/>
      <c r="H961" s="129" t="n"/>
      <c r="I961" s="129" t="n"/>
      <c r="J961" s="138" t="str">
        <f>IF(C961&lt;&gt;"Despesa","",IFERROR(INDEX('Config'!$J$6:$J$40,MATCH(D961,'Config'!$I$6:$I$40,0)),"—"))</f>
        <v/>
      </c>
      <c r="K961" s="138" t="str">
        <f>IF(COUNTA(B961:F961)=0,"",IF(OR(B961="",C961="",D961="",F961=""),"▲ Completar","✔"))</f>
        <v/>
      </c>
    </row>
    <row r="962">
      <c r="B962" s="130" t="n"/>
      <c r="C962" s="129" t="n"/>
      <c r="D962" s="129" t="n"/>
      <c r="E962" s="129" t="n"/>
      <c r="F962" s="145" t="n"/>
      <c r="G962" s="129" t="n"/>
      <c r="H962" s="129" t="n"/>
      <c r="I962" s="129" t="n"/>
      <c r="J962" s="138" t="str">
        <f>IF(C962&lt;&gt;"Despesa","",IFERROR(INDEX('Config'!$J$6:$J$40,MATCH(D962,'Config'!$I$6:$I$40,0)),"—"))</f>
        <v/>
      </c>
      <c r="K962" s="138" t="str">
        <f>IF(COUNTA(B962:F962)=0,"",IF(OR(B962="",C962="",D962="",F962=""),"▲ Completar","✔"))</f>
        <v/>
      </c>
    </row>
    <row r="963">
      <c r="B963" s="130" t="n"/>
      <c r="C963" s="129" t="n"/>
      <c r="D963" s="129" t="n"/>
      <c r="E963" s="129" t="n"/>
      <c r="F963" s="145" t="n"/>
      <c r="G963" s="129" t="n"/>
      <c r="H963" s="129" t="n"/>
      <c r="I963" s="129" t="n"/>
      <c r="J963" s="138" t="str">
        <f>IF(C963&lt;&gt;"Despesa","",IFERROR(INDEX('Config'!$J$6:$J$40,MATCH(D963,'Config'!$I$6:$I$40,0)),"—"))</f>
        <v/>
      </c>
      <c r="K963" s="138" t="str">
        <f>IF(COUNTA(B963:F963)=0,"",IF(OR(B963="",C963="",D963="",F963=""),"▲ Completar","✔"))</f>
        <v/>
      </c>
    </row>
    <row r="964">
      <c r="B964" s="130" t="n"/>
      <c r="C964" s="129" t="n"/>
      <c r="D964" s="129" t="n"/>
      <c r="E964" s="129" t="n"/>
      <c r="F964" s="145" t="n"/>
      <c r="G964" s="129" t="n"/>
      <c r="H964" s="129" t="n"/>
      <c r="I964" s="129" t="n"/>
      <c r="J964" s="138" t="str">
        <f>IF(C964&lt;&gt;"Despesa","",IFERROR(INDEX('Config'!$J$6:$J$40,MATCH(D964,'Config'!$I$6:$I$40,0)),"—"))</f>
        <v/>
      </c>
      <c r="K964" s="138" t="str">
        <f>IF(COUNTA(B964:F964)=0,"",IF(OR(B964="",C964="",D964="",F964=""),"▲ Completar","✔"))</f>
        <v/>
      </c>
    </row>
    <row r="965">
      <c r="B965" s="130" t="n"/>
      <c r="C965" s="129" t="n"/>
      <c r="D965" s="129" t="n"/>
      <c r="E965" s="129" t="n"/>
      <c r="F965" s="145" t="n"/>
      <c r="G965" s="129" t="n"/>
      <c r="H965" s="129" t="n"/>
      <c r="I965" s="129" t="n"/>
      <c r="J965" s="138" t="str">
        <f>IF(C965&lt;&gt;"Despesa","",IFERROR(INDEX('Config'!$J$6:$J$40,MATCH(D965,'Config'!$I$6:$I$40,0)),"—"))</f>
        <v/>
      </c>
      <c r="K965" s="138" t="str">
        <f>IF(COUNTA(B965:F965)=0,"",IF(OR(B965="",C965="",D965="",F965=""),"▲ Completar","✔"))</f>
        <v/>
      </c>
    </row>
    <row r="966">
      <c r="B966" s="130" t="n"/>
      <c r="C966" s="129" t="n"/>
      <c r="D966" s="129" t="n"/>
      <c r="E966" s="129" t="n"/>
      <c r="F966" s="145" t="n"/>
      <c r="G966" s="129" t="n"/>
      <c r="H966" s="129" t="n"/>
      <c r="I966" s="129" t="n"/>
      <c r="J966" s="138" t="str">
        <f>IF(C966&lt;&gt;"Despesa","",IFERROR(INDEX('Config'!$J$6:$J$40,MATCH(D966,'Config'!$I$6:$I$40,0)),"—"))</f>
        <v/>
      </c>
      <c r="K966" s="138" t="str">
        <f>IF(COUNTA(B966:F966)=0,"",IF(OR(B966="",C966="",D966="",F966=""),"▲ Completar","✔"))</f>
        <v/>
      </c>
    </row>
    <row r="967">
      <c r="B967" s="130" t="n"/>
      <c r="C967" s="129" t="n"/>
      <c r="D967" s="129" t="n"/>
      <c r="E967" s="129" t="n"/>
      <c r="F967" s="145" t="n"/>
      <c r="G967" s="129" t="n"/>
      <c r="H967" s="129" t="n"/>
      <c r="I967" s="129" t="n"/>
      <c r="J967" s="138" t="str">
        <f>IF(C967&lt;&gt;"Despesa","",IFERROR(INDEX('Config'!$J$6:$J$40,MATCH(D967,'Config'!$I$6:$I$40,0)),"—"))</f>
        <v/>
      </c>
      <c r="K967" s="138" t="str">
        <f>IF(COUNTA(B967:F967)=0,"",IF(OR(B967="",C967="",D967="",F967=""),"▲ Completar","✔"))</f>
        <v/>
      </c>
    </row>
    <row r="968">
      <c r="B968" s="130" t="n"/>
      <c r="C968" s="129" t="n"/>
      <c r="D968" s="129" t="n"/>
      <c r="E968" s="129" t="n"/>
      <c r="F968" s="145" t="n"/>
      <c r="G968" s="129" t="n"/>
      <c r="H968" s="129" t="n"/>
      <c r="I968" s="129" t="n"/>
      <c r="J968" s="138" t="str">
        <f>IF(C968&lt;&gt;"Despesa","",IFERROR(INDEX('Config'!$J$6:$J$40,MATCH(D968,'Config'!$I$6:$I$40,0)),"—"))</f>
        <v/>
      </c>
      <c r="K968" s="138" t="str">
        <f>IF(COUNTA(B968:F968)=0,"",IF(OR(B968="",C968="",D968="",F968=""),"▲ Completar","✔"))</f>
        <v/>
      </c>
    </row>
    <row r="969">
      <c r="B969" s="130" t="n"/>
      <c r="C969" s="129" t="n"/>
      <c r="D969" s="129" t="n"/>
      <c r="E969" s="129" t="n"/>
      <c r="F969" s="145" t="n"/>
      <c r="G969" s="129" t="n"/>
      <c r="H969" s="129" t="n"/>
      <c r="I969" s="129" t="n"/>
      <c r="J969" s="138" t="str">
        <f>IF(C969&lt;&gt;"Despesa","",IFERROR(INDEX('Config'!$J$6:$J$40,MATCH(D969,'Config'!$I$6:$I$40,0)),"—"))</f>
        <v/>
      </c>
      <c r="K969" s="138" t="str">
        <f>IF(COUNTA(B969:F969)=0,"",IF(OR(B969="",C969="",D969="",F969=""),"▲ Completar","✔"))</f>
        <v/>
      </c>
    </row>
    <row r="970">
      <c r="B970" s="130" t="n"/>
      <c r="C970" s="129" t="n"/>
      <c r="D970" s="129" t="n"/>
      <c r="E970" s="129" t="n"/>
      <c r="F970" s="145" t="n"/>
      <c r="G970" s="129" t="n"/>
      <c r="H970" s="129" t="n"/>
      <c r="I970" s="129" t="n"/>
      <c r="J970" s="138" t="str">
        <f>IF(C970&lt;&gt;"Despesa","",IFERROR(INDEX('Config'!$J$6:$J$40,MATCH(D970,'Config'!$I$6:$I$40,0)),"—"))</f>
        <v/>
      </c>
      <c r="K970" s="138" t="str">
        <f>IF(COUNTA(B970:F970)=0,"",IF(OR(B970="",C970="",D970="",F970=""),"▲ Completar","✔"))</f>
        <v/>
      </c>
    </row>
    <row r="971">
      <c r="B971" s="130" t="n"/>
      <c r="C971" s="129" t="n"/>
      <c r="D971" s="129" t="n"/>
      <c r="E971" s="129" t="n"/>
      <c r="F971" s="145" t="n"/>
      <c r="G971" s="129" t="n"/>
      <c r="H971" s="129" t="n"/>
      <c r="I971" s="129" t="n"/>
      <c r="J971" s="138" t="str">
        <f>IF(C971&lt;&gt;"Despesa","",IFERROR(INDEX('Config'!$J$6:$J$40,MATCH(D971,'Config'!$I$6:$I$40,0)),"—"))</f>
        <v/>
      </c>
      <c r="K971" s="138" t="str">
        <f>IF(COUNTA(B971:F971)=0,"",IF(OR(B971="",C971="",D971="",F971=""),"▲ Completar","✔"))</f>
        <v/>
      </c>
    </row>
    <row r="972">
      <c r="B972" s="130" t="n"/>
      <c r="C972" s="129" t="n"/>
      <c r="D972" s="129" t="n"/>
      <c r="E972" s="129" t="n"/>
      <c r="F972" s="145" t="n"/>
      <c r="G972" s="129" t="n"/>
      <c r="H972" s="129" t="n"/>
      <c r="I972" s="129" t="n"/>
      <c r="J972" s="138" t="str">
        <f>IF(C972&lt;&gt;"Despesa","",IFERROR(INDEX('Config'!$J$6:$J$40,MATCH(D972,'Config'!$I$6:$I$40,0)),"—"))</f>
        <v/>
      </c>
      <c r="K972" s="138" t="str">
        <f>IF(COUNTA(B972:F972)=0,"",IF(OR(B972="",C972="",D972="",F972=""),"▲ Completar","✔"))</f>
        <v/>
      </c>
    </row>
    <row r="973">
      <c r="B973" s="130" t="n"/>
      <c r="C973" s="129" t="n"/>
      <c r="D973" s="129" t="n"/>
      <c r="E973" s="129" t="n"/>
      <c r="F973" s="145" t="n"/>
      <c r="G973" s="129" t="n"/>
      <c r="H973" s="129" t="n"/>
      <c r="I973" s="129" t="n"/>
      <c r="J973" s="138" t="str">
        <f>IF(C973&lt;&gt;"Despesa","",IFERROR(INDEX('Config'!$J$6:$J$40,MATCH(D973,'Config'!$I$6:$I$40,0)),"—"))</f>
        <v/>
      </c>
      <c r="K973" s="138" t="str">
        <f>IF(COUNTA(B973:F973)=0,"",IF(OR(B973="",C973="",D973="",F973=""),"▲ Completar","✔"))</f>
        <v/>
      </c>
    </row>
    <row r="974">
      <c r="B974" s="130" t="n"/>
      <c r="C974" s="129" t="n"/>
      <c r="D974" s="129" t="n"/>
      <c r="E974" s="129" t="n"/>
      <c r="F974" s="145" t="n"/>
      <c r="G974" s="129" t="n"/>
      <c r="H974" s="129" t="n"/>
      <c r="I974" s="129" t="n"/>
      <c r="J974" s="138" t="str">
        <f>IF(C974&lt;&gt;"Despesa","",IFERROR(INDEX('Config'!$J$6:$J$40,MATCH(D974,'Config'!$I$6:$I$40,0)),"—"))</f>
        <v/>
      </c>
      <c r="K974" s="138" t="str">
        <f>IF(COUNTA(B974:F974)=0,"",IF(OR(B974="",C974="",D974="",F974=""),"▲ Completar","✔"))</f>
        <v/>
      </c>
    </row>
    <row r="975">
      <c r="B975" s="130" t="n"/>
      <c r="C975" s="129" t="n"/>
      <c r="D975" s="129" t="n"/>
      <c r="E975" s="129" t="n"/>
      <c r="F975" s="145" t="n"/>
      <c r="G975" s="129" t="n"/>
      <c r="H975" s="129" t="n"/>
      <c r="I975" s="129" t="n"/>
      <c r="J975" s="138" t="str">
        <f>IF(C975&lt;&gt;"Despesa","",IFERROR(INDEX('Config'!$J$6:$J$40,MATCH(D975,'Config'!$I$6:$I$40,0)),"—"))</f>
        <v/>
      </c>
      <c r="K975" s="138" t="str">
        <f>IF(COUNTA(B975:F975)=0,"",IF(OR(B975="",C975="",D975="",F975=""),"▲ Completar","✔"))</f>
        <v/>
      </c>
    </row>
    <row r="976">
      <c r="B976" s="130" t="n"/>
      <c r="C976" s="129" t="n"/>
      <c r="D976" s="129" t="n"/>
      <c r="E976" s="129" t="n"/>
      <c r="F976" s="145" t="n"/>
      <c r="G976" s="129" t="n"/>
      <c r="H976" s="129" t="n"/>
      <c r="I976" s="129" t="n"/>
      <c r="J976" s="138" t="str">
        <f>IF(C976&lt;&gt;"Despesa","",IFERROR(INDEX('Config'!$J$6:$J$40,MATCH(D976,'Config'!$I$6:$I$40,0)),"—"))</f>
        <v/>
      </c>
      <c r="K976" s="138" t="str">
        <f>IF(COUNTA(B976:F976)=0,"",IF(OR(B976="",C976="",D976="",F976=""),"▲ Completar","✔"))</f>
        <v/>
      </c>
    </row>
    <row r="977">
      <c r="B977" s="130" t="n"/>
      <c r="C977" s="129" t="n"/>
      <c r="D977" s="129" t="n"/>
      <c r="E977" s="129" t="n"/>
      <c r="F977" s="145" t="n"/>
      <c r="G977" s="129" t="n"/>
      <c r="H977" s="129" t="n"/>
      <c r="I977" s="129" t="n"/>
      <c r="J977" s="138" t="str">
        <f>IF(C977&lt;&gt;"Despesa","",IFERROR(INDEX('Config'!$J$6:$J$40,MATCH(D977,'Config'!$I$6:$I$40,0)),"—"))</f>
        <v/>
      </c>
      <c r="K977" s="138" t="str">
        <f>IF(COUNTA(B977:F977)=0,"",IF(OR(B977="",C977="",D977="",F977=""),"▲ Completar","✔"))</f>
        <v/>
      </c>
    </row>
    <row r="978">
      <c r="B978" s="130" t="n"/>
      <c r="C978" s="129" t="n"/>
      <c r="D978" s="129" t="n"/>
      <c r="E978" s="129" t="n"/>
      <c r="F978" s="145" t="n"/>
      <c r="G978" s="129" t="n"/>
      <c r="H978" s="129" t="n"/>
      <c r="I978" s="129" t="n"/>
      <c r="J978" s="138" t="str">
        <f>IF(C978&lt;&gt;"Despesa","",IFERROR(INDEX('Config'!$J$6:$J$40,MATCH(D978,'Config'!$I$6:$I$40,0)),"—"))</f>
        <v/>
      </c>
      <c r="K978" s="138" t="str">
        <f>IF(COUNTA(B978:F978)=0,"",IF(OR(B978="",C978="",D978="",F978=""),"▲ Completar","✔"))</f>
        <v/>
      </c>
    </row>
    <row r="979">
      <c r="B979" s="130" t="n"/>
      <c r="C979" s="129" t="n"/>
      <c r="D979" s="129" t="n"/>
      <c r="E979" s="129" t="n"/>
      <c r="F979" s="145" t="n"/>
      <c r="G979" s="129" t="n"/>
      <c r="H979" s="129" t="n"/>
      <c r="I979" s="129" t="n"/>
      <c r="J979" s="138" t="str">
        <f>IF(C979&lt;&gt;"Despesa","",IFERROR(INDEX('Config'!$J$6:$J$40,MATCH(D979,'Config'!$I$6:$I$40,0)),"—"))</f>
        <v/>
      </c>
      <c r="K979" s="138" t="str">
        <f>IF(COUNTA(B979:F979)=0,"",IF(OR(B979="",C979="",D979="",F979=""),"▲ Completar","✔"))</f>
        <v/>
      </c>
    </row>
    <row r="980">
      <c r="B980" s="130" t="n"/>
      <c r="C980" s="129" t="n"/>
      <c r="D980" s="129" t="n"/>
      <c r="E980" s="129" t="n"/>
      <c r="F980" s="145" t="n"/>
      <c r="G980" s="129" t="n"/>
      <c r="H980" s="129" t="n"/>
      <c r="I980" s="129" t="n"/>
      <c r="J980" s="138" t="str">
        <f>IF(C980&lt;&gt;"Despesa","",IFERROR(INDEX('Config'!$J$6:$J$40,MATCH(D980,'Config'!$I$6:$I$40,0)),"—"))</f>
        <v/>
      </c>
      <c r="K980" s="138" t="str">
        <f>IF(COUNTA(B980:F980)=0,"",IF(OR(B980="",C980="",D980="",F980=""),"▲ Completar","✔"))</f>
        <v/>
      </c>
    </row>
    <row r="981">
      <c r="B981" s="130" t="n"/>
      <c r="C981" s="129" t="n"/>
      <c r="D981" s="129" t="n"/>
      <c r="E981" s="129" t="n"/>
      <c r="F981" s="145" t="n"/>
      <c r="G981" s="129" t="n"/>
      <c r="H981" s="129" t="n"/>
      <c r="I981" s="129" t="n"/>
      <c r="J981" s="138" t="str">
        <f>IF(C981&lt;&gt;"Despesa","",IFERROR(INDEX('Config'!$J$6:$J$40,MATCH(D981,'Config'!$I$6:$I$40,0)),"—"))</f>
        <v/>
      </c>
      <c r="K981" s="138" t="str">
        <f>IF(COUNTA(B981:F981)=0,"",IF(OR(B981="",C981="",D981="",F981=""),"▲ Completar","✔"))</f>
        <v/>
      </c>
    </row>
    <row r="982">
      <c r="B982" s="130" t="n"/>
      <c r="C982" s="129" t="n"/>
      <c r="D982" s="129" t="n"/>
      <c r="E982" s="129" t="n"/>
      <c r="F982" s="145" t="n"/>
      <c r="G982" s="129" t="n"/>
      <c r="H982" s="129" t="n"/>
      <c r="I982" s="129" t="n"/>
      <c r="J982" s="138" t="str">
        <f>IF(C982&lt;&gt;"Despesa","",IFERROR(INDEX('Config'!$J$6:$J$40,MATCH(D982,'Config'!$I$6:$I$40,0)),"—"))</f>
        <v/>
      </c>
      <c r="K982" s="138" t="str">
        <f>IF(COUNTA(B982:F982)=0,"",IF(OR(B982="",C982="",D982="",F982=""),"▲ Completar","✔"))</f>
        <v/>
      </c>
    </row>
    <row r="983">
      <c r="B983" s="130" t="n"/>
      <c r="C983" s="129" t="n"/>
      <c r="D983" s="129" t="n"/>
      <c r="E983" s="129" t="n"/>
      <c r="F983" s="145" t="n"/>
      <c r="G983" s="129" t="n"/>
      <c r="H983" s="129" t="n"/>
      <c r="I983" s="129" t="n"/>
      <c r="J983" s="138" t="str">
        <f>IF(C983&lt;&gt;"Despesa","",IFERROR(INDEX('Config'!$J$6:$J$40,MATCH(D983,'Config'!$I$6:$I$40,0)),"—"))</f>
        <v/>
      </c>
      <c r="K983" s="138" t="str">
        <f>IF(COUNTA(B983:F983)=0,"",IF(OR(B983="",C983="",D983="",F983=""),"▲ Completar","✔"))</f>
        <v/>
      </c>
    </row>
    <row r="984">
      <c r="B984" s="130" t="n"/>
      <c r="C984" s="129" t="n"/>
      <c r="D984" s="129" t="n"/>
      <c r="E984" s="129" t="n"/>
      <c r="F984" s="145" t="n"/>
      <c r="G984" s="129" t="n"/>
      <c r="H984" s="129" t="n"/>
      <c r="I984" s="129" t="n"/>
      <c r="J984" s="138" t="str">
        <f>IF(C984&lt;&gt;"Despesa","",IFERROR(INDEX('Config'!$J$6:$J$40,MATCH(D984,'Config'!$I$6:$I$40,0)),"—"))</f>
        <v/>
      </c>
      <c r="K984" s="138" t="str">
        <f>IF(COUNTA(B984:F984)=0,"",IF(OR(B984="",C984="",D984="",F984=""),"▲ Completar","✔"))</f>
        <v/>
      </c>
    </row>
    <row r="985">
      <c r="B985" s="130" t="n"/>
      <c r="C985" s="129" t="n"/>
      <c r="D985" s="129" t="n"/>
      <c r="E985" s="129" t="n"/>
      <c r="F985" s="145" t="n"/>
      <c r="G985" s="129" t="n"/>
      <c r="H985" s="129" t="n"/>
      <c r="I985" s="129" t="n"/>
      <c r="J985" s="138" t="str">
        <f>IF(C985&lt;&gt;"Despesa","",IFERROR(INDEX('Config'!$J$6:$J$40,MATCH(D985,'Config'!$I$6:$I$40,0)),"—"))</f>
        <v/>
      </c>
      <c r="K985" s="138" t="str">
        <f>IF(COUNTA(B985:F985)=0,"",IF(OR(B985="",C985="",D985="",F985=""),"▲ Completar","✔"))</f>
        <v/>
      </c>
    </row>
    <row r="986">
      <c r="B986" s="130" t="n"/>
      <c r="C986" s="129" t="n"/>
      <c r="D986" s="129" t="n"/>
      <c r="E986" s="129" t="n"/>
      <c r="F986" s="145" t="n"/>
      <c r="G986" s="129" t="n"/>
      <c r="H986" s="129" t="n"/>
      <c r="I986" s="129" t="n"/>
      <c r="J986" s="138" t="str">
        <f>IF(C986&lt;&gt;"Despesa","",IFERROR(INDEX('Config'!$J$6:$J$40,MATCH(D986,'Config'!$I$6:$I$40,0)),"—"))</f>
        <v/>
      </c>
      <c r="K986" s="138" t="str">
        <f>IF(COUNTA(B986:F986)=0,"",IF(OR(B986="",C986="",D986="",F986=""),"▲ Completar","✔"))</f>
        <v/>
      </c>
    </row>
    <row r="987">
      <c r="B987" s="130" t="n"/>
      <c r="C987" s="129" t="n"/>
      <c r="D987" s="129" t="n"/>
      <c r="E987" s="129" t="n"/>
      <c r="F987" s="145" t="n"/>
      <c r="G987" s="129" t="n"/>
      <c r="H987" s="129" t="n"/>
      <c r="I987" s="129" t="n"/>
      <c r="J987" s="138" t="str">
        <f>IF(C987&lt;&gt;"Despesa","",IFERROR(INDEX('Config'!$J$6:$J$40,MATCH(D987,'Config'!$I$6:$I$40,0)),"—"))</f>
        <v/>
      </c>
      <c r="K987" s="138" t="str">
        <f>IF(COUNTA(B987:F987)=0,"",IF(OR(B987="",C987="",D987="",F987=""),"▲ Completar","✔"))</f>
        <v/>
      </c>
    </row>
    <row r="988">
      <c r="B988" s="130" t="n"/>
      <c r="C988" s="129" t="n"/>
      <c r="D988" s="129" t="n"/>
      <c r="E988" s="129" t="n"/>
      <c r="F988" s="145" t="n"/>
      <c r="G988" s="129" t="n"/>
      <c r="H988" s="129" t="n"/>
      <c r="I988" s="129" t="n"/>
      <c r="J988" s="138" t="str">
        <f>IF(C988&lt;&gt;"Despesa","",IFERROR(INDEX('Config'!$J$6:$J$40,MATCH(D988,'Config'!$I$6:$I$40,0)),"—"))</f>
        <v/>
      </c>
      <c r="K988" s="138" t="str">
        <f>IF(COUNTA(B988:F988)=0,"",IF(OR(B988="",C988="",D988="",F988=""),"▲ Completar","✔"))</f>
        <v/>
      </c>
    </row>
    <row r="989">
      <c r="B989" s="130" t="n"/>
      <c r="C989" s="129" t="n"/>
      <c r="D989" s="129" t="n"/>
      <c r="E989" s="129" t="n"/>
      <c r="F989" s="145" t="n"/>
      <c r="G989" s="129" t="n"/>
      <c r="H989" s="129" t="n"/>
      <c r="I989" s="129" t="n"/>
      <c r="J989" s="138" t="str">
        <f>IF(C989&lt;&gt;"Despesa","",IFERROR(INDEX('Config'!$J$6:$J$40,MATCH(D989,'Config'!$I$6:$I$40,0)),"—"))</f>
        <v/>
      </c>
      <c r="K989" s="138" t="str">
        <f>IF(COUNTA(B989:F989)=0,"",IF(OR(B989="",C989="",D989="",F989=""),"▲ Completar","✔"))</f>
        <v/>
      </c>
    </row>
    <row r="990">
      <c r="B990" s="130" t="n"/>
      <c r="C990" s="129" t="n"/>
      <c r="D990" s="129" t="n"/>
      <c r="E990" s="129" t="n"/>
      <c r="F990" s="145" t="n"/>
      <c r="G990" s="129" t="n"/>
      <c r="H990" s="129" t="n"/>
      <c r="I990" s="129" t="n"/>
      <c r="J990" s="138" t="str">
        <f>IF(C990&lt;&gt;"Despesa","",IFERROR(INDEX('Config'!$J$6:$J$40,MATCH(D990,'Config'!$I$6:$I$40,0)),"—"))</f>
        <v/>
      </c>
      <c r="K990" s="138" t="str">
        <f>IF(COUNTA(B990:F990)=0,"",IF(OR(B990="",C990="",D990="",F990=""),"▲ Completar","✔"))</f>
        <v/>
      </c>
    </row>
    <row r="991">
      <c r="B991" s="130" t="n"/>
      <c r="C991" s="129" t="n"/>
      <c r="D991" s="129" t="n"/>
      <c r="E991" s="129" t="n"/>
      <c r="F991" s="145" t="n"/>
      <c r="G991" s="129" t="n"/>
      <c r="H991" s="129" t="n"/>
      <c r="I991" s="129" t="n"/>
      <c r="J991" s="138" t="str">
        <f>IF(C991&lt;&gt;"Despesa","",IFERROR(INDEX('Config'!$J$6:$J$40,MATCH(D991,'Config'!$I$6:$I$40,0)),"—"))</f>
        <v/>
      </c>
      <c r="K991" s="138" t="str">
        <f>IF(COUNTA(B991:F991)=0,"",IF(OR(B991="",C991="",D991="",F991=""),"▲ Completar","✔"))</f>
        <v/>
      </c>
    </row>
    <row r="992">
      <c r="B992" s="130" t="n"/>
      <c r="C992" s="129" t="n"/>
      <c r="D992" s="129" t="n"/>
      <c r="E992" s="129" t="n"/>
      <c r="F992" s="145" t="n"/>
      <c r="G992" s="129" t="n"/>
      <c r="H992" s="129" t="n"/>
      <c r="I992" s="129" t="n"/>
      <c r="J992" s="138" t="str">
        <f>IF(C992&lt;&gt;"Despesa","",IFERROR(INDEX('Config'!$J$6:$J$40,MATCH(D992,'Config'!$I$6:$I$40,0)),"—"))</f>
        <v/>
      </c>
      <c r="K992" s="138" t="str">
        <f>IF(COUNTA(B992:F992)=0,"",IF(OR(B992="",C992="",D992="",F992=""),"▲ Completar","✔"))</f>
        <v/>
      </c>
    </row>
    <row r="993">
      <c r="B993" s="130" t="n"/>
      <c r="C993" s="129" t="n"/>
      <c r="D993" s="129" t="n"/>
      <c r="E993" s="129" t="n"/>
      <c r="F993" s="145" t="n"/>
      <c r="G993" s="129" t="n"/>
      <c r="H993" s="129" t="n"/>
      <c r="I993" s="129" t="n"/>
      <c r="J993" s="138" t="str">
        <f>IF(C993&lt;&gt;"Despesa","",IFERROR(INDEX('Config'!$J$6:$J$40,MATCH(D993,'Config'!$I$6:$I$40,0)),"—"))</f>
        <v/>
      </c>
      <c r="K993" s="138" t="str">
        <f>IF(COUNTA(B993:F993)=0,"",IF(OR(B993="",C993="",D993="",F993=""),"▲ Completar","✔"))</f>
        <v/>
      </c>
    </row>
    <row r="994">
      <c r="B994" s="130" t="n"/>
      <c r="C994" s="129" t="n"/>
      <c r="D994" s="129" t="n"/>
      <c r="E994" s="129" t="n"/>
      <c r="F994" s="145" t="n"/>
      <c r="G994" s="129" t="n"/>
      <c r="H994" s="129" t="n"/>
      <c r="I994" s="129" t="n"/>
      <c r="J994" s="138" t="str">
        <f>IF(C994&lt;&gt;"Despesa","",IFERROR(INDEX('Config'!$J$6:$J$40,MATCH(D994,'Config'!$I$6:$I$40,0)),"—"))</f>
        <v/>
      </c>
      <c r="K994" s="138" t="str">
        <f>IF(COUNTA(B994:F994)=0,"",IF(OR(B994="",C994="",D994="",F994=""),"▲ Completar","✔"))</f>
        <v/>
      </c>
    </row>
    <row r="995">
      <c r="B995" s="130" t="n"/>
      <c r="C995" s="129" t="n"/>
      <c r="D995" s="129" t="n"/>
      <c r="E995" s="129" t="n"/>
      <c r="F995" s="145" t="n"/>
      <c r="G995" s="129" t="n"/>
      <c r="H995" s="129" t="n"/>
      <c r="I995" s="129" t="n"/>
      <c r="J995" s="138" t="str">
        <f>IF(C995&lt;&gt;"Despesa","",IFERROR(INDEX('Config'!$J$6:$J$40,MATCH(D995,'Config'!$I$6:$I$40,0)),"—"))</f>
        <v/>
      </c>
      <c r="K995" s="138" t="str">
        <f>IF(COUNTA(B995:F995)=0,"",IF(OR(B995="",C995="",D995="",F995=""),"▲ Completar","✔"))</f>
        <v/>
      </c>
    </row>
    <row r="996">
      <c r="B996" s="130" t="n"/>
      <c r="C996" s="129" t="n"/>
      <c r="D996" s="129" t="n"/>
      <c r="E996" s="129" t="n"/>
      <c r="F996" s="145" t="n"/>
      <c r="G996" s="129" t="n"/>
      <c r="H996" s="129" t="n"/>
      <c r="I996" s="129" t="n"/>
      <c r="J996" s="138" t="str">
        <f>IF(C996&lt;&gt;"Despesa","",IFERROR(INDEX('Config'!$J$6:$J$40,MATCH(D996,'Config'!$I$6:$I$40,0)),"—"))</f>
        <v/>
      </c>
      <c r="K996" s="138" t="str">
        <f>IF(COUNTA(B996:F996)=0,"",IF(OR(B996="",C996="",D996="",F996=""),"▲ Completar","✔"))</f>
        <v/>
      </c>
    </row>
    <row r="997">
      <c r="B997" s="130" t="n"/>
      <c r="C997" s="129" t="n"/>
      <c r="D997" s="129" t="n"/>
      <c r="E997" s="129" t="n"/>
      <c r="F997" s="145" t="n"/>
      <c r="G997" s="129" t="n"/>
      <c r="H997" s="129" t="n"/>
      <c r="I997" s="129" t="n"/>
      <c r="J997" s="138" t="str">
        <f>IF(C997&lt;&gt;"Despesa","",IFERROR(INDEX('Config'!$J$6:$J$40,MATCH(D997,'Config'!$I$6:$I$40,0)),"—"))</f>
        <v/>
      </c>
      <c r="K997" s="138" t="str">
        <f>IF(COUNTA(B997:F997)=0,"",IF(OR(B997="",C997="",D997="",F997=""),"▲ Completar","✔"))</f>
        <v/>
      </c>
    </row>
    <row r="998">
      <c r="B998" s="130" t="n"/>
      <c r="C998" s="129" t="n"/>
      <c r="D998" s="129" t="n"/>
      <c r="E998" s="129" t="n"/>
      <c r="F998" s="145" t="n"/>
      <c r="G998" s="129" t="n"/>
      <c r="H998" s="129" t="n"/>
      <c r="I998" s="129" t="n"/>
      <c r="J998" s="138" t="str">
        <f>IF(C998&lt;&gt;"Despesa","",IFERROR(INDEX('Config'!$J$6:$J$40,MATCH(D998,'Config'!$I$6:$I$40,0)),"—"))</f>
        <v/>
      </c>
      <c r="K998" s="138" t="str">
        <f>IF(COUNTA(B998:F998)=0,"",IF(OR(B998="",C998="",D998="",F998=""),"▲ Completar","✔"))</f>
        <v/>
      </c>
    </row>
    <row r="999">
      <c r="B999" s="130" t="n"/>
      <c r="C999" s="129" t="n"/>
      <c r="D999" s="129" t="n"/>
      <c r="E999" s="129" t="n"/>
      <c r="F999" s="145" t="n"/>
      <c r="G999" s="129" t="n"/>
      <c r="H999" s="129" t="n"/>
      <c r="I999" s="129" t="n"/>
      <c r="J999" s="138" t="str">
        <f>IF(C999&lt;&gt;"Despesa","",IFERROR(INDEX('Config'!$J$6:$J$40,MATCH(D999,'Config'!$I$6:$I$40,0)),"—"))</f>
        <v/>
      </c>
      <c r="K999" s="138" t="str">
        <f>IF(COUNTA(B999:F999)=0,"",IF(OR(B999="",C999="",D999="",F999=""),"▲ Completar","✔"))</f>
        <v/>
      </c>
    </row>
    <row r="1000">
      <c r="B1000" s="130" t="n"/>
      <c r="C1000" s="129" t="n"/>
      <c r="D1000" s="129" t="n"/>
      <c r="E1000" s="129" t="n"/>
      <c r="F1000" s="145" t="n"/>
      <c r="G1000" s="129" t="n"/>
      <c r="H1000" s="129" t="n"/>
      <c r="I1000" s="129" t="n"/>
      <c r="J1000" s="138" t="str">
        <f>IF(C1000&lt;&gt;"Despesa","",IFERROR(INDEX('Config'!$J$6:$J$40,MATCH(D1000,'Config'!$I$6:$I$40,0)),"—"))</f>
        <v/>
      </c>
      <c r="K1000" s="138" t="str">
        <f>IF(COUNTA(B1000:F1000)=0,"",IF(OR(B1000="",C1000="",D1000="",F1000=""),"▲ Completar","✔"))</f>
        <v/>
      </c>
    </row>
    <row r="1001">
      <c r="B1001" s="130" t="n"/>
      <c r="C1001" s="129" t="n"/>
      <c r="D1001" s="129" t="n"/>
      <c r="E1001" s="129" t="n"/>
      <c r="F1001" s="145" t="n"/>
      <c r="G1001" s="129" t="n"/>
      <c r="H1001" s="129" t="n"/>
      <c r="I1001" s="129" t="n"/>
      <c r="J1001" s="138" t="str">
        <f>IF(C1001&lt;&gt;"Despesa","",IFERROR(INDEX('Config'!$J$6:$J$40,MATCH(D1001,'Config'!$I$6:$I$40,0)),"—"))</f>
        <v/>
      </c>
      <c r="K1001" s="138" t="str">
        <f>IF(COUNTA(B1001:F1001)=0,"",IF(OR(B1001="",C1001="",D1001="",F1001=""),"▲ Completar","✔"))</f>
        <v/>
      </c>
    </row>
    <row r="1002">
      <c r="B1002" s="130" t="n"/>
      <c r="C1002" s="129" t="n"/>
      <c r="D1002" s="129" t="n"/>
      <c r="E1002" s="129" t="n"/>
      <c r="F1002" s="145" t="n"/>
      <c r="G1002" s="129" t="n"/>
      <c r="H1002" s="129" t="n"/>
      <c r="I1002" s="129" t="n"/>
      <c r="J1002" s="138" t="str">
        <f>IF(C1002&lt;&gt;"Despesa","",IFERROR(INDEX('Config'!$J$6:$J$40,MATCH(D1002,'Config'!$I$6:$I$40,0)),"—"))</f>
        <v/>
      </c>
      <c r="K1002" s="138" t="str">
        <f>IF(COUNTA(B1002:F1002)=0,"",IF(OR(B1002="",C1002="",D1002="",F1002=""),"▲ Completar","✔"))</f>
        <v/>
      </c>
    </row>
    <row r="1003">
      <c r="B1003" s="130" t="n"/>
      <c r="C1003" s="129" t="n"/>
      <c r="D1003" s="129" t="n"/>
      <c r="E1003" s="129" t="n"/>
      <c r="F1003" s="145" t="n"/>
      <c r="G1003" s="129" t="n"/>
      <c r="H1003" s="129" t="n"/>
      <c r="I1003" s="129" t="n"/>
      <c r="J1003" s="138" t="str">
        <f>IF(C1003&lt;&gt;"Despesa","",IFERROR(INDEX('Config'!$J$6:$J$40,MATCH(D1003,'Config'!$I$6:$I$40,0)),"—"))</f>
        <v/>
      </c>
      <c r="K1003" s="138" t="str">
        <f>IF(COUNTA(B1003:F1003)=0,"",IF(OR(B1003="",C1003="",D1003="",F1003=""),"▲ Completar","✔"))</f>
        <v/>
      </c>
    </row>
    <row r="1004">
      <c r="B1004" s="130" t="n"/>
      <c r="C1004" s="129" t="n"/>
      <c r="D1004" s="129" t="n"/>
      <c r="E1004" s="129" t="n"/>
      <c r="F1004" s="145" t="n"/>
      <c r="G1004" s="129" t="n"/>
      <c r="H1004" s="129" t="n"/>
      <c r="I1004" s="129" t="n"/>
      <c r="J1004" s="138" t="str">
        <f>IF(C1004&lt;&gt;"Despesa","",IFERROR(INDEX('Config'!$J$6:$J$40,MATCH(D1004,'Config'!$I$6:$I$40,0)),"—"))</f>
        <v/>
      </c>
      <c r="K1004" s="138" t="str">
        <f>IF(COUNTA(B1004:F1004)=0,"",IF(OR(B1004="",C1004="",D1004="",F1004=""),"▲ Completar","✔"))</f>
        <v/>
      </c>
    </row>
    <row r="1005">
      <c r="B1005" s="130" t="n"/>
      <c r="C1005" s="129" t="n"/>
      <c r="D1005" s="129" t="n"/>
      <c r="E1005" s="129" t="n"/>
      <c r="F1005" s="145" t="n"/>
      <c r="G1005" s="129" t="n"/>
      <c r="H1005" s="129" t="n"/>
      <c r="I1005" s="129" t="n"/>
      <c r="J1005" s="138" t="str">
        <f>IF(C1005&lt;&gt;"Despesa","",IFERROR(INDEX('Config'!$J$6:$J$40,MATCH(D1005,'Config'!$I$6:$I$40,0)),"—"))</f>
        <v/>
      </c>
      <c r="K1005" s="138" t="str">
        <f>IF(COUNTA(B1005:F1005)=0,"",IF(OR(B1005="",C1005="",D1005="",F1005=""),"▲ Completar","✔"))</f>
        <v/>
      </c>
    </row>
    <row r="1006">
      <c r="B1006" s="130" t="n"/>
      <c r="C1006" s="129" t="n"/>
      <c r="D1006" s="129" t="n"/>
      <c r="E1006" s="129" t="n"/>
      <c r="F1006" s="145" t="n"/>
      <c r="G1006" s="129" t="n"/>
      <c r="H1006" s="129" t="n"/>
      <c r="I1006" s="129" t="n"/>
      <c r="J1006" s="138" t="str">
        <f>IF(C1006&lt;&gt;"Despesa","",IFERROR(INDEX('Config'!$J$6:$J$40,MATCH(D1006,'Config'!$I$6:$I$40,0)),"—"))</f>
        <v/>
      </c>
      <c r="K1006" s="138" t="str">
        <f>IF(COUNTA(B1006:F1006)=0,"",IF(OR(B1006="",C1006="",D1006="",F1006=""),"▲ Completar","✔"))</f>
        <v/>
      </c>
    </row>
    <row r="1007">
      <c r="B1007" s="130" t="n"/>
      <c r="C1007" s="129" t="n"/>
      <c r="D1007" s="129" t="n"/>
      <c r="E1007" s="129" t="n"/>
      <c r="F1007" s="145" t="n"/>
      <c r="G1007" s="129" t="n"/>
      <c r="H1007" s="129" t="n"/>
      <c r="I1007" s="129" t="n"/>
      <c r="J1007" s="138" t="str">
        <f>IF(C1007&lt;&gt;"Despesa","",IFERROR(INDEX('Config'!$J$6:$J$40,MATCH(D1007,'Config'!$I$6:$I$40,0)),"—"))</f>
        <v/>
      </c>
      <c r="K1007" s="138" t="str">
        <f>IF(COUNTA(B1007:F1007)=0,"",IF(OR(B1007="",C1007="",D1007="",F1007=""),"▲ Completar","✔"))</f>
        <v/>
      </c>
    </row>
    <row r="1008">
      <c r="B1008" s="130" t="n"/>
      <c r="C1008" s="129" t="n"/>
      <c r="D1008" s="129" t="n"/>
      <c r="E1008" s="129" t="n"/>
      <c r="F1008" s="145" t="n"/>
      <c r="G1008" s="129" t="n"/>
      <c r="H1008" s="129" t="n"/>
      <c r="I1008" s="129" t="n"/>
      <c r="J1008" s="138" t="str">
        <f>IF(C1008&lt;&gt;"Despesa","",IFERROR(INDEX('Config'!$J$6:$J$40,MATCH(D1008,'Config'!$I$6:$I$40,0)),"—"))</f>
        <v/>
      </c>
      <c r="K1008" s="138" t="str">
        <f>IF(COUNTA(B1008:F1008)=0,"",IF(OR(B1008="",C1008="",D1008="",F1008=""),"▲ Completar","✔"))</f>
        <v/>
      </c>
    </row>
    <row r="1009">
      <c r="B1009" s="130" t="n"/>
      <c r="C1009" s="129" t="n"/>
      <c r="D1009" s="129" t="n"/>
      <c r="E1009" s="129" t="n"/>
      <c r="F1009" s="145" t="n"/>
      <c r="G1009" s="129" t="n"/>
      <c r="H1009" s="129" t="n"/>
      <c r="I1009" s="129" t="n"/>
      <c r="J1009" s="138" t="str">
        <f>IF(C1009&lt;&gt;"Despesa","",IFERROR(INDEX('Config'!$J$6:$J$40,MATCH(D1009,'Config'!$I$6:$I$40,0)),"—"))</f>
        <v/>
      </c>
      <c r="K1009" s="138" t="str">
        <f>IF(COUNTA(B1009:F1009)=0,"",IF(OR(B1009="",C1009="",D1009="",F1009=""),"▲ Completar","✔"))</f>
        <v/>
      </c>
    </row>
    <row r="1010">
      <c r="B1010" s="130" t="n"/>
      <c r="C1010" s="129" t="n"/>
      <c r="D1010" s="129" t="n"/>
      <c r="E1010" s="129" t="n"/>
      <c r="F1010" s="145" t="n"/>
      <c r="G1010" s="129" t="n"/>
      <c r="H1010" s="129" t="n"/>
      <c r="I1010" s="129" t="n"/>
      <c r="J1010" s="138" t="str">
        <f>IF(C1010&lt;&gt;"Despesa","",IFERROR(INDEX('Config'!$J$6:$J$40,MATCH(D1010,'Config'!$I$6:$I$40,0)),"—"))</f>
        <v/>
      </c>
      <c r="K1010" s="138" t="str">
        <f>IF(COUNTA(B1010:F1010)=0,"",IF(OR(B1010="",C1010="",D1010="",F1010=""),"▲ Completar","✔"))</f>
        <v/>
      </c>
    </row>
    <row r="1011">
      <c r="B1011" s="130" t="n"/>
      <c r="C1011" s="129" t="n"/>
      <c r="D1011" s="129" t="n"/>
      <c r="E1011" s="129" t="n"/>
      <c r="F1011" s="145" t="n"/>
      <c r="G1011" s="129" t="n"/>
      <c r="H1011" s="129" t="n"/>
      <c r="I1011" s="129" t="n"/>
      <c r="J1011" s="138" t="str">
        <f>IF(C1011&lt;&gt;"Despesa","",IFERROR(INDEX('Config'!$J$6:$J$40,MATCH(D1011,'Config'!$I$6:$I$40,0)),"—"))</f>
        <v/>
      </c>
      <c r="K1011" s="138" t="str">
        <f>IF(COUNTA(B1011:F1011)=0,"",IF(OR(B1011="",C1011="",D1011="",F1011=""),"▲ Completar","✔"))</f>
        <v/>
      </c>
    </row>
    <row r="1012">
      <c r="B1012" s="130" t="n"/>
      <c r="C1012" s="129" t="n"/>
      <c r="D1012" s="129" t="n"/>
      <c r="E1012" s="129" t="n"/>
      <c r="F1012" s="145" t="n"/>
      <c r="G1012" s="129" t="n"/>
      <c r="H1012" s="129" t="n"/>
      <c r="I1012" s="129" t="n"/>
      <c r="J1012" s="138" t="str">
        <f>IF(C1012&lt;&gt;"Despesa","",IFERROR(INDEX('Config'!$J$6:$J$40,MATCH(D1012,'Config'!$I$6:$I$40,0)),"—"))</f>
        <v/>
      </c>
      <c r="K1012" s="138" t="str">
        <f>IF(COUNTA(B1012:F1012)=0,"",IF(OR(B1012="",C1012="",D1012="",F1012=""),"▲ Completar","✔"))</f>
        <v/>
      </c>
    </row>
    <row r="1013">
      <c r="B1013" s="130" t="n"/>
      <c r="C1013" s="129" t="n"/>
      <c r="D1013" s="129" t="n"/>
      <c r="E1013" s="129" t="n"/>
      <c r="F1013" s="145" t="n"/>
      <c r="G1013" s="129" t="n"/>
      <c r="H1013" s="129" t="n"/>
      <c r="I1013" s="129" t="n"/>
      <c r="J1013" s="138" t="str">
        <f>IF(C1013&lt;&gt;"Despesa","",IFERROR(INDEX('Config'!$J$6:$J$40,MATCH(D1013,'Config'!$I$6:$I$40,0)),"—"))</f>
        <v/>
      </c>
      <c r="K1013" s="138" t="str">
        <f>IF(COUNTA(B1013:F1013)=0,"",IF(OR(B1013="",C1013="",D1013="",F1013=""),"▲ Completar","✔"))</f>
        <v/>
      </c>
    </row>
    <row r="1014">
      <c r="B1014" s="130" t="n"/>
      <c r="C1014" s="129" t="n"/>
      <c r="D1014" s="129" t="n"/>
      <c r="E1014" s="129" t="n"/>
      <c r="F1014" s="145" t="n"/>
      <c r="G1014" s="129" t="n"/>
      <c r="H1014" s="129" t="n"/>
      <c r="I1014" s="129" t="n"/>
      <c r="J1014" s="138" t="str">
        <f>IF(C1014&lt;&gt;"Despesa","",IFERROR(INDEX('Config'!$J$6:$J$40,MATCH(D1014,'Config'!$I$6:$I$40,0)),"—"))</f>
        <v/>
      </c>
      <c r="K1014" s="138" t="str">
        <f>IF(COUNTA(B1014:F1014)=0,"",IF(OR(B1014="",C1014="",D1014="",F1014=""),"▲ Completar","✔"))</f>
        <v/>
      </c>
    </row>
    <row r="1015">
      <c r="B1015" s="130" t="n"/>
      <c r="C1015" s="129" t="n"/>
      <c r="D1015" s="129" t="n"/>
      <c r="E1015" s="129" t="n"/>
      <c r="F1015" s="145" t="n"/>
      <c r="G1015" s="129" t="n"/>
      <c r="H1015" s="129" t="n"/>
      <c r="I1015" s="129" t="n"/>
      <c r="J1015" s="138" t="str">
        <f>IF(C1015&lt;&gt;"Despesa","",IFERROR(INDEX('Config'!$J$6:$J$40,MATCH(D1015,'Config'!$I$6:$I$40,0)),"—"))</f>
        <v/>
      </c>
      <c r="K1015" s="138" t="str">
        <f>IF(COUNTA(B1015:F1015)=0,"",IF(OR(B1015="",C1015="",D1015="",F1015=""),"▲ Completar","✔"))</f>
        <v/>
      </c>
    </row>
    <row r="1016">
      <c r="B1016" s="130" t="n"/>
      <c r="C1016" s="129" t="n"/>
      <c r="D1016" s="129" t="n"/>
      <c r="E1016" s="129" t="n"/>
      <c r="F1016" s="145" t="n"/>
      <c r="G1016" s="129" t="n"/>
      <c r="H1016" s="129" t="n"/>
      <c r="I1016" s="129" t="n"/>
      <c r="J1016" s="138" t="str">
        <f>IF(C1016&lt;&gt;"Despesa","",IFERROR(INDEX('Config'!$J$6:$J$40,MATCH(D1016,'Config'!$I$6:$I$40,0)),"—"))</f>
        <v/>
      </c>
      <c r="K1016" s="138" t="str">
        <f>IF(COUNTA(B1016:F1016)=0,"",IF(OR(B1016="",C1016="",D1016="",F1016=""),"▲ Completar","✔"))</f>
        <v/>
      </c>
    </row>
    <row r="1017">
      <c r="B1017" s="130" t="n"/>
      <c r="C1017" s="129" t="n"/>
      <c r="D1017" s="129" t="n"/>
      <c r="E1017" s="129" t="n"/>
      <c r="F1017" s="145" t="n"/>
      <c r="G1017" s="129" t="n"/>
      <c r="H1017" s="129" t="n"/>
      <c r="I1017" s="129" t="n"/>
      <c r="J1017" s="138" t="str">
        <f>IF(C1017&lt;&gt;"Despesa","",IFERROR(INDEX('Config'!$J$6:$J$40,MATCH(D1017,'Config'!$I$6:$I$40,0)),"—"))</f>
        <v/>
      </c>
      <c r="K1017" s="138" t="str">
        <f>IF(COUNTA(B1017:F1017)=0,"",IF(OR(B1017="",C1017="",D1017="",F1017=""),"▲ Completar","✔"))</f>
        <v/>
      </c>
    </row>
    <row r="1018">
      <c r="B1018" s="130" t="n"/>
      <c r="C1018" s="129" t="n"/>
      <c r="D1018" s="129" t="n"/>
      <c r="E1018" s="129" t="n"/>
      <c r="F1018" s="145" t="n"/>
      <c r="G1018" s="129" t="n"/>
      <c r="H1018" s="129" t="n"/>
      <c r="I1018" s="129" t="n"/>
      <c r="J1018" s="138" t="str">
        <f>IF(C1018&lt;&gt;"Despesa","",IFERROR(INDEX('Config'!$J$6:$J$40,MATCH(D1018,'Config'!$I$6:$I$40,0)),"—"))</f>
        <v/>
      </c>
      <c r="K1018" s="138" t="str">
        <f>IF(COUNTA(B1018:F1018)=0,"",IF(OR(B1018="",C1018="",D1018="",F1018=""),"▲ Completar","✔"))</f>
        <v/>
      </c>
    </row>
    <row r="1019">
      <c r="B1019" s="130" t="n"/>
      <c r="C1019" s="129" t="n"/>
      <c r="D1019" s="129" t="n"/>
      <c r="E1019" s="129" t="n"/>
      <c r="F1019" s="145" t="n"/>
      <c r="G1019" s="129" t="n"/>
      <c r="H1019" s="129" t="n"/>
      <c r="I1019" s="129" t="n"/>
      <c r="J1019" s="138" t="str">
        <f>IF(C1019&lt;&gt;"Despesa","",IFERROR(INDEX('Config'!$J$6:$J$40,MATCH(D1019,'Config'!$I$6:$I$40,0)),"—"))</f>
        <v/>
      </c>
      <c r="K1019" s="138" t="str">
        <f>IF(COUNTA(B1019:F1019)=0,"",IF(OR(B1019="",C1019="",D1019="",F1019=""),"▲ Completar","✔"))</f>
        <v/>
      </c>
    </row>
    <row r="1020">
      <c r="B1020" s="130" t="n"/>
      <c r="C1020" s="129" t="n"/>
      <c r="D1020" s="129" t="n"/>
      <c r="E1020" s="129" t="n"/>
      <c r="F1020" s="145" t="n"/>
      <c r="G1020" s="129" t="n"/>
      <c r="H1020" s="129" t="n"/>
      <c r="I1020" s="129" t="n"/>
      <c r="J1020" s="138" t="str">
        <f>IF(C1020&lt;&gt;"Despesa","",IFERROR(INDEX('Config'!$J$6:$J$40,MATCH(D1020,'Config'!$I$6:$I$40,0)),"—"))</f>
        <v/>
      </c>
      <c r="K1020" s="138" t="str">
        <f>IF(COUNTA(B1020:F1020)=0,"",IF(OR(B1020="",C1020="",D1020="",F1020=""),"▲ Completar","✔"))</f>
        <v/>
      </c>
    </row>
    <row r="1021">
      <c r="B1021" s="130" t="n"/>
      <c r="C1021" s="129" t="n"/>
      <c r="D1021" s="129" t="n"/>
      <c r="E1021" s="129" t="n"/>
      <c r="F1021" s="145" t="n"/>
      <c r="G1021" s="129" t="n"/>
      <c r="H1021" s="129" t="n"/>
      <c r="I1021" s="129" t="n"/>
      <c r="J1021" s="138" t="str">
        <f>IF(C1021&lt;&gt;"Despesa","",IFERROR(INDEX('Config'!$J$6:$J$40,MATCH(D1021,'Config'!$I$6:$I$40,0)),"—"))</f>
        <v/>
      </c>
      <c r="K1021" s="138" t="str">
        <f>IF(COUNTA(B1021:F1021)=0,"",IF(OR(B1021="",C1021="",D1021="",F1021=""),"▲ Completar","✔"))</f>
        <v/>
      </c>
    </row>
    <row r="1022">
      <c r="B1022" s="130" t="n"/>
      <c r="C1022" s="129" t="n"/>
      <c r="D1022" s="129" t="n"/>
      <c r="E1022" s="129" t="n"/>
      <c r="F1022" s="145" t="n"/>
      <c r="G1022" s="129" t="n"/>
      <c r="H1022" s="129" t="n"/>
      <c r="I1022" s="129" t="n"/>
      <c r="J1022" s="138" t="str">
        <f>IF(C1022&lt;&gt;"Despesa","",IFERROR(INDEX('Config'!$J$6:$J$40,MATCH(D1022,'Config'!$I$6:$I$40,0)),"—"))</f>
        <v/>
      </c>
      <c r="K1022" s="138" t="str">
        <f>IF(COUNTA(B1022:F1022)=0,"",IF(OR(B1022="",C1022="",D1022="",F1022=""),"▲ Completar","✔"))</f>
        <v/>
      </c>
    </row>
    <row r="1023">
      <c r="B1023" s="130" t="n"/>
      <c r="C1023" s="129" t="n"/>
      <c r="D1023" s="129" t="n"/>
      <c r="E1023" s="129" t="n"/>
      <c r="F1023" s="145" t="n"/>
      <c r="G1023" s="129" t="n"/>
      <c r="H1023" s="129" t="n"/>
      <c r="I1023" s="129" t="n"/>
      <c r="J1023" s="138" t="str">
        <f>IF(C1023&lt;&gt;"Despesa","",IFERROR(INDEX('Config'!$J$6:$J$40,MATCH(D1023,'Config'!$I$6:$I$40,0)),"—"))</f>
        <v/>
      </c>
      <c r="K1023" s="138" t="str">
        <f>IF(COUNTA(B1023:F1023)=0,"",IF(OR(B1023="",C1023="",D1023="",F1023=""),"▲ Completar","✔"))</f>
        <v/>
      </c>
    </row>
    <row r="1024">
      <c r="B1024" s="130" t="n"/>
      <c r="C1024" s="129" t="n"/>
      <c r="D1024" s="129" t="n"/>
      <c r="E1024" s="129" t="n"/>
      <c r="F1024" s="145" t="n"/>
      <c r="G1024" s="129" t="n"/>
      <c r="H1024" s="129" t="n"/>
      <c r="I1024" s="129" t="n"/>
      <c r="J1024" s="138" t="str">
        <f>IF(C1024&lt;&gt;"Despesa","",IFERROR(INDEX('Config'!$J$6:$J$40,MATCH(D1024,'Config'!$I$6:$I$40,0)),"—"))</f>
        <v/>
      </c>
      <c r="K1024" s="138" t="str">
        <f>IF(COUNTA(B1024:F1024)=0,"",IF(OR(B1024="",C1024="",D1024="",F1024=""),"▲ Completar","✔"))</f>
        <v/>
      </c>
    </row>
    <row r="1025">
      <c r="B1025" s="130" t="n"/>
      <c r="C1025" s="129" t="n"/>
      <c r="D1025" s="129" t="n"/>
      <c r="E1025" s="129" t="n"/>
      <c r="F1025" s="145" t="n"/>
      <c r="G1025" s="129" t="n"/>
      <c r="H1025" s="129" t="n"/>
      <c r="I1025" s="129" t="n"/>
      <c r="J1025" s="138" t="str">
        <f>IF(C1025&lt;&gt;"Despesa","",IFERROR(INDEX('Config'!$J$6:$J$40,MATCH(D1025,'Config'!$I$6:$I$40,0)),"—"))</f>
        <v/>
      </c>
      <c r="K1025" s="138" t="str">
        <f>IF(COUNTA(B1025:F1025)=0,"",IF(OR(B1025="",C1025="",D1025="",F1025=""),"▲ Completar","✔"))</f>
        <v/>
      </c>
    </row>
    <row r="1026">
      <c r="B1026" s="130" t="n"/>
      <c r="C1026" s="129" t="n"/>
      <c r="D1026" s="129" t="n"/>
      <c r="E1026" s="129" t="n"/>
      <c r="F1026" s="145" t="n"/>
      <c r="G1026" s="129" t="n"/>
      <c r="H1026" s="129" t="n"/>
      <c r="I1026" s="129" t="n"/>
      <c r="J1026" s="138" t="str">
        <f>IF(C1026&lt;&gt;"Despesa","",IFERROR(INDEX('Config'!$J$6:$J$40,MATCH(D1026,'Config'!$I$6:$I$40,0)),"—"))</f>
        <v/>
      </c>
      <c r="K1026" s="138" t="str">
        <f>IF(COUNTA(B1026:F1026)=0,"",IF(OR(B1026="",C1026="",D1026="",F1026=""),"▲ Completar","✔"))</f>
        <v/>
      </c>
    </row>
    <row r="1027">
      <c r="B1027" s="130" t="n"/>
      <c r="C1027" s="129" t="n"/>
      <c r="D1027" s="129" t="n"/>
      <c r="E1027" s="129" t="n"/>
      <c r="F1027" s="145" t="n"/>
      <c r="G1027" s="129" t="n"/>
      <c r="H1027" s="129" t="n"/>
      <c r="I1027" s="129" t="n"/>
      <c r="J1027" s="138" t="str">
        <f>IF(C1027&lt;&gt;"Despesa","",IFERROR(INDEX('Config'!$J$6:$J$40,MATCH(D1027,'Config'!$I$6:$I$40,0)),"—"))</f>
        <v/>
      </c>
      <c r="K1027" s="138" t="str">
        <f>IF(COUNTA(B1027:F1027)=0,"",IF(OR(B1027="",C1027="",D1027="",F1027=""),"▲ Completar","✔"))</f>
        <v/>
      </c>
    </row>
    <row r="1028">
      <c r="B1028" s="130" t="n"/>
      <c r="C1028" s="129" t="n"/>
      <c r="D1028" s="129" t="n"/>
      <c r="E1028" s="129" t="n"/>
      <c r="F1028" s="145" t="n"/>
      <c r="G1028" s="129" t="n"/>
      <c r="H1028" s="129" t="n"/>
      <c r="I1028" s="129" t="n"/>
      <c r="J1028" s="138" t="str">
        <f>IF(C1028&lt;&gt;"Despesa","",IFERROR(INDEX('Config'!$J$6:$J$40,MATCH(D1028,'Config'!$I$6:$I$40,0)),"—"))</f>
        <v/>
      </c>
      <c r="K1028" s="138" t="str">
        <f>IF(COUNTA(B1028:F1028)=0,"",IF(OR(B1028="",C1028="",D1028="",F1028=""),"▲ Completar","✔"))</f>
        <v/>
      </c>
    </row>
    <row r="1029">
      <c r="B1029" s="130" t="n"/>
      <c r="C1029" s="129" t="n"/>
      <c r="D1029" s="129" t="n"/>
      <c r="E1029" s="129" t="n"/>
      <c r="F1029" s="145" t="n"/>
      <c r="G1029" s="129" t="n"/>
      <c r="H1029" s="129" t="n"/>
      <c r="I1029" s="129" t="n"/>
      <c r="J1029" s="138" t="str">
        <f>IF(C1029&lt;&gt;"Despesa","",IFERROR(INDEX('Config'!$J$6:$J$40,MATCH(D1029,'Config'!$I$6:$I$40,0)),"—"))</f>
        <v/>
      </c>
      <c r="K1029" s="138" t="str">
        <f>IF(COUNTA(B1029:F1029)=0,"",IF(OR(B1029="",C1029="",D1029="",F1029=""),"▲ Completar","✔"))</f>
        <v/>
      </c>
    </row>
    <row r="1030">
      <c r="B1030" s="130" t="n"/>
      <c r="C1030" s="129" t="n"/>
      <c r="D1030" s="129" t="n"/>
      <c r="E1030" s="129" t="n"/>
      <c r="F1030" s="145" t="n"/>
      <c r="G1030" s="129" t="n"/>
      <c r="H1030" s="129" t="n"/>
      <c r="I1030" s="129" t="n"/>
      <c r="J1030" s="138" t="str">
        <f>IF(C1030&lt;&gt;"Despesa","",IFERROR(INDEX('Config'!$J$6:$J$40,MATCH(D1030,'Config'!$I$6:$I$40,0)),"—"))</f>
        <v/>
      </c>
      <c r="K1030" s="138" t="str">
        <f>IF(COUNTA(B1030:F1030)=0,"",IF(OR(B1030="",C1030="",D1030="",F1030=""),"▲ Completar","✔"))</f>
        <v/>
      </c>
    </row>
    <row r="1031">
      <c r="B1031" s="130" t="n"/>
      <c r="C1031" s="129" t="n"/>
      <c r="D1031" s="129" t="n"/>
      <c r="E1031" s="129" t="n"/>
      <c r="F1031" s="145" t="n"/>
      <c r="G1031" s="129" t="n"/>
      <c r="H1031" s="129" t="n"/>
      <c r="I1031" s="129" t="n"/>
      <c r="J1031" s="138" t="str">
        <f>IF(C1031&lt;&gt;"Despesa","",IFERROR(INDEX('Config'!$J$6:$J$40,MATCH(D1031,'Config'!$I$6:$I$40,0)),"—"))</f>
        <v/>
      </c>
      <c r="K1031" s="138" t="str">
        <f>IF(COUNTA(B1031:F1031)=0,"",IF(OR(B1031="",C1031="",D1031="",F1031=""),"▲ Completar","✔"))</f>
        <v/>
      </c>
    </row>
    <row r="1032">
      <c r="B1032" s="130" t="n"/>
      <c r="C1032" s="129" t="n"/>
      <c r="D1032" s="129" t="n"/>
      <c r="E1032" s="129" t="n"/>
      <c r="F1032" s="145" t="n"/>
      <c r="G1032" s="129" t="n"/>
      <c r="H1032" s="129" t="n"/>
      <c r="I1032" s="129" t="n"/>
      <c r="J1032" s="138" t="str">
        <f>IF(C1032&lt;&gt;"Despesa","",IFERROR(INDEX('Config'!$J$6:$J$40,MATCH(D1032,'Config'!$I$6:$I$40,0)),"—"))</f>
        <v/>
      </c>
      <c r="K1032" s="138" t="str">
        <f>IF(COUNTA(B1032:F1032)=0,"",IF(OR(B1032="",C1032="",D1032="",F1032=""),"▲ Completar","✔"))</f>
        <v/>
      </c>
    </row>
    <row r="1033">
      <c r="B1033" s="130" t="n"/>
      <c r="C1033" s="129" t="n"/>
      <c r="D1033" s="129" t="n"/>
      <c r="E1033" s="129" t="n"/>
      <c r="F1033" s="145" t="n"/>
      <c r="G1033" s="129" t="n"/>
      <c r="H1033" s="129" t="n"/>
      <c r="I1033" s="129" t="n"/>
      <c r="J1033" s="138" t="str">
        <f>IF(C1033&lt;&gt;"Despesa","",IFERROR(INDEX('Config'!$J$6:$J$40,MATCH(D1033,'Config'!$I$6:$I$40,0)),"—"))</f>
        <v/>
      </c>
      <c r="K1033" s="138" t="str">
        <f>IF(COUNTA(B1033:F1033)=0,"",IF(OR(B1033="",C1033="",D1033="",F1033=""),"▲ Completar","✔"))</f>
        <v/>
      </c>
    </row>
    <row r="1034">
      <c r="B1034" s="130" t="n"/>
      <c r="C1034" s="129" t="n"/>
      <c r="D1034" s="129" t="n"/>
      <c r="E1034" s="129" t="n"/>
      <c r="F1034" s="145" t="n"/>
      <c r="G1034" s="129" t="n"/>
      <c r="H1034" s="129" t="n"/>
      <c r="I1034" s="129" t="n"/>
      <c r="J1034" s="138" t="str">
        <f>IF(C1034&lt;&gt;"Despesa","",IFERROR(INDEX('Config'!$J$6:$J$40,MATCH(D1034,'Config'!$I$6:$I$40,0)),"—"))</f>
        <v/>
      </c>
      <c r="K1034" s="138" t="str">
        <f>IF(COUNTA(B1034:F1034)=0,"",IF(OR(B1034="",C1034="",D1034="",F1034=""),"▲ Completar","✔"))</f>
        <v/>
      </c>
    </row>
    <row r="1035">
      <c r="B1035" s="130" t="n"/>
      <c r="C1035" s="129" t="n"/>
      <c r="D1035" s="129" t="n"/>
      <c r="E1035" s="129" t="n"/>
      <c r="F1035" s="145" t="n"/>
      <c r="G1035" s="129" t="n"/>
      <c r="H1035" s="129" t="n"/>
      <c r="I1035" s="129" t="n"/>
      <c r="J1035" s="138" t="str">
        <f>IF(C1035&lt;&gt;"Despesa","",IFERROR(INDEX('Config'!$J$6:$J$40,MATCH(D1035,'Config'!$I$6:$I$40,0)),"—"))</f>
        <v/>
      </c>
      <c r="K1035" s="138" t="str">
        <f>IF(COUNTA(B1035:F1035)=0,"",IF(OR(B1035="",C1035="",D1035="",F1035=""),"▲ Completar","✔"))</f>
        <v/>
      </c>
    </row>
    <row r="1036">
      <c r="B1036" s="130" t="n"/>
      <c r="C1036" s="129" t="n"/>
      <c r="D1036" s="129" t="n"/>
      <c r="E1036" s="129" t="n"/>
      <c r="F1036" s="145" t="n"/>
      <c r="G1036" s="129" t="n"/>
      <c r="H1036" s="129" t="n"/>
      <c r="I1036" s="129" t="n"/>
      <c r="J1036" s="138" t="str">
        <f>IF(C1036&lt;&gt;"Despesa","",IFERROR(INDEX('Config'!$J$6:$J$40,MATCH(D1036,'Config'!$I$6:$I$40,0)),"—"))</f>
        <v/>
      </c>
      <c r="K1036" s="138" t="str">
        <f>IF(COUNTA(B1036:F1036)=0,"",IF(OR(B1036="",C1036="",D1036="",F1036=""),"▲ Completar","✔"))</f>
        <v/>
      </c>
    </row>
    <row r="1037">
      <c r="B1037" s="130" t="n"/>
      <c r="C1037" s="129" t="n"/>
      <c r="D1037" s="129" t="n"/>
      <c r="E1037" s="129" t="n"/>
      <c r="F1037" s="145" t="n"/>
      <c r="G1037" s="129" t="n"/>
      <c r="H1037" s="129" t="n"/>
      <c r="I1037" s="129" t="n"/>
      <c r="J1037" s="138" t="str">
        <f>IF(C1037&lt;&gt;"Despesa","",IFERROR(INDEX('Config'!$J$6:$J$40,MATCH(D1037,'Config'!$I$6:$I$40,0)),"—"))</f>
        <v/>
      </c>
      <c r="K1037" s="138" t="str">
        <f>IF(COUNTA(B1037:F1037)=0,"",IF(OR(B1037="",C1037="",D1037="",F1037=""),"▲ Completar","✔"))</f>
        <v/>
      </c>
    </row>
    <row r="1038">
      <c r="B1038" s="130" t="n"/>
      <c r="C1038" s="129" t="n"/>
      <c r="D1038" s="129" t="n"/>
      <c r="E1038" s="129" t="n"/>
      <c r="F1038" s="145" t="n"/>
      <c r="G1038" s="129" t="n"/>
      <c r="H1038" s="129" t="n"/>
      <c r="I1038" s="129" t="n"/>
      <c r="J1038" s="138" t="str">
        <f>IF(C1038&lt;&gt;"Despesa","",IFERROR(INDEX('Config'!$J$6:$J$40,MATCH(D1038,'Config'!$I$6:$I$40,0)),"—"))</f>
        <v/>
      </c>
      <c r="K1038" s="138" t="str">
        <f>IF(COUNTA(B1038:F1038)=0,"",IF(OR(B1038="",C1038="",D1038="",F1038=""),"▲ Completar","✔"))</f>
        <v/>
      </c>
    </row>
    <row r="1039">
      <c r="B1039" s="130" t="n"/>
      <c r="C1039" s="129" t="n"/>
      <c r="D1039" s="129" t="n"/>
      <c r="E1039" s="129" t="n"/>
      <c r="F1039" s="145" t="n"/>
      <c r="G1039" s="129" t="n"/>
      <c r="H1039" s="129" t="n"/>
      <c r="I1039" s="129" t="n"/>
      <c r="J1039" s="138" t="str">
        <f>IF(C1039&lt;&gt;"Despesa","",IFERROR(INDEX('Config'!$J$6:$J$40,MATCH(D1039,'Config'!$I$6:$I$40,0)),"—"))</f>
        <v/>
      </c>
      <c r="K1039" s="138" t="str">
        <f>IF(COUNTA(B1039:F1039)=0,"",IF(OR(B1039="",C1039="",D1039="",F1039=""),"▲ Completar","✔"))</f>
        <v/>
      </c>
    </row>
    <row r="1040">
      <c r="B1040" s="130" t="n"/>
      <c r="C1040" s="129" t="n"/>
      <c r="D1040" s="129" t="n"/>
      <c r="E1040" s="129" t="n"/>
      <c r="F1040" s="145" t="n"/>
      <c r="G1040" s="129" t="n"/>
      <c r="H1040" s="129" t="n"/>
      <c r="I1040" s="129" t="n"/>
      <c r="J1040" s="138" t="str">
        <f>IF(C1040&lt;&gt;"Despesa","",IFERROR(INDEX('Config'!$J$6:$J$40,MATCH(D1040,'Config'!$I$6:$I$40,0)),"—"))</f>
        <v/>
      </c>
      <c r="K1040" s="138" t="str">
        <f>IF(COUNTA(B1040:F1040)=0,"",IF(OR(B1040="",C1040="",D1040="",F1040=""),"▲ Completar","✔"))</f>
        <v/>
      </c>
    </row>
    <row r="1041">
      <c r="B1041" s="130" t="n"/>
      <c r="C1041" s="129" t="n"/>
      <c r="D1041" s="129" t="n"/>
      <c r="E1041" s="129" t="n"/>
      <c r="F1041" s="145" t="n"/>
      <c r="G1041" s="129" t="n"/>
      <c r="H1041" s="129" t="n"/>
      <c r="I1041" s="129" t="n"/>
      <c r="J1041" s="138" t="str">
        <f>IF(C1041&lt;&gt;"Despesa","",IFERROR(INDEX('Config'!$J$6:$J$40,MATCH(D1041,'Config'!$I$6:$I$40,0)),"—"))</f>
        <v/>
      </c>
      <c r="K1041" s="138" t="str">
        <f>IF(COUNTA(B1041:F1041)=0,"",IF(OR(B1041="",C1041="",D1041="",F1041=""),"▲ Completar","✔"))</f>
        <v/>
      </c>
    </row>
    <row r="1042">
      <c r="B1042" s="130" t="n"/>
      <c r="C1042" s="129" t="n"/>
      <c r="D1042" s="129" t="n"/>
      <c r="E1042" s="129" t="n"/>
      <c r="F1042" s="145" t="n"/>
      <c r="G1042" s="129" t="n"/>
      <c r="H1042" s="129" t="n"/>
      <c r="I1042" s="129" t="n"/>
      <c r="J1042" s="138" t="str">
        <f>IF(C1042&lt;&gt;"Despesa","",IFERROR(INDEX('Config'!$J$6:$J$40,MATCH(D1042,'Config'!$I$6:$I$40,0)),"—"))</f>
        <v/>
      </c>
      <c r="K1042" s="138" t="str">
        <f>IF(COUNTA(B1042:F1042)=0,"",IF(OR(B1042="",C1042="",D1042="",F1042=""),"▲ Completar","✔"))</f>
        <v/>
      </c>
    </row>
    <row r="1043">
      <c r="B1043" s="130" t="n"/>
      <c r="C1043" s="129" t="n"/>
      <c r="D1043" s="129" t="n"/>
      <c r="E1043" s="129" t="n"/>
      <c r="F1043" s="145" t="n"/>
      <c r="G1043" s="129" t="n"/>
      <c r="H1043" s="129" t="n"/>
      <c r="I1043" s="129" t="n"/>
      <c r="J1043" s="138" t="str">
        <f>IF(C1043&lt;&gt;"Despesa","",IFERROR(INDEX('Config'!$J$6:$J$40,MATCH(D1043,'Config'!$I$6:$I$40,0)),"—"))</f>
        <v/>
      </c>
      <c r="K1043" s="138" t="str">
        <f>IF(COUNTA(B1043:F1043)=0,"",IF(OR(B1043="",C1043="",D1043="",F1043=""),"▲ Completar","✔"))</f>
        <v/>
      </c>
    </row>
    <row r="1044">
      <c r="B1044" s="130" t="n"/>
      <c r="C1044" s="129" t="n"/>
      <c r="D1044" s="129" t="n"/>
      <c r="E1044" s="129" t="n"/>
      <c r="F1044" s="145" t="n"/>
      <c r="G1044" s="129" t="n"/>
      <c r="H1044" s="129" t="n"/>
      <c r="I1044" s="129" t="n"/>
      <c r="J1044" s="138" t="str">
        <f>IF(C1044&lt;&gt;"Despesa","",IFERROR(INDEX('Config'!$J$6:$J$40,MATCH(D1044,'Config'!$I$6:$I$40,0)),"—"))</f>
        <v/>
      </c>
      <c r="K1044" s="138" t="str">
        <f>IF(COUNTA(B1044:F1044)=0,"",IF(OR(B1044="",C1044="",D1044="",F1044=""),"▲ Completar","✔"))</f>
        <v/>
      </c>
    </row>
    <row r="1045">
      <c r="B1045" s="130" t="n"/>
      <c r="C1045" s="129" t="n"/>
      <c r="D1045" s="129" t="n"/>
      <c r="E1045" s="129" t="n"/>
      <c r="F1045" s="145" t="n"/>
      <c r="G1045" s="129" t="n"/>
      <c r="H1045" s="129" t="n"/>
      <c r="I1045" s="129" t="n"/>
      <c r="J1045" s="138" t="str">
        <f>IF(C1045&lt;&gt;"Despesa","",IFERROR(INDEX('Config'!$J$6:$J$40,MATCH(D1045,'Config'!$I$6:$I$40,0)),"—"))</f>
        <v/>
      </c>
      <c r="K1045" s="138" t="str">
        <f>IF(COUNTA(B1045:F1045)=0,"",IF(OR(B1045="",C1045="",D1045="",F1045=""),"▲ Completar","✔"))</f>
        <v/>
      </c>
    </row>
    <row r="1046">
      <c r="B1046" s="130" t="n"/>
      <c r="C1046" s="129" t="n"/>
      <c r="D1046" s="129" t="n"/>
      <c r="E1046" s="129" t="n"/>
      <c r="F1046" s="145" t="n"/>
      <c r="G1046" s="129" t="n"/>
      <c r="H1046" s="129" t="n"/>
      <c r="I1046" s="129" t="n"/>
      <c r="J1046" s="138" t="str">
        <f>IF(C1046&lt;&gt;"Despesa","",IFERROR(INDEX('Config'!$J$6:$J$40,MATCH(D1046,'Config'!$I$6:$I$40,0)),"—"))</f>
        <v/>
      </c>
      <c r="K1046" s="138" t="str">
        <f>IF(COUNTA(B1046:F1046)=0,"",IF(OR(B1046="",C1046="",D1046="",F1046=""),"▲ Completar","✔"))</f>
        <v/>
      </c>
    </row>
    <row r="1047">
      <c r="B1047" s="130" t="n"/>
      <c r="C1047" s="129" t="n"/>
      <c r="D1047" s="129" t="n"/>
      <c r="E1047" s="129" t="n"/>
      <c r="F1047" s="145" t="n"/>
      <c r="G1047" s="129" t="n"/>
      <c r="H1047" s="129" t="n"/>
      <c r="I1047" s="129" t="n"/>
      <c r="J1047" s="138" t="str">
        <f>IF(C1047&lt;&gt;"Despesa","",IFERROR(INDEX('Config'!$J$6:$J$40,MATCH(D1047,'Config'!$I$6:$I$40,0)),"—"))</f>
        <v/>
      </c>
      <c r="K1047" s="138" t="str">
        <f>IF(COUNTA(B1047:F1047)=0,"",IF(OR(B1047="",C1047="",D1047="",F1047=""),"▲ Completar","✔"))</f>
        <v/>
      </c>
    </row>
    <row r="1048">
      <c r="B1048" s="130" t="n"/>
      <c r="C1048" s="129" t="n"/>
      <c r="D1048" s="129" t="n"/>
      <c r="E1048" s="129" t="n"/>
      <c r="F1048" s="145" t="n"/>
      <c r="G1048" s="129" t="n"/>
      <c r="H1048" s="129" t="n"/>
      <c r="I1048" s="129" t="n"/>
      <c r="J1048" s="138" t="str">
        <f>IF(C1048&lt;&gt;"Despesa","",IFERROR(INDEX('Config'!$J$6:$J$40,MATCH(D1048,'Config'!$I$6:$I$40,0)),"—"))</f>
        <v/>
      </c>
      <c r="K1048" s="138" t="str">
        <f>IF(COUNTA(B1048:F1048)=0,"",IF(OR(B1048="",C1048="",D1048="",F1048=""),"▲ Completar","✔"))</f>
        <v/>
      </c>
    </row>
    <row r="1049">
      <c r="B1049" s="130" t="n"/>
      <c r="C1049" s="129" t="n"/>
      <c r="D1049" s="129" t="n"/>
      <c r="E1049" s="129" t="n"/>
      <c r="F1049" s="145" t="n"/>
      <c r="G1049" s="129" t="n"/>
      <c r="H1049" s="129" t="n"/>
      <c r="I1049" s="129" t="n"/>
      <c r="J1049" s="138" t="str">
        <f>IF(C1049&lt;&gt;"Despesa","",IFERROR(INDEX('Config'!$J$6:$J$40,MATCH(D1049,'Config'!$I$6:$I$40,0)),"—"))</f>
        <v/>
      </c>
      <c r="K1049" s="138" t="str">
        <f>IF(COUNTA(B1049:F1049)=0,"",IF(OR(B1049="",C1049="",D1049="",F1049=""),"▲ Completar","✔"))</f>
        <v/>
      </c>
    </row>
    <row r="1050">
      <c r="B1050" s="130" t="n"/>
      <c r="C1050" s="129" t="n"/>
      <c r="D1050" s="129" t="n"/>
      <c r="E1050" s="129" t="n"/>
      <c r="F1050" s="145" t="n"/>
      <c r="G1050" s="129" t="n"/>
      <c r="H1050" s="129" t="n"/>
      <c r="I1050" s="129" t="n"/>
      <c r="J1050" s="138" t="str">
        <f>IF(C1050&lt;&gt;"Despesa","",IFERROR(INDEX('Config'!$J$6:$J$40,MATCH(D1050,'Config'!$I$6:$I$40,0)),"—"))</f>
        <v/>
      </c>
      <c r="K1050" s="138" t="str">
        <f>IF(COUNTA(B1050:F1050)=0,"",IF(OR(B1050="",C1050="",D1050="",F1050=""),"▲ Completar","✔"))</f>
        <v/>
      </c>
    </row>
    <row r="1051">
      <c r="B1051" s="130" t="n"/>
      <c r="C1051" s="129" t="n"/>
      <c r="D1051" s="129" t="n"/>
      <c r="E1051" s="129" t="n"/>
      <c r="F1051" s="145" t="n"/>
      <c r="G1051" s="129" t="n"/>
      <c r="H1051" s="129" t="n"/>
      <c r="I1051" s="129" t="n"/>
      <c r="J1051" s="138" t="str">
        <f>IF(C1051&lt;&gt;"Despesa","",IFERROR(INDEX('Config'!$J$6:$J$40,MATCH(D1051,'Config'!$I$6:$I$40,0)),"—"))</f>
        <v/>
      </c>
      <c r="K1051" s="138" t="str">
        <f>IF(COUNTA(B1051:F1051)=0,"",IF(OR(B1051="",C1051="",D1051="",F1051=""),"▲ Completar","✔"))</f>
        <v/>
      </c>
    </row>
    <row r="1052">
      <c r="B1052" s="130" t="n"/>
      <c r="C1052" s="129" t="n"/>
      <c r="D1052" s="129" t="n"/>
      <c r="E1052" s="129" t="n"/>
      <c r="F1052" s="145" t="n"/>
      <c r="G1052" s="129" t="n"/>
      <c r="H1052" s="129" t="n"/>
      <c r="I1052" s="129" t="n"/>
      <c r="J1052" s="138" t="str">
        <f>IF(C1052&lt;&gt;"Despesa","",IFERROR(INDEX('Config'!$J$6:$J$40,MATCH(D1052,'Config'!$I$6:$I$40,0)),"—"))</f>
        <v/>
      </c>
      <c r="K1052" s="138" t="str">
        <f>IF(COUNTA(B1052:F1052)=0,"",IF(OR(B1052="",C1052="",D1052="",F1052=""),"▲ Completar","✔"))</f>
        <v/>
      </c>
    </row>
    <row r="1053">
      <c r="B1053" s="130" t="n"/>
      <c r="C1053" s="129" t="n"/>
      <c r="D1053" s="129" t="n"/>
      <c r="E1053" s="129" t="n"/>
      <c r="F1053" s="145" t="n"/>
      <c r="G1053" s="129" t="n"/>
      <c r="H1053" s="129" t="n"/>
      <c r="I1053" s="129" t="n"/>
      <c r="J1053" s="138" t="str">
        <f>IF(C1053&lt;&gt;"Despesa","",IFERROR(INDEX('Config'!$J$6:$J$40,MATCH(D1053,'Config'!$I$6:$I$40,0)),"—"))</f>
        <v/>
      </c>
      <c r="K1053" s="138" t="str">
        <f>IF(COUNTA(B1053:F1053)=0,"",IF(OR(B1053="",C1053="",D1053="",F1053=""),"▲ Completar","✔"))</f>
        <v/>
      </c>
    </row>
    <row r="1054">
      <c r="B1054" s="130" t="n"/>
      <c r="C1054" s="129" t="n"/>
      <c r="D1054" s="129" t="n"/>
      <c r="E1054" s="129" t="n"/>
      <c r="F1054" s="145" t="n"/>
      <c r="G1054" s="129" t="n"/>
      <c r="H1054" s="129" t="n"/>
      <c r="I1054" s="129" t="n"/>
      <c r="J1054" s="138" t="str">
        <f>IF(C1054&lt;&gt;"Despesa","",IFERROR(INDEX('Config'!$J$6:$J$40,MATCH(D1054,'Config'!$I$6:$I$40,0)),"—"))</f>
        <v/>
      </c>
      <c r="K1054" s="138" t="str">
        <f>IF(COUNTA(B1054:F1054)=0,"",IF(OR(B1054="",C1054="",D1054="",F1054=""),"▲ Completar","✔"))</f>
        <v/>
      </c>
    </row>
    <row r="1055">
      <c r="B1055" s="130" t="n"/>
      <c r="C1055" s="129" t="n"/>
      <c r="D1055" s="129" t="n"/>
      <c r="E1055" s="129" t="n"/>
      <c r="F1055" s="145" t="n"/>
      <c r="G1055" s="129" t="n"/>
      <c r="H1055" s="129" t="n"/>
      <c r="I1055" s="129" t="n"/>
      <c r="J1055" s="138" t="str">
        <f>IF(C1055&lt;&gt;"Despesa","",IFERROR(INDEX('Config'!$J$6:$J$40,MATCH(D1055,'Config'!$I$6:$I$40,0)),"—"))</f>
        <v/>
      </c>
      <c r="K1055" s="138" t="str">
        <f>IF(COUNTA(B1055:F1055)=0,"",IF(OR(B1055="",C1055="",D1055="",F1055=""),"▲ Completar","✔"))</f>
        <v/>
      </c>
    </row>
    <row r="1056">
      <c r="B1056" s="130" t="n"/>
      <c r="C1056" s="129" t="n"/>
      <c r="D1056" s="129" t="n"/>
      <c r="E1056" s="129" t="n"/>
      <c r="F1056" s="145" t="n"/>
      <c r="G1056" s="129" t="n"/>
      <c r="H1056" s="129" t="n"/>
      <c r="I1056" s="129" t="n"/>
      <c r="J1056" s="138" t="str">
        <f>IF(C1056&lt;&gt;"Despesa","",IFERROR(INDEX('Config'!$J$6:$J$40,MATCH(D1056,'Config'!$I$6:$I$40,0)),"—"))</f>
        <v/>
      </c>
      <c r="K1056" s="138" t="str">
        <f>IF(COUNTA(B1056:F1056)=0,"",IF(OR(B1056="",C1056="",D1056="",F1056=""),"▲ Completar","✔"))</f>
        <v/>
      </c>
    </row>
    <row r="1057">
      <c r="B1057" s="130" t="n"/>
      <c r="C1057" s="129" t="n"/>
      <c r="D1057" s="129" t="n"/>
      <c r="E1057" s="129" t="n"/>
      <c r="F1057" s="145" t="n"/>
      <c r="G1057" s="129" t="n"/>
      <c r="H1057" s="129" t="n"/>
      <c r="I1057" s="129" t="n"/>
      <c r="J1057" s="138" t="str">
        <f>IF(C1057&lt;&gt;"Despesa","",IFERROR(INDEX('Config'!$J$6:$J$40,MATCH(D1057,'Config'!$I$6:$I$40,0)),"—"))</f>
        <v/>
      </c>
      <c r="K1057" s="138" t="str">
        <f>IF(COUNTA(B1057:F1057)=0,"",IF(OR(B1057="",C1057="",D1057="",F1057=""),"▲ Completar","✔"))</f>
        <v/>
      </c>
    </row>
    <row r="1058">
      <c r="B1058" s="130" t="n"/>
      <c r="C1058" s="129" t="n"/>
      <c r="D1058" s="129" t="n"/>
      <c r="E1058" s="129" t="n"/>
      <c r="F1058" s="145" t="n"/>
      <c r="G1058" s="129" t="n"/>
      <c r="H1058" s="129" t="n"/>
      <c r="I1058" s="129" t="n"/>
      <c r="J1058" s="138" t="str">
        <f>IF(C1058&lt;&gt;"Despesa","",IFERROR(INDEX('Config'!$J$6:$J$40,MATCH(D1058,'Config'!$I$6:$I$40,0)),"—"))</f>
        <v/>
      </c>
      <c r="K1058" s="138" t="str">
        <f>IF(COUNTA(B1058:F1058)=0,"",IF(OR(B1058="",C1058="",D1058="",F1058=""),"▲ Completar","✔"))</f>
        <v/>
      </c>
    </row>
    <row r="1059">
      <c r="B1059" s="130" t="n"/>
      <c r="C1059" s="129" t="n"/>
      <c r="D1059" s="129" t="n"/>
      <c r="E1059" s="129" t="n"/>
      <c r="F1059" s="145" t="n"/>
      <c r="G1059" s="129" t="n"/>
      <c r="H1059" s="129" t="n"/>
      <c r="I1059" s="129" t="n"/>
      <c r="J1059" s="138" t="str">
        <f>IF(C1059&lt;&gt;"Despesa","",IFERROR(INDEX('Config'!$J$6:$J$40,MATCH(D1059,'Config'!$I$6:$I$40,0)),"—"))</f>
        <v/>
      </c>
      <c r="K1059" s="138" t="str">
        <f>IF(COUNTA(B1059:F1059)=0,"",IF(OR(B1059="",C1059="",D1059="",F1059=""),"▲ Completar","✔"))</f>
        <v/>
      </c>
    </row>
    <row r="1060">
      <c r="B1060" s="130" t="n"/>
      <c r="C1060" s="129" t="n"/>
      <c r="D1060" s="129" t="n"/>
      <c r="E1060" s="129" t="n"/>
      <c r="F1060" s="145" t="n"/>
      <c r="G1060" s="129" t="n"/>
      <c r="H1060" s="129" t="n"/>
      <c r="I1060" s="129" t="n"/>
      <c r="J1060" s="138" t="str">
        <f>IF(C1060&lt;&gt;"Despesa","",IFERROR(INDEX('Config'!$J$6:$J$40,MATCH(D1060,'Config'!$I$6:$I$40,0)),"—"))</f>
        <v/>
      </c>
      <c r="K1060" s="138" t="str">
        <f>IF(COUNTA(B1060:F1060)=0,"",IF(OR(B1060="",C1060="",D1060="",F1060=""),"▲ Completar","✔"))</f>
        <v/>
      </c>
    </row>
    <row r="1061">
      <c r="B1061" s="130" t="n"/>
      <c r="C1061" s="129" t="n"/>
      <c r="D1061" s="129" t="n"/>
      <c r="E1061" s="129" t="n"/>
      <c r="F1061" s="145" t="n"/>
      <c r="G1061" s="129" t="n"/>
      <c r="H1061" s="129" t="n"/>
      <c r="I1061" s="129" t="n"/>
      <c r="J1061" s="138" t="str">
        <f>IF(C1061&lt;&gt;"Despesa","",IFERROR(INDEX('Config'!$J$6:$J$40,MATCH(D1061,'Config'!$I$6:$I$40,0)),"—"))</f>
        <v/>
      </c>
      <c r="K1061" s="138" t="str">
        <f>IF(COUNTA(B1061:F1061)=0,"",IF(OR(B1061="",C1061="",D1061="",F1061=""),"▲ Completar","✔"))</f>
        <v/>
      </c>
    </row>
    <row r="1062">
      <c r="B1062" s="130" t="n"/>
      <c r="C1062" s="129" t="n"/>
      <c r="D1062" s="129" t="n"/>
      <c r="E1062" s="129" t="n"/>
      <c r="F1062" s="145" t="n"/>
      <c r="G1062" s="129" t="n"/>
      <c r="H1062" s="129" t="n"/>
      <c r="I1062" s="129" t="n"/>
      <c r="J1062" s="138" t="str">
        <f>IF(C1062&lt;&gt;"Despesa","",IFERROR(INDEX('Config'!$J$6:$J$40,MATCH(D1062,'Config'!$I$6:$I$40,0)),"—"))</f>
        <v/>
      </c>
      <c r="K1062" s="138" t="str">
        <f>IF(COUNTA(B1062:F1062)=0,"",IF(OR(B1062="",C1062="",D1062="",F1062=""),"▲ Completar","✔"))</f>
        <v/>
      </c>
    </row>
    <row r="1063">
      <c r="B1063" s="130" t="n"/>
      <c r="C1063" s="129" t="n"/>
      <c r="D1063" s="129" t="n"/>
      <c r="E1063" s="129" t="n"/>
      <c r="F1063" s="145" t="n"/>
      <c r="G1063" s="129" t="n"/>
      <c r="H1063" s="129" t="n"/>
      <c r="I1063" s="129" t="n"/>
      <c r="J1063" s="138" t="str">
        <f>IF(C1063&lt;&gt;"Despesa","",IFERROR(INDEX('Config'!$J$6:$J$40,MATCH(D1063,'Config'!$I$6:$I$40,0)),"—"))</f>
        <v/>
      </c>
      <c r="K1063" s="138" t="str">
        <f>IF(COUNTA(B1063:F1063)=0,"",IF(OR(B1063="",C1063="",D1063="",F1063=""),"▲ Completar","✔"))</f>
        <v/>
      </c>
    </row>
    <row r="1064">
      <c r="B1064" s="130" t="n"/>
      <c r="C1064" s="129" t="n"/>
      <c r="D1064" s="129" t="n"/>
      <c r="E1064" s="129" t="n"/>
      <c r="F1064" s="145" t="n"/>
      <c r="G1064" s="129" t="n"/>
      <c r="H1064" s="129" t="n"/>
      <c r="I1064" s="129" t="n"/>
      <c r="J1064" s="138" t="str">
        <f>IF(C1064&lt;&gt;"Despesa","",IFERROR(INDEX('Config'!$J$6:$J$40,MATCH(D1064,'Config'!$I$6:$I$40,0)),"—"))</f>
        <v/>
      </c>
      <c r="K1064" s="138" t="str">
        <f>IF(COUNTA(B1064:F1064)=0,"",IF(OR(B1064="",C1064="",D1064="",F1064=""),"▲ Completar","✔"))</f>
        <v/>
      </c>
    </row>
    <row r="1065">
      <c r="B1065" s="130" t="n"/>
      <c r="C1065" s="129" t="n"/>
      <c r="D1065" s="129" t="n"/>
      <c r="E1065" s="129" t="n"/>
      <c r="F1065" s="145" t="n"/>
      <c r="G1065" s="129" t="n"/>
      <c r="H1065" s="129" t="n"/>
      <c r="I1065" s="129" t="n"/>
      <c r="J1065" s="138" t="str">
        <f>IF(C1065&lt;&gt;"Despesa","",IFERROR(INDEX('Config'!$J$6:$J$40,MATCH(D1065,'Config'!$I$6:$I$40,0)),"—"))</f>
        <v/>
      </c>
      <c r="K1065" s="138" t="str">
        <f>IF(COUNTA(B1065:F1065)=0,"",IF(OR(B1065="",C1065="",D1065="",F1065=""),"▲ Completar","✔"))</f>
        <v/>
      </c>
    </row>
    <row r="1066">
      <c r="B1066" s="130" t="n"/>
      <c r="C1066" s="129" t="n"/>
      <c r="D1066" s="129" t="n"/>
      <c r="E1066" s="129" t="n"/>
      <c r="F1066" s="145" t="n"/>
      <c r="G1066" s="129" t="n"/>
      <c r="H1066" s="129" t="n"/>
      <c r="I1066" s="129" t="n"/>
      <c r="J1066" s="138" t="str">
        <f>IF(C1066&lt;&gt;"Despesa","",IFERROR(INDEX('Config'!$J$6:$J$40,MATCH(D1066,'Config'!$I$6:$I$40,0)),"—"))</f>
        <v/>
      </c>
      <c r="K1066" s="138" t="str">
        <f>IF(COUNTA(B1066:F1066)=0,"",IF(OR(B1066="",C1066="",D1066="",F1066=""),"▲ Completar","✔"))</f>
        <v/>
      </c>
    </row>
    <row r="1067">
      <c r="B1067" s="130" t="n"/>
      <c r="C1067" s="129" t="n"/>
      <c r="D1067" s="129" t="n"/>
      <c r="E1067" s="129" t="n"/>
      <c r="F1067" s="145" t="n"/>
      <c r="G1067" s="129" t="n"/>
      <c r="H1067" s="129" t="n"/>
      <c r="I1067" s="129" t="n"/>
      <c r="J1067" s="138" t="str">
        <f>IF(C1067&lt;&gt;"Despesa","",IFERROR(INDEX('Config'!$J$6:$J$40,MATCH(D1067,'Config'!$I$6:$I$40,0)),"—"))</f>
        <v/>
      </c>
      <c r="K1067" s="138" t="str">
        <f>IF(COUNTA(B1067:F1067)=0,"",IF(OR(B1067="",C1067="",D1067="",F1067=""),"▲ Completar","✔"))</f>
        <v/>
      </c>
    </row>
    <row r="1068">
      <c r="B1068" s="130" t="n"/>
      <c r="C1068" s="129" t="n"/>
      <c r="D1068" s="129" t="n"/>
      <c r="E1068" s="129" t="n"/>
      <c r="F1068" s="145" t="n"/>
      <c r="G1068" s="129" t="n"/>
      <c r="H1068" s="129" t="n"/>
      <c r="I1068" s="129" t="n"/>
      <c r="J1068" s="138" t="str">
        <f>IF(C1068&lt;&gt;"Despesa","",IFERROR(INDEX('Config'!$J$6:$J$40,MATCH(D1068,'Config'!$I$6:$I$40,0)),"—"))</f>
        <v/>
      </c>
      <c r="K1068" s="138" t="str">
        <f>IF(COUNTA(B1068:F1068)=0,"",IF(OR(B1068="",C1068="",D1068="",F1068=""),"▲ Completar","✔"))</f>
        <v/>
      </c>
    </row>
    <row r="1069">
      <c r="B1069" s="130" t="n"/>
      <c r="C1069" s="129" t="n"/>
      <c r="D1069" s="129" t="n"/>
      <c r="E1069" s="129" t="n"/>
      <c r="F1069" s="145" t="n"/>
      <c r="G1069" s="129" t="n"/>
      <c r="H1069" s="129" t="n"/>
      <c r="I1069" s="129" t="n"/>
      <c r="J1069" s="138" t="str">
        <f>IF(C1069&lt;&gt;"Despesa","",IFERROR(INDEX('Config'!$J$6:$J$40,MATCH(D1069,'Config'!$I$6:$I$40,0)),"—"))</f>
        <v/>
      </c>
      <c r="K1069" s="138" t="str">
        <f>IF(COUNTA(B1069:F1069)=0,"",IF(OR(B1069="",C1069="",D1069="",F1069=""),"▲ Completar","✔"))</f>
        <v/>
      </c>
    </row>
    <row r="1070">
      <c r="B1070" s="130" t="n"/>
      <c r="C1070" s="129" t="n"/>
      <c r="D1070" s="129" t="n"/>
      <c r="E1070" s="129" t="n"/>
      <c r="F1070" s="145" t="n"/>
      <c r="G1070" s="129" t="n"/>
      <c r="H1070" s="129" t="n"/>
      <c r="I1070" s="129" t="n"/>
      <c r="J1070" s="138" t="str">
        <f>IF(C1070&lt;&gt;"Despesa","",IFERROR(INDEX('Config'!$J$6:$J$40,MATCH(D1070,'Config'!$I$6:$I$40,0)),"—"))</f>
        <v/>
      </c>
      <c r="K1070" s="138" t="str">
        <f>IF(COUNTA(B1070:F1070)=0,"",IF(OR(B1070="",C1070="",D1070="",F1070=""),"▲ Completar","✔"))</f>
        <v/>
      </c>
    </row>
    <row r="1071">
      <c r="B1071" s="130" t="n"/>
      <c r="C1071" s="129" t="n"/>
      <c r="D1071" s="129" t="n"/>
      <c r="E1071" s="129" t="n"/>
      <c r="F1071" s="145" t="n"/>
      <c r="G1071" s="129" t="n"/>
      <c r="H1071" s="129" t="n"/>
      <c r="I1071" s="129" t="n"/>
      <c r="J1071" s="138" t="str">
        <f>IF(C1071&lt;&gt;"Despesa","",IFERROR(INDEX('Config'!$J$6:$J$40,MATCH(D1071,'Config'!$I$6:$I$40,0)),"—"))</f>
        <v/>
      </c>
      <c r="K1071" s="138" t="str">
        <f>IF(COUNTA(B1071:F1071)=0,"",IF(OR(B1071="",C1071="",D1071="",F1071=""),"▲ Completar","✔"))</f>
        <v/>
      </c>
    </row>
    <row r="1072">
      <c r="B1072" s="130" t="n"/>
      <c r="C1072" s="129" t="n"/>
      <c r="D1072" s="129" t="n"/>
      <c r="E1072" s="129" t="n"/>
      <c r="F1072" s="145" t="n"/>
      <c r="G1072" s="129" t="n"/>
      <c r="H1072" s="129" t="n"/>
      <c r="I1072" s="129" t="n"/>
      <c r="J1072" s="138" t="str">
        <f>IF(C1072&lt;&gt;"Despesa","",IFERROR(INDEX('Config'!$J$6:$J$40,MATCH(D1072,'Config'!$I$6:$I$40,0)),"—"))</f>
        <v/>
      </c>
      <c r="K1072" s="138" t="str">
        <f>IF(COUNTA(B1072:F1072)=0,"",IF(OR(B1072="",C1072="",D1072="",F1072=""),"▲ Completar","✔"))</f>
        <v/>
      </c>
    </row>
    <row r="1073">
      <c r="B1073" s="130" t="n"/>
      <c r="C1073" s="129" t="n"/>
      <c r="D1073" s="129" t="n"/>
      <c r="E1073" s="129" t="n"/>
      <c r="F1073" s="145" t="n"/>
      <c r="G1073" s="129" t="n"/>
      <c r="H1073" s="129" t="n"/>
      <c r="I1073" s="129" t="n"/>
      <c r="J1073" s="138" t="str">
        <f>IF(C1073&lt;&gt;"Despesa","",IFERROR(INDEX('Config'!$J$6:$J$40,MATCH(D1073,'Config'!$I$6:$I$40,0)),"—"))</f>
        <v/>
      </c>
      <c r="K1073" s="138" t="str">
        <f>IF(COUNTA(B1073:F1073)=0,"",IF(OR(B1073="",C1073="",D1073="",F1073=""),"▲ Completar","✔"))</f>
        <v/>
      </c>
    </row>
    <row r="1074">
      <c r="B1074" s="130" t="n"/>
      <c r="C1074" s="129" t="n"/>
      <c r="D1074" s="129" t="n"/>
      <c r="E1074" s="129" t="n"/>
      <c r="F1074" s="145" t="n"/>
      <c r="G1074" s="129" t="n"/>
      <c r="H1074" s="129" t="n"/>
      <c r="I1074" s="129" t="n"/>
      <c r="J1074" s="138" t="str">
        <f>IF(C1074&lt;&gt;"Despesa","",IFERROR(INDEX('Config'!$J$6:$J$40,MATCH(D1074,'Config'!$I$6:$I$40,0)),"—"))</f>
        <v/>
      </c>
      <c r="K1074" s="138" t="str">
        <f>IF(COUNTA(B1074:F1074)=0,"",IF(OR(B1074="",C1074="",D1074="",F1074=""),"▲ Completar","✔"))</f>
        <v/>
      </c>
    </row>
    <row r="1075">
      <c r="B1075" s="130" t="n"/>
      <c r="C1075" s="129" t="n"/>
      <c r="D1075" s="129" t="n"/>
      <c r="E1075" s="129" t="n"/>
      <c r="F1075" s="145" t="n"/>
      <c r="G1075" s="129" t="n"/>
      <c r="H1075" s="129" t="n"/>
      <c r="I1075" s="129" t="n"/>
      <c r="J1075" s="138" t="str">
        <f>IF(C1075&lt;&gt;"Despesa","",IFERROR(INDEX('Config'!$J$6:$J$40,MATCH(D1075,'Config'!$I$6:$I$40,0)),"—"))</f>
        <v/>
      </c>
      <c r="K1075" s="138" t="str">
        <f>IF(COUNTA(B1075:F1075)=0,"",IF(OR(B1075="",C1075="",D1075="",F1075=""),"▲ Completar","✔"))</f>
        <v/>
      </c>
    </row>
    <row r="1076">
      <c r="B1076" s="130" t="n"/>
      <c r="C1076" s="129" t="n"/>
      <c r="D1076" s="129" t="n"/>
      <c r="E1076" s="129" t="n"/>
      <c r="F1076" s="145" t="n"/>
      <c r="G1076" s="129" t="n"/>
      <c r="H1076" s="129" t="n"/>
      <c r="I1076" s="129" t="n"/>
      <c r="J1076" s="138" t="str">
        <f>IF(C1076&lt;&gt;"Despesa","",IFERROR(INDEX('Config'!$J$6:$J$40,MATCH(D1076,'Config'!$I$6:$I$40,0)),"—"))</f>
        <v/>
      </c>
      <c r="K1076" s="138" t="str">
        <f>IF(COUNTA(B1076:F1076)=0,"",IF(OR(B1076="",C1076="",D1076="",F1076=""),"▲ Completar","✔"))</f>
        <v/>
      </c>
    </row>
    <row r="1077">
      <c r="B1077" s="130" t="n"/>
      <c r="C1077" s="129" t="n"/>
      <c r="D1077" s="129" t="n"/>
      <c r="E1077" s="129" t="n"/>
      <c r="F1077" s="145" t="n"/>
      <c r="G1077" s="129" t="n"/>
      <c r="H1077" s="129" t="n"/>
      <c r="I1077" s="129" t="n"/>
      <c r="J1077" s="138" t="str">
        <f>IF(C1077&lt;&gt;"Despesa","",IFERROR(INDEX('Config'!$J$6:$J$40,MATCH(D1077,'Config'!$I$6:$I$40,0)),"—"))</f>
        <v/>
      </c>
      <c r="K1077" s="138" t="str">
        <f>IF(COUNTA(B1077:F1077)=0,"",IF(OR(B1077="",C1077="",D1077="",F1077=""),"▲ Completar","✔"))</f>
        <v/>
      </c>
    </row>
    <row r="1078">
      <c r="B1078" s="130" t="n"/>
      <c r="C1078" s="129" t="n"/>
      <c r="D1078" s="129" t="n"/>
      <c r="E1078" s="129" t="n"/>
      <c r="F1078" s="145" t="n"/>
      <c r="G1078" s="129" t="n"/>
      <c r="H1078" s="129" t="n"/>
      <c r="I1078" s="129" t="n"/>
      <c r="J1078" s="138" t="str">
        <f>IF(C1078&lt;&gt;"Despesa","",IFERROR(INDEX('Config'!$J$6:$J$40,MATCH(D1078,'Config'!$I$6:$I$40,0)),"—"))</f>
        <v/>
      </c>
      <c r="K1078" s="138" t="str">
        <f>IF(COUNTA(B1078:F1078)=0,"",IF(OR(B1078="",C1078="",D1078="",F1078=""),"▲ Completar","✔"))</f>
        <v/>
      </c>
    </row>
    <row r="1079">
      <c r="B1079" s="130" t="n"/>
      <c r="C1079" s="129" t="n"/>
      <c r="D1079" s="129" t="n"/>
      <c r="E1079" s="129" t="n"/>
      <c r="F1079" s="145" t="n"/>
      <c r="G1079" s="129" t="n"/>
      <c r="H1079" s="129" t="n"/>
      <c r="I1079" s="129" t="n"/>
      <c r="J1079" s="138" t="str">
        <f>IF(C1079&lt;&gt;"Despesa","",IFERROR(INDEX('Config'!$J$6:$J$40,MATCH(D1079,'Config'!$I$6:$I$40,0)),"—"))</f>
        <v/>
      </c>
      <c r="K1079" s="138" t="str">
        <f>IF(COUNTA(B1079:F1079)=0,"",IF(OR(B1079="",C1079="",D1079="",F1079=""),"▲ Completar","✔"))</f>
        <v/>
      </c>
    </row>
    <row r="1080">
      <c r="B1080" s="130" t="n"/>
      <c r="C1080" s="129" t="n"/>
      <c r="D1080" s="129" t="n"/>
      <c r="E1080" s="129" t="n"/>
      <c r="F1080" s="145" t="n"/>
      <c r="G1080" s="129" t="n"/>
      <c r="H1080" s="129" t="n"/>
      <c r="I1080" s="129" t="n"/>
      <c r="J1080" s="138" t="str">
        <f>IF(C1080&lt;&gt;"Despesa","",IFERROR(INDEX('Config'!$J$6:$J$40,MATCH(D1080,'Config'!$I$6:$I$40,0)),"—"))</f>
        <v/>
      </c>
      <c r="K1080" s="138" t="str">
        <f>IF(COUNTA(B1080:F1080)=0,"",IF(OR(B1080="",C1080="",D1080="",F1080=""),"▲ Completar","✔"))</f>
        <v/>
      </c>
    </row>
    <row r="1081">
      <c r="B1081" s="130" t="n"/>
      <c r="C1081" s="129" t="n"/>
      <c r="D1081" s="129" t="n"/>
      <c r="E1081" s="129" t="n"/>
      <c r="F1081" s="145" t="n"/>
      <c r="G1081" s="129" t="n"/>
      <c r="H1081" s="129" t="n"/>
      <c r="I1081" s="129" t="n"/>
      <c r="J1081" s="138" t="str">
        <f>IF(C1081&lt;&gt;"Despesa","",IFERROR(INDEX('Config'!$J$6:$J$40,MATCH(D1081,'Config'!$I$6:$I$40,0)),"—"))</f>
        <v/>
      </c>
      <c r="K1081" s="138" t="str">
        <f>IF(COUNTA(B1081:F1081)=0,"",IF(OR(B1081="",C1081="",D1081="",F1081=""),"▲ Completar","✔"))</f>
        <v/>
      </c>
    </row>
    <row r="1082">
      <c r="B1082" s="130" t="n"/>
      <c r="C1082" s="129" t="n"/>
      <c r="D1082" s="129" t="n"/>
      <c r="E1082" s="129" t="n"/>
      <c r="F1082" s="145" t="n"/>
      <c r="G1082" s="129" t="n"/>
      <c r="H1082" s="129" t="n"/>
      <c r="I1082" s="129" t="n"/>
      <c r="J1082" s="138" t="str">
        <f>IF(C1082&lt;&gt;"Despesa","",IFERROR(INDEX('Config'!$J$6:$J$40,MATCH(D1082,'Config'!$I$6:$I$40,0)),"—"))</f>
        <v/>
      </c>
      <c r="K1082" s="138" t="str">
        <f>IF(COUNTA(B1082:F1082)=0,"",IF(OR(B1082="",C1082="",D1082="",F1082=""),"▲ Completar","✔"))</f>
        <v/>
      </c>
    </row>
    <row r="1083">
      <c r="B1083" s="130" t="n"/>
      <c r="C1083" s="129" t="n"/>
      <c r="D1083" s="129" t="n"/>
      <c r="E1083" s="129" t="n"/>
      <c r="F1083" s="145" t="n"/>
      <c r="G1083" s="129" t="n"/>
      <c r="H1083" s="129" t="n"/>
      <c r="I1083" s="129" t="n"/>
      <c r="J1083" s="138" t="str">
        <f>IF(C1083&lt;&gt;"Despesa","",IFERROR(INDEX('Config'!$J$6:$J$40,MATCH(D1083,'Config'!$I$6:$I$40,0)),"—"))</f>
        <v/>
      </c>
      <c r="K1083" s="138" t="str">
        <f>IF(COUNTA(B1083:F1083)=0,"",IF(OR(B1083="",C1083="",D1083="",F1083=""),"▲ Completar","✔"))</f>
        <v/>
      </c>
    </row>
    <row r="1084">
      <c r="B1084" s="130" t="n"/>
      <c r="C1084" s="129" t="n"/>
      <c r="D1084" s="129" t="n"/>
      <c r="E1084" s="129" t="n"/>
      <c r="F1084" s="145" t="n"/>
      <c r="G1084" s="129" t="n"/>
      <c r="H1084" s="129" t="n"/>
      <c r="I1084" s="129" t="n"/>
      <c r="J1084" s="138" t="str">
        <f>IF(C1084&lt;&gt;"Despesa","",IFERROR(INDEX('Config'!$J$6:$J$40,MATCH(D1084,'Config'!$I$6:$I$40,0)),"—"))</f>
        <v/>
      </c>
      <c r="K1084" s="138" t="str">
        <f>IF(COUNTA(B1084:F1084)=0,"",IF(OR(B1084="",C1084="",D1084="",F1084=""),"▲ Completar","✔"))</f>
        <v/>
      </c>
    </row>
    <row r="1085">
      <c r="B1085" s="130" t="n"/>
      <c r="C1085" s="129" t="n"/>
      <c r="D1085" s="129" t="n"/>
      <c r="E1085" s="129" t="n"/>
      <c r="F1085" s="145" t="n"/>
      <c r="G1085" s="129" t="n"/>
      <c r="H1085" s="129" t="n"/>
      <c r="I1085" s="129" t="n"/>
      <c r="J1085" s="138" t="str">
        <f>IF(C1085&lt;&gt;"Despesa","",IFERROR(INDEX('Config'!$J$6:$J$40,MATCH(D1085,'Config'!$I$6:$I$40,0)),"—"))</f>
        <v/>
      </c>
      <c r="K1085" s="138" t="str">
        <f>IF(COUNTA(B1085:F1085)=0,"",IF(OR(B1085="",C1085="",D1085="",F1085=""),"▲ Completar","✔"))</f>
        <v/>
      </c>
    </row>
    <row r="1086">
      <c r="B1086" s="130" t="n"/>
      <c r="C1086" s="129" t="n"/>
      <c r="D1086" s="129" t="n"/>
      <c r="E1086" s="129" t="n"/>
      <c r="F1086" s="145" t="n"/>
      <c r="G1086" s="129" t="n"/>
      <c r="H1086" s="129" t="n"/>
      <c r="I1086" s="129" t="n"/>
      <c r="J1086" s="138" t="str">
        <f>IF(C1086&lt;&gt;"Despesa","",IFERROR(INDEX('Config'!$J$6:$J$40,MATCH(D1086,'Config'!$I$6:$I$40,0)),"—"))</f>
        <v/>
      </c>
      <c r="K1086" s="138" t="str">
        <f>IF(COUNTA(B1086:F1086)=0,"",IF(OR(B1086="",C1086="",D1086="",F1086=""),"▲ Completar","✔"))</f>
        <v/>
      </c>
    </row>
    <row r="1087">
      <c r="B1087" s="130" t="n"/>
      <c r="C1087" s="129" t="n"/>
      <c r="D1087" s="129" t="n"/>
      <c r="E1087" s="129" t="n"/>
      <c r="F1087" s="145" t="n"/>
      <c r="G1087" s="129" t="n"/>
      <c r="H1087" s="129" t="n"/>
      <c r="I1087" s="129" t="n"/>
      <c r="J1087" s="138" t="str">
        <f>IF(C1087&lt;&gt;"Despesa","",IFERROR(INDEX('Config'!$J$6:$J$40,MATCH(D1087,'Config'!$I$6:$I$40,0)),"—"))</f>
        <v/>
      </c>
      <c r="K1087" s="138" t="str">
        <f>IF(COUNTA(B1087:F1087)=0,"",IF(OR(B1087="",C1087="",D1087="",F1087=""),"▲ Completar","✔"))</f>
        <v/>
      </c>
    </row>
    <row r="1088">
      <c r="B1088" s="130" t="n"/>
      <c r="C1088" s="129" t="n"/>
      <c r="D1088" s="129" t="n"/>
      <c r="E1088" s="129" t="n"/>
      <c r="F1088" s="145" t="n"/>
      <c r="G1088" s="129" t="n"/>
      <c r="H1088" s="129" t="n"/>
      <c r="I1088" s="129" t="n"/>
      <c r="J1088" s="138" t="str">
        <f>IF(C1088&lt;&gt;"Despesa","",IFERROR(INDEX('Config'!$J$6:$J$40,MATCH(D1088,'Config'!$I$6:$I$40,0)),"—"))</f>
        <v/>
      </c>
      <c r="K1088" s="138" t="str">
        <f>IF(COUNTA(B1088:F1088)=0,"",IF(OR(B1088="",C1088="",D1088="",F1088=""),"▲ Completar","✔"))</f>
        <v/>
      </c>
    </row>
    <row r="1089">
      <c r="B1089" s="130" t="n"/>
      <c r="C1089" s="129" t="n"/>
      <c r="D1089" s="129" t="n"/>
      <c r="E1089" s="129" t="n"/>
      <c r="F1089" s="145" t="n"/>
      <c r="G1089" s="129" t="n"/>
      <c r="H1089" s="129" t="n"/>
      <c r="I1089" s="129" t="n"/>
      <c r="J1089" s="138" t="str">
        <f>IF(C1089&lt;&gt;"Despesa","",IFERROR(INDEX('Config'!$J$6:$J$40,MATCH(D1089,'Config'!$I$6:$I$40,0)),"—"))</f>
        <v/>
      </c>
      <c r="K1089" s="138" t="str">
        <f>IF(COUNTA(B1089:F1089)=0,"",IF(OR(B1089="",C1089="",D1089="",F1089=""),"▲ Completar","✔"))</f>
        <v/>
      </c>
    </row>
    <row r="1090">
      <c r="B1090" s="130" t="n"/>
      <c r="C1090" s="129" t="n"/>
      <c r="D1090" s="129" t="n"/>
      <c r="E1090" s="129" t="n"/>
      <c r="F1090" s="145" t="n"/>
      <c r="G1090" s="129" t="n"/>
      <c r="H1090" s="129" t="n"/>
      <c r="I1090" s="129" t="n"/>
      <c r="J1090" s="138" t="str">
        <f>IF(C1090&lt;&gt;"Despesa","",IFERROR(INDEX('Config'!$J$6:$J$40,MATCH(D1090,'Config'!$I$6:$I$40,0)),"—"))</f>
        <v/>
      </c>
      <c r="K1090" s="138" t="str">
        <f>IF(COUNTA(B1090:F1090)=0,"",IF(OR(B1090="",C1090="",D1090="",F1090=""),"▲ Completar","✔"))</f>
        <v/>
      </c>
    </row>
    <row r="1091">
      <c r="B1091" s="130" t="n"/>
      <c r="C1091" s="129" t="n"/>
      <c r="D1091" s="129" t="n"/>
      <c r="E1091" s="129" t="n"/>
      <c r="F1091" s="145" t="n"/>
      <c r="G1091" s="129" t="n"/>
      <c r="H1091" s="129" t="n"/>
      <c r="I1091" s="129" t="n"/>
      <c r="J1091" s="138" t="str">
        <f>IF(C1091&lt;&gt;"Despesa","",IFERROR(INDEX('Config'!$J$6:$J$40,MATCH(D1091,'Config'!$I$6:$I$40,0)),"—"))</f>
        <v/>
      </c>
      <c r="K1091" s="138" t="str">
        <f>IF(COUNTA(B1091:F1091)=0,"",IF(OR(B1091="",C1091="",D1091="",F1091=""),"▲ Completar","✔"))</f>
        <v/>
      </c>
    </row>
    <row r="1092">
      <c r="B1092" s="130" t="n"/>
      <c r="C1092" s="129" t="n"/>
      <c r="D1092" s="129" t="n"/>
      <c r="E1092" s="129" t="n"/>
      <c r="F1092" s="145" t="n"/>
      <c r="G1092" s="129" t="n"/>
      <c r="H1092" s="129" t="n"/>
      <c r="I1092" s="129" t="n"/>
      <c r="J1092" s="138" t="str">
        <f>IF(C1092&lt;&gt;"Despesa","",IFERROR(INDEX('Config'!$J$6:$J$40,MATCH(D1092,'Config'!$I$6:$I$40,0)),"—"))</f>
        <v/>
      </c>
      <c r="K1092" s="138" t="str">
        <f>IF(COUNTA(B1092:F1092)=0,"",IF(OR(B1092="",C1092="",D1092="",F1092=""),"▲ Completar","✔"))</f>
        <v/>
      </c>
    </row>
    <row r="1093">
      <c r="B1093" s="130" t="n"/>
      <c r="C1093" s="129" t="n"/>
      <c r="D1093" s="129" t="n"/>
      <c r="E1093" s="129" t="n"/>
      <c r="F1093" s="145" t="n"/>
      <c r="G1093" s="129" t="n"/>
      <c r="H1093" s="129" t="n"/>
      <c r="I1093" s="129" t="n"/>
      <c r="J1093" s="138" t="str">
        <f>IF(C1093&lt;&gt;"Despesa","",IFERROR(INDEX('Config'!$J$6:$J$40,MATCH(D1093,'Config'!$I$6:$I$40,0)),"—"))</f>
        <v/>
      </c>
      <c r="K1093" s="138" t="str">
        <f>IF(COUNTA(B1093:F1093)=0,"",IF(OR(B1093="",C1093="",D1093="",F1093=""),"▲ Completar","✔"))</f>
        <v/>
      </c>
    </row>
    <row r="1094">
      <c r="B1094" s="130" t="n"/>
      <c r="C1094" s="129" t="n"/>
      <c r="D1094" s="129" t="n"/>
      <c r="E1094" s="129" t="n"/>
      <c r="F1094" s="145" t="n"/>
      <c r="G1094" s="129" t="n"/>
      <c r="H1094" s="129" t="n"/>
      <c r="I1094" s="129" t="n"/>
      <c r="J1094" s="138" t="str">
        <f>IF(C1094&lt;&gt;"Despesa","",IFERROR(INDEX('Config'!$J$6:$J$40,MATCH(D1094,'Config'!$I$6:$I$40,0)),"—"))</f>
        <v/>
      </c>
      <c r="K1094" s="138" t="str">
        <f>IF(COUNTA(B1094:F1094)=0,"",IF(OR(B1094="",C1094="",D1094="",F1094=""),"▲ Completar","✔"))</f>
        <v/>
      </c>
    </row>
    <row r="1095">
      <c r="B1095" s="130" t="n"/>
      <c r="C1095" s="129" t="n"/>
      <c r="D1095" s="129" t="n"/>
      <c r="E1095" s="129" t="n"/>
      <c r="F1095" s="145" t="n"/>
      <c r="G1095" s="129" t="n"/>
      <c r="H1095" s="129" t="n"/>
      <c r="I1095" s="129" t="n"/>
      <c r="J1095" s="138" t="str">
        <f>IF(C1095&lt;&gt;"Despesa","",IFERROR(INDEX('Config'!$J$6:$J$40,MATCH(D1095,'Config'!$I$6:$I$40,0)),"—"))</f>
        <v/>
      </c>
      <c r="K1095" s="138" t="str">
        <f>IF(COUNTA(B1095:F1095)=0,"",IF(OR(B1095="",C1095="",D1095="",F1095=""),"▲ Completar","✔"))</f>
        <v/>
      </c>
    </row>
    <row r="1096">
      <c r="B1096" s="130" t="n"/>
      <c r="C1096" s="129" t="n"/>
      <c r="D1096" s="129" t="n"/>
      <c r="E1096" s="129" t="n"/>
      <c r="F1096" s="145" t="n"/>
      <c r="G1096" s="129" t="n"/>
      <c r="H1096" s="129" t="n"/>
      <c r="I1096" s="129" t="n"/>
      <c r="J1096" s="138" t="str">
        <f>IF(C1096&lt;&gt;"Despesa","",IFERROR(INDEX('Config'!$J$6:$J$40,MATCH(D1096,'Config'!$I$6:$I$40,0)),"—"))</f>
        <v/>
      </c>
      <c r="K1096" s="138" t="str">
        <f>IF(COUNTA(B1096:F1096)=0,"",IF(OR(B1096="",C1096="",D1096="",F1096=""),"▲ Completar","✔"))</f>
        <v/>
      </c>
    </row>
    <row r="1097">
      <c r="B1097" s="130" t="n"/>
      <c r="C1097" s="129" t="n"/>
      <c r="D1097" s="129" t="n"/>
      <c r="E1097" s="129" t="n"/>
      <c r="F1097" s="145" t="n"/>
      <c r="G1097" s="129" t="n"/>
      <c r="H1097" s="129" t="n"/>
      <c r="I1097" s="129" t="n"/>
      <c r="J1097" s="138" t="str">
        <f>IF(C1097&lt;&gt;"Despesa","",IFERROR(INDEX('Config'!$J$6:$J$40,MATCH(D1097,'Config'!$I$6:$I$40,0)),"—"))</f>
        <v/>
      </c>
      <c r="K1097" s="138" t="str">
        <f>IF(COUNTA(B1097:F1097)=0,"",IF(OR(B1097="",C1097="",D1097="",F1097=""),"▲ Completar","✔"))</f>
        <v/>
      </c>
    </row>
    <row r="1098">
      <c r="B1098" s="130" t="n"/>
      <c r="C1098" s="129" t="n"/>
      <c r="D1098" s="129" t="n"/>
      <c r="E1098" s="129" t="n"/>
      <c r="F1098" s="145" t="n"/>
      <c r="G1098" s="129" t="n"/>
      <c r="H1098" s="129" t="n"/>
      <c r="I1098" s="129" t="n"/>
      <c r="J1098" s="138" t="str">
        <f>IF(C1098&lt;&gt;"Despesa","",IFERROR(INDEX('Config'!$J$6:$J$40,MATCH(D1098,'Config'!$I$6:$I$40,0)),"—"))</f>
        <v/>
      </c>
      <c r="K1098" s="138" t="str">
        <f>IF(COUNTA(B1098:F1098)=0,"",IF(OR(B1098="",C1098="",D1098="",F1098=""),"▲ Completar","✔"))</f>
        <v/>
      </c>
    </row>
    <row r="1099">
      <c r="B1099" s="130" t="n"/>
      <c r="C1099" s="129" t="n"/>
      <c r="D1099" s="129" t="n"/>
      <c r="E1099" s="129" t="n"/>
      <c r="F1099" s="145" t="n"/>
      <c r="G1099" s="129" t="n"/>
      <c r="H1099" s="129" t="n"/>
      <c r="I1099" s="129" t="n"/>
      <c r="J1099" s="138" t="str">
        <f>IF(C1099&lt;&gt;"Despesa","",IFERROR(INDEX('Config'!$J$6:$J$40,MATCH(D1099,'Config'!$I$6:$I$40,0)),"—"))</f>
        <v/>
      </c>
      <c r="K1099" s="138" t="str">
        <f>IF(COUNTA(B1099:F1099)=0,"",IF(OR(B1099="",C1099="",D1099="",F1099=""),"▲ Completar","✔"))</f>
        <v/>
      </c>
    </row>
    <row r="1100">
      <c r="B1100" s="130" t="n"/>
      <c r="C1100" s="129" t="n"/>
      <c r="D1100" s="129" t="n"/>
      <c r="E1100" s="129" t="n"/>
      <c r="F1100" s="145" t="n"/>
      <c r="G1100" s="129" t="n"/>
      <c r="H1100" s="129" t="n"/>
      <c r="I1100" s="129" t="n"/>
      <c r="J1100" s="138" t="str">
        <f>IF(C1100&lt;&gt;"Despesa","",IFERROR(INDEX('Config'!$J$6:$J$40,MATCH(D1100,'Config'!$I$6:$I$40,0)),"—"))</f>
        <v/>
      </c>
      <c r="K1100" s="138" t="str">
        <f>IF(COUNTA(B1100:F1100)=0,"",IF(OR(B1100="",C1100="",D1100="",F1100=""),"▲ Completar","✔"))</f>
        <v/>
      </c>
    </row>
    <row r="1101">
      <c r="B1101" s="130" t="n"/>
      <c r="C1101" s="129" t="n"/>
      <c r="D1101" s="129" t="n"/>
      <c r="E1101" s="129" t="n"/>
      <c r="F1101" s="145" t="n"/>
      <c r="G1101" s="129" t="n"/>
      <c r="H1101" s="129" t="n"/>
      <c r="I1101" s="129" t="n"/>
      <c r="J1101" s="138" t="str">
        <f>IF(C1101&lt;&gt;"Despesa","",IFERROR(INDEX('Config'!$J$6:$J$40,MATCH(D1101,'Config'!$I$6:$I$40,0)),"—"))</f>
        <v/>
      </c>
      <c r="K1101" s="138" t="str">
        <f>IF(COUNTA(B1101:F1101)=0,"",IF(OR(B1101="",C1101="",D1101="",F1101=""),"▲ Completar","✔"))</f>
        <v/>
      </c>
    </row>
    <row r="1102">
      <c r="B1102" s="130" t="n"/>
      <c r="C1102" s="129" t="n"/>
      <c r="D1102" s="129" t="n"/>
      <c r="E1102" s="129" t="n"/>
      <c r="F1102" s="145" t="n"/>
      <c r="G1102" s="129" t="n"/>
      <c r="H1102" s="129" t="n"/>
      <c r="I1102" s="129" t="n"/>
      <c r="J1102" s="138" t="str">
        <f>IF(C1102&lt;&gt;"Despesa","",IFERROR(INDEX('Config'!$J$6:$J$40,MATCH(D1102,'Config'!$I$6:$I$40,0)),"—"))</f>
        <v/>
      </c>
      <c r="K1102" s="138" t="str">
        <f>IF(COUNTA(B1102:F1102)=0,"",IF(OR(B1102="",C1102="",D1102="",F1102=""),"▲ Completar","✔"))</f>
        <v/>
      </c>
    </row>
    <row r="1103">
      <c r="B1103" s="130" t="n"/>
      <c r="C1103" s="129" t="n"/>
      <c r="D1103" s="129" t="n"/>
      <c r="E1103" s="129" t="n"/>
      <c r="F1103" s="145" t="n"/>
      <c r="G1103" s="129" t="n"/>
      <c r="H1103" s="129" t="n"/>
      <c r="I1103" s="129" t="n"/>
      <c r="J1103" s="138" t="str">
        <f>IF(C1103&lt;&gt;"Despesa","",IFERROR(INDEX('Config'!$J$6:$J$40,MATCH(D1103,'Config'!$I$6:$I$40,0)),"—"))</f>
        <v/>
      </c>
      <c r="K1103" s="138" t="str">
        <f>IF(COUNTA(B1103:F1103)=0,"",IF(OR(B1103="",C1103="",D1103="",F1103=""),"▲ Completar","✔"))</f>
        <v/>
      </c>
    </row>
    <row r="1104">
      <c r="B1104" s="130" t="n"/>
      <c r="C1104" s="129" t="n"/>
      <c r="D1104" s="129" t="n"/>
      <c r="E1104" s="129" t="n"/>
      <c r="F1104" s="145" t="n"/>
      <c r="G1104" s="129" t="n"/>
      <c r="H1104" s="129" t="n"/>
      <c r="I1104" s="129" t="n"/>
      <c r="J1104" s="138" t="str">
        <f>IF(C1104&lt;&gt;"Despesa","",IFERROR(INDEX('Config'!$J$6:$J$40,MATCH(D1104,'Config'!$I$6:$I$40,0)),"—"))</f>
        <v/>
      </c>
      <c r="K1104" s="138" t="str">
        <f>IF(COUNTA(B1104:F1104)=0,"",IF(OR(B1104="",C1104="",D1104="",F1104=""),"▲ Completar","✔"))</f>
        <v/>
      </c>
    </row>
    <row r="1105">
      <c r="B1105" s="130" t="n"/>
      <c r="C1105" s="129" t="n"/>
      <c r="D1105" s="129" t="n"/>
      <c r="E1105" s="129" t="n"/>
      <c r="F1105" s="145" t="n"/>
      <c r="G1105" s="129" t="n"/>
      <c r="H1105" s="129" t="n"/>
      <c r="I1105" s="129" t="n"/>
      <c r="J1105" s="138" t="str">
        <f>IF(C1105&lt;&gt;"Despesa","",IFERROR(INDEX('Config'!$J$6:$J$40,MATCH(D1105,'Config'!$I$6:$I$40,0)),"—"))</f>
        <v/>
      </c>
      <c r="K1105" s="138" t="str">
        <f>IF(COUNTA(B1105:F1105)=0,"",IF(OR(B1105="",C1105="",D1105="",F1105=""),"▲ Completar","✔"))</f>
        <v/>
      </c>
    </row>
    <row r="1106">
      <c r="B1106" s="130" t="n"/>
      <c r="C1106" s="129" t="n"/>
      <c r="D1106" s="129" t="n"/>
      <c r="E1106" s="129" t="n"/>
      <c r="F1106" s="145" t="n"/>
      <c r="G1106" s="129" t="n"/>
      <c r="H1106" s="129" t="n"/>
      <c r="I1106" s="129" t="n"/>
      <c r="J1106" s="138" t="str">
        <f>IF(C1106&lt;&gt;"Despesa","",IFERROR(INDEX('Config'!$J$6:$J$40,MATCH(D1106,'Config'!$I$6:$I$40,0)),"—"))</f>
        <v/>
      </c>
      <c r="K1106" s="138" t="str">
        <f>IF(COUNTA(B1106:F1106)=0,"",IF(OR(B1106="",C1106="",D1106="",F1106=""),"▲ Completar","✔"))</f>
        <v/>
      </c>
    </row>
    <row r="1107">
      <c r="B1107" s="130" t="n"/>
      <c r="C1107" s="129" t="n"/>
      <c r="D1107" s="129" t="n"/>
      <c r="E1107" s="129" t="n"/>
      <c r="F1107" s="145" t="n"/>
      <c r="G1107" s="129" t="n"/>
      <c r="H1107" s="129" t="n"/>
      <c r="I1107" s="129" t="n"/>
      <c r="J1107" s="138" t="str">
        <f>IF(C1107&lt;&gt;"Despesa","",IFERROR(INDEX('Config'!$J$6:$J$40,MATCH(D1107,'Config'!$I$6:$I$40,0)),"—"))</f>
        <v/>
      </c>
      <c r="K1107" s="138" t="str">
        <f>IF(COUNTA(B1107:F1107)=0,"",IF(OR(B1107="",C1107="",D1107="",F1107=""),"▲ Completar","✔"))</f>
        <v/>
      </c>
    </row>
    <row r="1108">
      <c r="B1108" s="130" t="n"/>
      <c r="C1108" s="129" t="n"/>
      <c r="D1108" s="129" t="n"/>
      <c r="E1108" s="129" t="n"/>
      <c r="F1108" s="145" t="n"/>
      <c r="G1108" s="129" t="n"/>
      <c r="H1108" s="129" t="n"/>
      <c r="I1108" s="129" t="n"/>
      <c r="J1108" s="138" t="str">
        <f>IF(C1108&lt;&gt;"Despesa","",IFERROR(INDEX('Config'!$J$6:$J$40,MATCH(D1108,'Config'!$I$6:$I$40,0)),"—"))</f>
        <v/>
      </c>
      <c r="K1108" s="138" t="str">
        <f>IF(COUNTA(B1108:F1108)=0,"",IF(OR(B1108="",C1108="",D1108="",F1108=""),"▲ Completar","✔"))</f>
        <v/>
      </c>
    </row>
    <row r="1109">
      <c r="B1109" s="130" t="n"/>
      <c r="C1109" s="129" t="n"/>
      <c r="D1109" s="129" t="n"/>
      <c r="E1109" s="129" t="n"/>
      <c r="F1109" s="145" t="n"/>
      <c r="G1109" s="129" t="n"/>
      <c r="H1109" s="129" t="n"/>
      <c r="I1109" s="129" t="n"/>
      <c r="J1109" s="138" t="str">
        <f>IF(C1109&lt;&gt;"Despesa","",IFERROR(INDEX('Config'!$J$6:$J$40,MATCH(D1109,'Config'!$I$6:$I$40,0)),"—"))</f>
        <v/>
      </c>
      <c r="K1109" s="138" t="str">
        <f>IF(COUNTA(B1109:F1109)=0,"",IF(OR(B1109="",C1109="",D1109="",F1109=""),"▲ Completar","✔"))</f>
        <v/>
      </c>
    </row>
    <row r="1110">
      <c r="B1110" s="130" t="n"/>
      <c r="C1110" s="129" t="n"/>
      <c r="D1110" s="129" t="n"/>
      <c r="E1110" s="129" t="n"/>
      <c r="F1110" s="145" t="n"/>
      <c r="G1110" s="129" t="n"/>
      <c r="H1110" s="129" t="n"/>
      <c r="I1110" s="129" t="n"/>
      <c r="J1110" s="138" t="str">
        <f>IF(C1110&lt;&gt;"Despesa","",IFERROR(INDEX('Config'!$J$6:$J$40,MATCH(D1110,'Config'!$I$6:$I$40,0)),"—"))</f>
        <v/>
      </c>
      <c r="K1110" s="138" t="str">
        <f>IF(COUNTA(B1110:F1110)=0,"",IF(OR(B1110="",C1110="",D1110="",F1110=""),"▲ Completar","✔"))</f>
        <v/>
      </c>
    </row>
    <row r="1111">
      <c r="B1111" s="130" t="n"/>
      <c r="C1111" s="129" t="n"/>
      <c r="D1111" s="129" t="n"/>
      <c r="E1111" s="129" t="n"/>
      <c r="F1111" s="145" t="n"/>
      <c r="G1111" s="129" t="n"/>
      <c r="H1111" s="129" t="n"/>
      <c r="I1111" s="129" t="n"/>
      <c r="J1111" s="138" t="str">
        <f>IF(C1111&lt;&gt;"Despesa","",IFERROR(INDEX('Config'!$J$6:$J$40,MATCH(D1111,'Config'!$I$6:$I$40,0)),"—"))</f>
        <v/>
      </c>
      <c r="K1111" s="138" t="str">
        <f>IF(COUNTA(B1111:F1111)=0,"",IF(OR(B1111="",C1111="",D1111="",F1111=""),"▲ Completar","✔"))</f>
        <v/>
      </c>
    </row>
    <row r="1112">
      <c r="B1112" s="130" t="n"/>
      <c r="C1112" s="129" t="n"/>
      <c r="D1112" s="129" t="n"/>
      <c r="E1112" s="129" t="n"/>
      <c r="F1112" s="145" t="n"/>
      <c r="G1112" s="129" t="n"/>
      <c r="H1112" s="129" t="n"/>
      <c r="I1112" s="129" t="n"/>
      <c r="J1112" s="138" t="str">
        <f>IF(C1112&lt;&gt;"Despesa","",IFERROR(INDEX('Config'!$J$6:$J$40,MATCH(D1112,'Config'!$I$6:$I$40,0)),"—"))</f>
        <v/>
      </c>
      <c r="K1112" s="138" t="str">
        <f>IF(COUNTA(B1112:F1112)=0,"",IF(OR(B1112="",C1112="",D1112="",F1112=""),"▲ Completar","✔"))</f>
        <v/>
      </c>
    </row>
    <row r="1113">
      <c r="B1113" s="130" t="n"/>
      <c r="C1113" s="129" t="n"/>
      <c r="D1113" s="129" t="n"/>
      <c r="E1113" s="129" t="n"/>
      <c r="F1113" s="145" t="n"/>
      <c r="G1113" s="129" t="n"/>
      <c r="H1113" s="129" t="n"/>
      <c r="I1113" s="129" t="n"/>
      <c r="J1113" s="138" t="str">
        <f>IF(C1113&lt;&gt;"Despesa","",IFERROR(INDEX('Config'!$J$6:$J$40,MATCH(D1113,'Config'!$I$6:$I$40,0)),"—"))</f>
        <v/>
      </c>
      <c r="K1113" s="138" t="str">
        <f>IF(COUNTA(B1113:F1113)=0,"",IF(OR(B1113="",C1113="",D1113="",F1113=""),"▲ Completar","✔"))</f>
        <v/>
      </c>
    </row>
    <row r="1114">
      <c r="B1114" s="130" t="n"/>
      <c r="C1114" s="129" t="n"/>
      <c r="D1114" s="129" t="n"/>
      <c r="E1114" s="129" t="n"/>
      <c r="F1114" s="145" t="n"/>
      <c r="G1114" s="129" t="n"/>
      <c r="H1114" s="129" t="n"/>
      <c r="I1114" s="129" t="n"/>
      <c r="J1114" s="138" t="str">
        <f>IF(C1114&lt;&gt;"Despesa","",IFERROR(INDEX('Config'!$J$6:$J$40,MATCH(D1114,'Config'!$I$6:$I$40,0)),"—"))</f>
        <v/>
      </c>
      <c r="K1114" s="138" t="str">
        <f>IF(COUNTA(B1114:F1114)=0,"",IF(OR(B1114="",C1114="",D1114="",F1114=""),"▲ Completar","✔"))</f>
        <v/>
      </c>
    </row>
    <row r="1115">
      <c r="B1115" s="130" t="n"/>
      <c r="C1115" s="129" t="n"/>
      <c r="D1115" s="129" t="n"/>
      <c r="E1115" s="129" t="n"/>
      <c r="F1115" s="145" t="n"/>
      <c r="G1115" s="129" t="n"/>
      <c r="H1115" s="129" t="n"/>
      <c r="I1115" s="129" t="n"/>
      <c r="J1115" s="138" t="str">
        <f>IF(C1115&lt;&gt;"Despesa","",IFERROR(INDEX('Config'!$J$6:$J$40,MATCH(D1115,'Config'!$I$6:$I$40,0)),"—"))</f>
        <v/>
      </c>
      <c r="K1115" s="138" t="str">
        <f>IF(COUNTA(B1115:F1115)=0,"",IF(OR(B1115="",C1115="",D1115="",F1115=""),"▲ Completar","✔"))</f>
        <v/>
      </c>
    </row>
    <row r="1116">
      <c r="B1116" s="130" t="n"/>
      <c r="C1116" s="129" t="n"/>
      <c r="D1116" s="129" t="n"/>
      <c r="E1116" s="129" t="n"/>
      <c r="F1116" s="145" t="n"/>
      <c r="G1116" s="129" t="n"/>
      <c r="H1116" s="129" t="n"/>
      <c r="I1116" s="129" t="n"/>
      <c r="J1116" s="138" t="str">
        <f>IF(C1116&lt;&gt;"Despesa","",IFERROR(INDEX('Config'!$J$6:$J$40,MATCH(D1116,'Config'!$I$6:$I$40,0)),"—"))</f>
        <v/>
      </c>
      <c r="K1116" s="138" t="str">
        <f>IF(COUNTA(B1116:F1116)=0,"",IF(OR(B1116="",C1116="",D1116="",F1116=""),"▲ Completar","✔"))</f>
        <v/>
      </c>
    </row>
    <row r="1117">
      <c r="B1117" s="130" t="n"/>
      <c r="C1117" s="129" t="n"/>
      <c r="D1117" s="129" t="n"/>
      <c r="E1117" s="129" t="n"/>
      <c r="F1117" s="145" t="n"/>
      <c r="G1117" s="129" t="n"/>
      <c r="H1117" s="129" t="n"/>
      <c r="I1117" s="129" t="n"/>
      <c r="J1117" s="138" t="str">
        <f>IF(C1117&lt;&gt;"Despesa","",IFERROR(INDEX('Config'!$J$6:$J$40,MATCH(D1117,'Config'!$I$6:$I$40,0)),"—"))</f>
        <v/>
      </c>
      <c r="K1117" s="138" t="str">
        <f>IF(COUNTA(B1117:F1117)=0,"",IF(OR(B1117="",C1117="",D1117="",F1117=""),"▲ Completar","✔"))</f>
        <v/>
      </c>
    </row>
    <row r="1118">
      <c r="B1118" s="130" t="n"/>
      <c r="C1118" s="129" t="n"/>
      <c r="D1118" s="129" t="n"/>
      <c r="E1118" s="129" t="n"/>
      <c r="F1118" s="145" t="n"/>
      <c r="G1118" s="129" t="n"/>
      <c r="H1118" s="129" t="n"/>
      <c r="I1118" s="129" t="n"/>
      <c r="J1118" s="138" t="str">
        <f>IF(C1118&lt;&gt;"Despesa","",IFERROR(INDEX('Config'!$J$6:$J$40,MATCH(D1118,'Config'!$I$6:$I$40,0)),"—"))</f>
        <v/>
      </c>
      <c r="K1118" s="138" t="str">
        <f>IF(COUNTA(B1118:F1118)=0,"",IF(OR(B1118="",C1118="",D1118="",F1118=""),"▲ Completar","✔"))</f>
        <v/>
      </c>
    </row>
    <row r="1119">
      <c r="B1119" s="130" t="n"/>
      <c r="C1119" s="129" t="n"/>
      <c r="D1119" s="129" t="n"/>
      <c r="E1119" s="129" t="n"/>
      <c r="F1119" s="145" t="n"/>
      <c r="G1119" s="129" t="n"/>
      <c r="H1119" s="129" t="n"/>
      <c r="I1119" s="129" t="n"/>
      <c r="J1119" s="138" t="str">
        <f>IF(C1119&lt;&gt;"Despesa","",IFERROR(INDEX('Config'!$J$6:$J$40,MATCH(D1119,'Config'!$I$6:$I$40,0)),"—"))</f>
        <v/>
      </c>
      <c r="K1119" s="138" t="str">
        <f>IF(COUNTA(B1119:F1119)=0,"",IF(OR(B1119="",C1119="",D1119="",F1119=""),"▲ Completar","✔"))</f>
        <v/>
      </c>
    </row>
    <row r="1120">
      <c r="B1120" s="130" t="n"/>
      <c r="C1120" s="129" t="n"/>
      <c r="D1120" s="129" t="n"/>
      <c r="E1120" s="129" t="n"/>
      <c r="F1120" s="145" t="n"/>
      <c r="G1120" s="129" t="n"/>
      <c r="H1120" s="129" t="n"/>
      <c r="I1120" s="129" t="n"/>
      <c r="J1120" s="138" t="str">
        <f>IF(C1120&lt;&gt;"Despesa","",IFERROR(INDEX('Config'!$J$6:$J$40,MATCH(D1120,'Config'!$I$6:$I$40,0)),"—"))</f>
        <v/>
      </c>
      <c r="K1120" s="138" t="str">
        <f>IF(COUNTA(B1120:F1120)=0,"",IF(OR(B1120="",C1120="",D1120="",F1120=""),"▲ Completar","✔"))</f>
        <v/>
      </c>
    </row>
    <row r="1121">
      <c r="B1121" s="130" t="n"/>
      <c r="C1121" s="129" t="n"/>
      <c r="D1121" s="129" t="n"/>
      <c r="E1121" s="129" t="n"/>
      <c r="F1121" s="145" t="n"/>
      <c r="G1121" s="129" t="n"/>
      <c r="H1121" s="129" t="n"/>
      <c r="I1121" s="129" t="n"/>
      <c r="J1121" s="138" t="str">
        <f>IF(C1121&lt;&gt;"Despesa","",IFERROR(INDEX('Config'!$J$6:$J$40,MATCH(D1121,'Config'!$I$6:$I$40,0)),"—"))</f>
        <v/>
      </c>
      <c r="K1121" s="138" t="str">
        <f>IF(COUNTA(B1121:F1121)=0,"",IF(OR(B1121="",C1121="",D1121="",F1121=""),"▲ Completar","✔"))</f>
        <v/>
      </c>
    </row>
    <row r="1122">
      <c r="B1122" s="130" t="n"/>
      <c r="C1122" s="129" t="n"/>
      <c r="D1122" s="129" t="n"/>
      <c r="E1122" s="129" t="n"/>
      <c r="F1122" s="145" t="n"/>
      <c r="G1122" s="129" t="n"/>
      <c r="H1122" s="129" t="n"/>
      <c r="I1122" s="129" t="n"/>
      <c r="J1122" s="138" t="str">
        <f>IF(C1122&lt;&gt;"Despesa","",IFERROR(INDEX('Config'!$J$6:$J$40,MATCH(D1122,'Config'!$I$6:$I$40,0)),"—"))</f>
        <v/>
      </c>
      <c r="K1122" s="138" t="str">
        <f>IF(COUNTA(B1122:F1122)=0,"",IF(OR(B1122="",C1122="",D1122="",F1122=""),"▲ Completar","✔"))</f>
        <v/>
      </c>
    </row>
    <row r="1123">
      <c r="B1123" s="130" t="n"/>
      <c r="C1123" s="129" t="n"/>
      <c r="D1123" s="129" t="n"/>
      <c r="E1123" s="129" t="n"/>
      <c r="F1123" s="145" t="n"/>
      <c r="G1123" s="129" t="n"/>
      <c r="H1123" s="129" t="n"/>
      <c r="I1123" s="129" t="n"/>
      <c r="J1123" s="138" t="str">
        <f>IF(C1123&lt;&gt;"Despesa","",IFERROR(INDEX('Config'!$J$6:$J$40,MATCH(D1123,'Config'!$I$6:$I$40,0)),"—"))</f>
        <v/>
      </c>
      <c r="K1123" s="138" t="str">
        <f>IF(COUNTA(B1123:F1123)=0,"",IF(OR(B1123="",C1123="",D1123="",F1123=""),"▲ Completar","✔"))</f>
        <v/>
      </c>
    </row>
    <row r="1124">
      <c r="B1124" s="130" t="n"/>
      <c r="C1124" s="129" t="n"/>
      <c r="D1124" s="129" t="n"/>
      <c r="E1124" s="129" t="n"/>
      <c r="F1124" s="145" t="n"/>
      <c r="G1124" s="129" t="n"/>
      <c r="H1124" s="129" t="n"/>
      <c r="I1124" s="129" t="n"/>
      <c r="J1124" s="138" t="str">
        <f>IF(C1124&lt;&gt;"Despesa","",IFERROR(INDEX('Config'!$J$6:$J$40,MATCH(D1124,'Config'!$I$6:$I$40,0)),"—"))</f>
        <v/>
      </c>
      <c r="K1124" s="138" t="str">
        <f>IF(COUNTA(B1124:F1124)=0,"",IF(OR(B1124="",C1124="",D1124="",F1124=""),"▲ Completar","✔"))</f>
        <v/>
      </c>
    </row>
    <row r="1125">
      <c r="B1125" s="130" t="n"/>
      <c r="C1125" s="129" t="n"/>
      <c r="D1125" s="129" t="n"/>
      <c r="E1125" s="129" t="n"/>
      <c r="F1125" s="145" t="n"/>
      <c r="G1125" s="129" t="n"/>
      <c r="H1125" s="129" t="n"/>
      <c r="I1125" s="129" t="n"/>
      <c r="J1125" s="138" t="str">
        <f>IF(C1125&lt;&gt;"Despesa","",IFERROR(INDEX('Config'!$J$6:$J$40,MATCH(D1125,'Config'!$I$6:$I$40,0)),"—"))</f>
        <v/>
      </c>
      <c r="K1125" s="138" t="str">
        <f>IF(COUNTA(B1125:F1125)=0,"",IF(OR(B1125="",C1125="",D1125="",F1125=""),"▲ Completar","✔"))</f>
        <v/>
      </c>
    </row>
    <row r="1126">
      <c r="B1126" s="130" t="n"/>
      <c r="C1126" s="129" t="n"/>
      <c r="D1126" s="129" t="n"/>
      <c r="E1126" s="129" t="n"/>
      <c r="F1126" s="145" t="n"/>
      <c r="G1126" s="129" t="n"/>
      <c r="H1126" s="129" t="n"/>
      <c r="I1126" s="129" t="n"/>
      <c r="J1126" s="138" t="str">
        <f>IF(C1126&lt;&gt;"Despesa","",IFERROR(INDEX('Config'!$J$6:$J$40,MATCH(D1126,'Config'!$I$6:$I$40,0)),"—"))</f>
        <v/>
      </c>
      <c r="K1126" s="138" t="str">
        <f>IF(COUNTA(B1126:F1126)=0,"",IF(OR(B1126="",C1126="",D1126="",F1126=""),"▲ Completar","✔"))</f>
        <v/>
      </c>
    </row>
    <row r="1127">
      <c r="B1127" s="130" t="n"/>
      <c r="C1127" s="129" t="n"/>
      <c r="D1127" s="129" t="n"/>
      <c r="E1127" s="129" t="n"/>
      <c r="F1127" s="145" t="n"/>
      <c r="G1127" s="129" t="n"/>
      <c r="H1127" s="129" t="n"/>
      <c r="I1127" s="129" t="n"/>
      <c r="J1127" s="138" t="str">
        <f>IF(C1127&lt;&gt;"Despesa","",IFERROR(INDEX('Config'!$J$6:$J$40,MATCH(D1127,'Config'!$I$6:$I$40,0)),"—"))</f>
        <v/>
      </c>
      <c r="K1127" s="138" t="str">
        <f>IF(COUNTA(B1127:F1127)=0,"",IF(OR(B1127="",C1127="",D1127="",F1127=""),"▲ Completar","✔"))</f>
        <v/>
      </c>
    </row>
    <row r="1128">
      <c r="B1128" s="130" t="n"/>
      <c r="C1128" s="129" t="n"/>
      <c r="D1128" s="129" t="n"/>
      <c r="E1128" s="129" t="n"/>
      <c r="F1128" s="145" t="n"/>
      <c r="G1128" s="129" t="n"/>
      <c r="H1128" s="129" t="n"/>
      <c r="I1128" s="129" t="n"/>
      <c r="J1128" s="138" t="str">
        <f>IF(C1128&lt;&gt;"Despesa","",IFERROR(INDEX('Config'!$J$6:$J$40,MATCH(D1128,'Config'!$I$6:$I$40,0)),"—"))</f>
        <v/>
      </c>
      <c r="K1128" s="138" t="str">
        <f>IF(COUNTA(B1128:F1128)=0,"",IF(OR(B1128="",C1128="",D1128="",F1128=""),"▲ Completar","✔"))</f>
        <v/>
      </c>
    </row>
    <row r="1129">
      <c r="B1129" s="130" t="n"/>
      <c r="C1129" s="129" t="n"/>
      <c r="D1129" s="129" t="n"/>
      <c r="E1129" s="129" t="n"/>
      <c r="F1129" s="145" t="n"/>
      <c r="G1129" s="129" t="n"/>
      <c r="H1129" s="129" t="n"/>
      <c r="I1129" s="129" t="n"/>
      <c r="J1129" s="138" t="str">
        <f>IF(C1129&lt;&gt;"Despesa","",IFERROR(INDEX('Config'!$J$6:$J$40,MATCH(D1129,'Config'!$I$6:$I$40,0)),"—"))</f>
        <v/>
      </c>
      <c r="K1129" s="138" t="str">
        <f>IF(COUNTA(B1129:F1129)=0,"",IF(OR(B1129="",C1129="",D1129="",F1129=""),"▲ Completar","✔"))</f>
        <v/>
      </c>
    </row>
    <row r="1130">
      <c r="B1130" s="130" t="n"/>
      <c r="C1130" s="129" t="n"/>
      <c r="D1130" s="129" t="n"/>
      <c r="E1130" s="129" t="n"/>
      <c r="F1130" s="145" t="n"/>
      <c r="G1130" s="129" t="n"/>
      <c r="H1130" s="129" t="n"/>
      <c r="I1130" s="129" t="n"/>
      <c r="J1130" s="138" t="str">
        <f>IF(C1130&lt;&gt;"Despesa","",IFERROR(INDEX('Config'!$J$6:$J$40,MATCH(D1130,'Config'!$I$6:$I$40,0)),"—"))</f>
        <v/>
      </c>
      <c r="K1130" s="138" t="str">
        <f>IF(COUNTA(B1130:F1130)=0,"",IF(OR(B1130="",C1130="",D1130="",F1130=""),"▲ Completar","✔"))</f>
        <v/>
      </c>
    </row>
    <row r="1131">
      <c r="B1131" s="130" t="n"/>
      <c r="C1131" s="129" t="n"/>
      <c r="D1131" s="129" t="n"/>
      <c r="E1131" s="129" t="n"/>
      <c r="F1131" s="145" t="n"/>
      <c r="G1131" s="129" t="n"/>
      <c r="H1131" s="129" t="n"/>
      <c r="I1131" s="129" t="n"/>
      <c r="J1131" s="138" t="str">
        <f>IF(C1131&lt;&gt;"Despesa","",IFERROR(INDEX('Config'!$J$6:$J$40,MATCH(D1131,'Config'!$I$6:$I$40,0)),"—"))</f>
        <v/>
      </c>
      <c r="K1131" s="138" t="str">
        <f>IF(COUNTA(B1131:F1131)=0,"",IF(OR(B1131="",C1131="",D1131="",F1131=""),"▲ Completar","✔"))</f>
        <v/>
      </c>
    </row>
    <row r="1132">
      <c r="B1132" s="130" t="n"/>
      <c r="C1132" s="129" t="n"/>
      <c r="D1132" s="129" t="n"/>
      <c r="E1132" s="129" t="n"/>
      <c r="F1132" s="145" t="n"/>
      <c r="G1132" s="129" t="n"/>
      <c r="H1132" s="129" t="n"/>
      <c r="I1132" s="129" t="n"/>
      <c r="J1132" s="138" t="str">
        <f>IF(C1132&lt;&gt;"Despesa","",IFERROR(INDEX('Config'!$J$6:$J$40,MATCH(D1132,'Config'!$I$6:$I$40,0)),"—"))</f>
        <v/>
      </c>
      <c r="K1132" s="138" t="str">
        <f>IF(COUNTA(B1132:F1132)=0,"",IF(OR(B1132="",C1132="",D1132="",F1132=""),"▲ Completar","✔"))</f>
        <v/>
      </c>
    </row>
    <row r="1133">
      <c r="B1133" s="130" t="n"/>
      <c r="C1133" s="129" t="n"/>
      <c r="D1133" s="129" t="n"/>
      <c r="E1133" s="129" t="n"/>
      <c r="F1133" s="145" t="n"/>
      <c r="G1133" s="129" t="n"/>
      <c r="H1133" s="129" t="n"/>
      <c r="I1133" s="129" t="n"/>
      <c r="J1133" s="138" t="str">
        <f>IF(C1133&lt;&gt;"Despesa","",IFERROR(INDEX('Config'!$J$6:$J$40,MATCH(D1133,'Config'!$I$6:$I$40,0)),"—"))</f>
        <v/>
      </c>
      <c r="K1133" s="138" t="str">
        <f>IF(COUNTA(B1133:F1133)=0,"",IF(OR(B1133="",C1133="",D1133="",F1133=""),"▲ Completar","✔"))</f>
        <v/>
      </c>
    </row>
    <row r="1134">
      <c r="B1134" s="130" t="n"/>
      <c r="C1134" s="129" t="n"/>
      <c r="D1134" s="129" t="n"/>
      <c r="E1134" s="129" t="n"/>
      <c r="F1134" s="145" t="n"/>
      <c r="G1134" s="129" t="n"/>
      <c r="H1134" s="129" t="n"/>
      <c r="I1134" s="129" t="n"/>
      <c r="J1134" s="138" t="str">
        <f>IF(C1134&lt;&gt;"Despesa","",IFERROR(INDEX('Config'!$J$6:$J$40,MATCH(D1134,'Config'!$I$6:$I$40,0)),"—"))</f>
        <v/>
      </c>
      <c r="K1134" s="138" t="str">
        <f>IF(COUNTA(B1134:F1134)=0,"",IF(OR(B1134="",C1134="",D1134="",F1134=""),"▲ Completar","✔"))</f>
        <v/>
      </c>
    </row>
    <row r="1135">
      <c r="B1135" s="130" t="n"/>
      <c r="C1135" s="129" t="n"/>
      <c r="D1135" s="129" t="n"/>
      <c r="E1135" s="129" t="n"/>
      <c r="F1135" s="145" t="n"/>
      <c r="G1135" s="129" t="n"/>
      <c r="H1135" s="129" t="n"/>
      <c r="I1135" s="129" t="n"/>
      <c r="J1135" s="138" t="str">
        <f>IF(C1135&lt;&gt;"Despesa","",IFERROR(INDEX('Config'!$J$6:$J$40,MATCH(D1135,'Config'!$I$6:$I$40,0)),"—"))</f>
        <v/>
      </c>
      <c r="K1135" s="138" t="str">
        <f>IF(COUNTA(B1135:F1135)=0,"",IF(OR(B1135="",C1135="",D1135="",F1135=""),"▲ Completar","✔"))</f>
        <v/>
      </c>
    </row>
    <row r="1136">
      <c r="B1136" s="130" t="n"/>
      <c r="C1136" s="129" t="n"/>
      <c r="D1136" s="129" t="n"/>
      <c r="E1136" s="129" t="n"/>
      <c r="F1136" s="145" t="n"/>
      <c r="G1136" s="129" t="n"/>
      <c r="H1136" s="129" t="n"/>
      <c r="I1136" s="129" t="n"/>
      <c r="J1136" s="138" t="str">
        <f>IF(C1136&lt;&gt;"Despesa","",IFERROR(INDEX('Config'!$J$6:$J$40,MATCH(D1136,'Config'!$I$6:$I$40,0)),"—"))</f>
        <v/>
      </c>
      <c r="K1136" s="138" t="str">
        <f>IF(COUNTA(B1136:F1136)=0,"",IF(OR(B1136="",C1136="",D1136="",F1136=""),"▲ Completar","✔"))</f>
        <v/>
      </c>
    </row>
    <row r="1137">
      <c r="B1137" s="130" t="n"/>
      <c r="C1137" s="129" t="n"/>
      <c r="D1137" s="129" t="n"/>
      <c r="E1137" s="129" t="n"/>
      <c r="F1137" s="145" t="n"/>
      <c r="G1137" s="129" t="n"/>
      <c r="H1137" s="129" t="n"/>
      <c r="I1137" s="129" t="n"/>
      <c r="J1137" s="138" t="str">
        <f>IF(C1137&lt;&gt;"Despesa","",IFERROR(INDEX('Config'!$J$6:$J$40,MATCH(D1137,'Config'!$I$6:$I$40,0)),"—"))</f>
        <v/>
      </c>
      <c r="K1137" s="138" t="str">
        <f>IF(COUNTA(B1137:F1137)=0,"",IF(OR(B1137="",C1137="",D1137="",F1137=""),"▲ Completar","✔"))</f>
        <v/>
      </c>
    </row>
    <row r="1138">
      <c r="B1138" s="130" t="n"/>
      <c r="C1138" s="129" t="n"/>
      <c r="D1138" s="129" t="n"/>
      <c r="E1138" s="129" t="n"/>
      <c r="F1138" s="145" t="n"/>
      <c r="G1138" s="129" t="n"/>
      <c r="H1138" s="129" t="n"/>
      <c r="I1138" s="129" t="n"/>
      <c r="J1138" s="138" t="str">
        <f>IF(C1138&lt;&gt;"Despesa","",IFERROR(INDEX('Config'!$J$6:$J$40,MATCH(D1138,'Config'!$I$6:$I$40,0)),"—"))</f>
        <v/>
      </c>
      <c r="K1138" s="138" t="str">
        <f>IF(COUNTA(B1138:F1138)=0,"",IF(OR(B1138="",C1138="",D1138="",F1138=""),"▲ Completar","✔"))</f>
        <v/>
      </c>
    </row>
    <row r="1139">
      <c r="B1139" s="130" t="n"/>
      <c r="C1139" s="129" t="n"/>
      <c r="D1139" s="129" t="n"/>
      <c r="E1139" s="129" t="n"/>
      <c r="F1139" s="145" t="n"/>
      <c r="G1139" s="129" t="n"/>
      <c r="H1139" s="129" t="n"/>
      <c r="I1139" s="129" t="n"/>
      <c r="J1139" s="138" t="str">
        <f>IF(C1139&lt;&gt;"Despesa","",IFERROR(INDEX('Config'!$J$6:$J$40,MATCH(D1139,'Config'!$I$6:$I$40,0)),"—"))</f>
        <v/>
      </c>
      <c r="K1139" s="138" t="str">
        <f>IF(COUNTA(B1139:F1139)=0,"",IF(OR(B1139="",C1139="",D1139="",F1139=""),"▲ Completar","✔"))</f>
        <v/>
      </c>
    </row>
    <row r="1140">
      <c r="B1140" s="130" t="n"/>
      <c r="C1140" s="129" t="n"/>
      <c r="D1140" s="129" t="n"/>
      <c r="E1140" s="129" t="n"/>
      <c r="F1140" s="145" t="n"/>
      <c r="G1140" s="129" t="n"/>
      <c r="H1140" s="129" t="n"/>
      <c r="I1140" s="129" t="n"/>
      <c r="J1140" s="138" t="str">
        <f>IF(C1140&lt;&gt;"Despesa","",IFERROR(INDEX('Config'!$J$6:$J$40,MATCH(D1140,'Config'!$I$6:$I$40,0)),"—"))</f>
        <v/>
      </c>
      <c r="K1140" s="138" t="str">
        <f>IF(COUNTA(B1140:F1140)=0,"",IF(OR(B1140="",C1140="",D1140="",F1140=""),"▲ Completar","✔"))</f>
        <v/>
      </c>
    </row>
    <row r="1141">
      <c r="B1141" s="130" t="n"/>
      <c r="C1141" s="129" t="n"/>
      <c r="D1141" s="129" t="n"/>
      <c r="E1141" s="129" t="n"/>
      <c r="F1141" s="145" t="n"/>
      <c r="G1141" s="129" t="n"/>
      <c r="H1141" s="129" t="n"/>
      <c r="I1141" s="129" t="n"/>
      <c r="J1141" s="138" t="str">
        <f>IF(C1141&lt;&gt;"Despesa","",IFERROR(INDEX('Config'!$J$6:$J$40,MATCH(D1141,'Config'!$I$6:$I$40,0)),"—"))</f>
        <v/>
      </c>
      <c r="K1141" s="138" t="str">
        <f>IF(COUNTA(B1141:F1141)=0,"",IF(OR(B1141="",C1141="",D1141="",F1141=""),"▲ Completar","✔"))</f>
        <v/>
      </c>
    </row>
    <row r="1142">
      <c r="B1142" s="130" t="n"/>
      <c r="C1142" s="129" t="n"/>
      <c r="D1142" s="129" t="n"/>
      <c r="E1142" s="129" t="n"/>
      <c r="F1142" s="145" t="n"/>
      <c r="G1142" s="129" t="n"/>
      <c r="H1142" s="129" t="n"/>
      <c r="I1142" s="129" t="n"/>
      <c r="J1142" s="138" t="str">
        <f>IF(C1142&lt;&gt;"Despesa","",IFERROR(INDEX('Config'!$J$6:$J$40,MATCH(D1142,'Config'!$I$6:$I$40,0)),"—"))</f>
        <v/>
      </c>
      <c r="K1142" s="138" t="str">
        <f>IF(COUNTA(B1142:F1142)=0,"",IF(OR(B1142="",C1142="",D1142="",F1142=""),"▲ Completar","✔"))</f>
        <v/>
      </c>
    </row>
    <row r="1143">
      <c r="B1143" s="130" t="n"/>
      <c r="C1143" s="129" t="n"/>
      <c r="D1143" s="129" t="n"/>
      <c r="E1143" s="129" t="n"/>
      <c r="F1143" s="145" t="n"/>
      <c r="G1143" s="129" t="n"/>
      <c r="H1143" s="129" t="n"/>
      <c r="I1143" s="129" t="n"/>
      <c r="J1143" s="138" t="str">
        <f>IF(C1143&lt;&gt;"Despesa","",IFERROR(INDEX('Config'!$J$6:$J$40,MATCH(D1143,'Config'!$I$6:$I$40,0)),"—"))</f>
        <v/>
      </c>
      <c r="K1143" s="138" t="str">
        <f>IF(COUNTA(B1143:F1143)=0,"",IF(OR(B1143="",C1143="",D1143="",F1143=""),"▲ Completar","✔"))</f>
        <v/>
      </c>
    </row>
    <row r="1144">
      <c r="B1144" s="130" t="n"/>
      <c r="C1144" s="129" t="n"/>
      <c r="D1144" s="129" t="n"/>
      <c r="E1144" s="129" t="n"/>
      <c r="F1144" s="145" t="n"/>
      <c r="G1144" s="129" t="n"/>
      <c r="H1144" s="129" t="n"/>
      <c r="I1144" s="129" t="n"/>
      <c r="J1144" s="138" t="str">
        <f>IF(C1144&lt;&gt;"Despesa","",IFERROR(INDEX('Config'!$J$6:$J$40,MATCH(D1144,'Config'!$I$6:$I$40,0)),"—"))</f>
        <v/>
      </c>
      <c r="K1144" s="138" t="str">
        <f>IF(COUNTA(B1144:F1144)=0,"",IF(OR(B1144="",C1144="",D1144="",F1144=""),"▲ Completar","✔"))</f>
        <v/>
      </c>
    </row>
    <row r="1145">
      <c r="B1145" s="130" t="n"/>
      <c r="C1145" s="129" t="n"/>
      <c r="D1145" s="129" t="n"/>
      <c r="E1145" s="129" t="n"/>
      <c r="F1145" s="145" t="n"/>
      <c r="G1145" s="129" t="n"/>
      <c r="H1145" s="129" t="n"/>
      <c r="I1145" s="129" t="n"/>
      <c r="J1145" s="138" t="str">
        <f>IF(C1145&lt;&gt;"Despesa","",IFERROR(INDEX('Config'!$J$6:$J$40,MATCH(D1145,'Config'!$I$6:$I$40,0)),"—"))</f>
        <v/>
      </c>
      <c r="K1145" s="138" t="str">
        <f>IF(COUNTA(B1145:F1145)=0,"",IF(OR(B1145="",C1145="",D1145="",F1145=""),"▲ Completar","✔"))</f>
        <v/>
      </c>
    </row>
    <row r="1146">
      <c r="B1146" s="130" t="n"/>
      <c r="C1146" s="129" t="n"/>
      <c r="D1146" s="129" t="n"/>
      <c r="E1146" s="129" t="n"/>
      <c r="F1146" s="145" t="n"/>
      <c r="G1146" s="129" t="n"/>
      <c r="H1146" s="129" t="n"/>
      <c r="I1146" s="129" t="n"/>
      <c r="J1146" s="138" t="str">
        <f>IF(C1146&lt;&gt;"Despesa","",IFERROR(INDEX('Config'!$J$6:$J$40,MATCH(D1146,'Config'!$I$6:$I$40,0)),"—"))</f>
        <v/>
      </c>
      <c r="K1146" s="138" t="str">
        <f>IF(COUNTA(B1146:F1146)=0,"",IF(OR(B1146="",C1146="",D1146="",F1146=""),"▲ Completar","✔"))</f>
        <v/>
      </c>
    </row>
    <row r="1147">
      <c r="B1147" s="130" t="n"/>
      <c r="C1147" s="129" t="n"/>
      <c r="D1147" s="129" t="n"/>
      <c r="E1147" s="129" t="n"/>
      <c r="F1147" s="145" t="n"/>
      <c r="G1147" s="129" t="n"/>
      <c r="H1147" s="129" t="n"/>
      <c r="I1147" s="129" t="n"/>
      <c r="J1147" s="138" t="str">
        <f>IF(C1147&lt;&gt;"Despesa","",IFERROR(INDEX('Config'!$J$6:$J$40,MATCH(D1147,'Config'!$I$6:$I$40,0)),"—"))</f>
        <v/>
      </c>
      <c r="K1147" s="138" t="str">
        <f>IF(COUNTA(B1147:F1147)=0,"",IF(OR(B1147="",C1147="",D1147="",F1147=""),"▲ Completar","✔"))</f>
        <v/>
      </c>
    </row>
    <row r="1148">
      <c r="B1148" s="130" t="n"/>
      <c r="C1148" s="129" t="n"/>
      <c r="D1148" s="129" t="n"/>
      <c r="E1148" s="129" t="n"/>
      <c r="F1148" s="145" t="n"/>
      <c r="G1148" s="129" t="n"/>
      <c r="H1148" s="129" t="n"/>
      <c r="I1148" s="129" t="n"/>
      <c r="J1148" s="138" t="str">
        <f>IF(C1148&lt;&gt;"Despesa","",IFERROR(INDEX('Config'!$J$6:$J$40,MATCH(D1148,'Config'!$I$6:$I$40,0)),"—"))</f>
        <v/>
      </c>
      <c r="K1148" s="138" t="str">
        <f>IF(COUNTA(B1148:F1148)=0,"",IF(OR(B1148="",C1148="",D1148="",F1148=""),"▲ Completar","✔"))</f>
        <v/>
      </c>
    </row>
    <row r="1149">
      <c r="B1149" s="130" t="n"/>
      <c r="C1149" s="129" t="n"/>
      <c r="D1149" s="129" t="n"/>
      <c r="E1149" s="129" t="n"/>
      <c r="F1149" s="145" t="n"/>
      <c r="G1149" s="129" t="n"/>
      <c r="H1149" s="129" t="n"/>
      <c r="I1149" s="129" t="n"/>
      <c r="J1149" s="138" t="str">
        <f>IF(C1149&lt;&gt;"Despesa","",IFERROR(INDEX('Config'!$J$6:$J$40,MATCH(D1149,'Config'!$I$6:$I$40,0)),"—"))</f>
        <v/>
      </c>
      <c r="K1149" s="138" t="str">
        <f>IF(COUNTA(B1149:F1149)=0,"",IF(OR(B1149="",C1149="",D1149="",F1149=""),"▲ Completar","✔"))</f>
        <v/>
      </c>
    </row>
    <row r="1150">
      <c r="B1150" s="130" t="n"/>
      <c r="C1150" s="129" t="n"/>
      <c r="D1150" s="129" t="n"/>
      <c r="E1150" s="129" t="n"/>
      <c r="F1150" s="145" t="n"/>
      <c r="G1150" s="129" t="n"/>
      <c r="H1150" s="129" t="n"/>
      <c r="I1150" s="129" t="n"/>
      <c r="J1150" s="138" t="str">
        <f>IF(C1150&lt;&gt;"Despesa","",IFERROR(INDEX('Config'!$J$6:$J$40,MATCH(D1150,'Config'!$I$6:$I$40,0)),"—"))</f>
        <v/>
      </c>
      <c r="K1150" s="138" t="str">
        <f>IF(COUNTA(B1150:F1150)=0,"",IF(OR(B1150="",C1150="",D1150="",F1150=""),"▲ Completar","✔"))</f>
        <v/>
      </c>
    </row>
    <row r="1151">
      <c r="B1151" s="130" t="n"/>
      <c r="C1151" s="129" t="n"/>
      <c r="D1151" s="129" t="n"/>
      <c r="E1151" s="129" t="n"/>
      <c r="F1151" s="145" t="n"/>
      <c r="G1151" s="129" t="n"/>
      <c r="H1151" s="129" t="n"/>
      <c r="I1151" s="129" t="n"/>
      <c r="J1151" s="138" t="str">
        <f>IF(C1151&lt;&gt;"Despesa","",IFERROR(INDEX('Config'!$J$6:$J$40,MATCH(D1151,'Config'!$I$6:$I$40,0)),"—"))</f>
        <v/>
      </c>
      <c r="K1151" s="138" t="str">
        <f>IF(COUNTA(B1151:F1151)=0,"",IF(OR(B1151="",C1151="",D1151="",F1151=""),"▲ Completar","✔"))</f>
        <v/>
      </c>
    </row>
    <row r="1152">
      <c r="B1152" s="130" t="n"/>
      <c r="C1152" s="129" t="n"/>
      <c r="D1152" s="129" t="n"/>
      <c r="E1152" s="129" t="n"/>
      <c r="F1152" s="145" t="n"/>
      <c r="G1152" s="129" t="n"/>
      <c r="H1152" s="129" t="n"/>
      <c r="I1152" s="129" t="n"/>
      <c r="J1152" s="138" t="str">
        <f>IF(C1152&lt;&gt;"Despesa","",IFERROR(INDEX('Config'!$J$6:$J$40,MATCH(D1152,'Config'!$I$6:$I$40,0)),"—"))</f>
        <v/>
      </c>
      <c r="K1152" s="138" t="str">
        <f>IF(COUNTA(B1152:F1152)=0,"",IF(OR(B1152="",C1152="",D1152="",F1152=""),"▲ Completar","✔"))</f>
        <v/>
      </c>
    </row>
    <row r="1153">
      <c r="B1153" s="130" t="n"/>
      <c r="C1153" s="129" t="n"/>
      <c r="D1153" s="129" t="n"/>
      <c r="E1153" s="129" t="n"/>
      <c r="F1153" s="145" t="n"/>
      <c r="G1153" s="129" t="n"/>
      <c r="H1153" s="129" t="n"/>
      <c r="I1153" s="129" t="n"/>
      <c r="J1153" s="138" t="str">
        <f>IF(C1153&lt;&gt;"Despesa","",IFERROR(INDEX('Config'!$J$6:$J$40,MATCH(D1153,'Config'!$I$6:$I$40,0)),"—"))</f>
        <v/>
      </c>
      <c r="K1153" s="138" t="str">
        <f>IF(COUNTA(B1153:F1153)=0,"",IF(OR(B1153="",C1153="",D1153="",F1153=""),"▲ Completar","✔"))</f>
        <v/>
      </c>
    </row>
    <row r="1154">
      <c r="B1154" s="130" t="n"/>
      <c r="C1154" s="129" t="n"/>
      <c r="D1154" s="129" t="n"/>
      <c r="E1154" s="129" t="n"/>
      <c r="F1154" s="145" t="n"/>
      <c r="G1154" s="129" t="n"/>
      <c r="H1154" s="129" t="n"/>
      <c r="I1154" s="129" t="n"/>
      <c r="J1154" s="138" t="str">
        <f>IF(C1154&lt;&gt;"Despesa","",IFERROR(INDEX('Config'!$J$6:$J$40,MATCH(D1154,'Config'!$I$6:$I$40,0)),"—"))</f>
        <v/>
      </c>
      <c r="K1154" s="138" t="str">
        <f>IF(COUNTA(B1154:F1154)=0,"",IF(OR(B1154="",C1154="",D1154="",F1154=""),"▲ Completar","✔"))</f>
        <v/>
      </c>
    </row>
    <row r="1155">
      <c r="B1155" s="130" t="n"/>
      <c r="C1155" s="129" t="n"/>
      <c r="D1155" s="129" t="n"/>
      <c r="E1155" s="129" t="n"/>
      <c r="F1155" s="145" t="n"/>
      <c r="G1155" s="129" t="n"/>
      <c r="H1155" s="129" t="n"/>
      <c r="I1155" s="129" t="n"/>
      <c r="J1155" s="138" t="str">
        <f>IF(C1155&lt;&gt;"Despesa","",IFERROR(INDEX('Config'!$J$6:$J$40,MATCH(D1155,'Config'!$I$6:$I$40,0)),"—"))</f>
        <v/>
      </c>
      <c r="K1155" s="138" t="str">
        <f>IF(COUNTA(B1155:F1155)=0,"",IF(OR(B1155="",C1155="",D1155="",F1155=""),"▲ Completar","✔"))</f>
        <v/>
      </c>
    </row>
    <row r="1156">
      <c r="B1156" s="130" t="n"/>
      <c r="C1156" s="129" t="n"/>
      <c r="D1156" s="129" t="n"/>
      <c r="E1156" s="129" t="n"/>
      <c r="F1156" s="145" t="n"/>
      <c r="G1156" s="129" t="n"/>
      <c r="H1156" s="129" t="n"/>
      <c r="I1156" s="129" t="n"/>
      <c r="J1156" s="138" t="str">
        <f>IF(C1156&lt;&gt;"Despesa","",IFERROR(INDEX('Config'!$J$6:$J$40,MATCH(D1156,'Config'!$I$6:$I$40,0)),"—"))</f>
        <v/>
      </c>
      <c r="K1156" s="138" t="str">
        <f>IF(COUNTA(B1156:F1156)=0,"",IF(OR(B1156="",C1156="",D1156="",F1156=""),"▲ Completar","✔"))</f>
        <v/>
      </c>
    </row>
    <row r="1157">
      <c r="B1157" s="130" t="n"/>
      <c r="C1157" s="129" t="n"/>
      <c r="D1157" s="129" t="n"/>
      <c r="E1157" s="129" t="n"/>
      <c r="F1157" s="145" t="n"/>
      <c r="G1157" s="129" t="n"/>
      <c r="H1157" s="129" t="n"/>
      <c r="I1157" s="129" t="n"/>
      <c r="J1157" s="138" t="str">
        <f>IF(C1157&lt;&gt;"Despesa","",IFERROR(INDEX('Config'!$J$6:$J$40,MATCH(D1157,'Config'!$I$6:$I$40,0)),"—"))</f>
        <v/>
      </c>
      <c r="K1157" s="138" t="str">
        <f>IF(COUNTA(B1157:F1157)=0,"",IF(OR(B1157="",C1157="",D1157="",F1157=""),"▲ Completar","✔"))</f>
        <v/>
      </c>
    </row>
    <row r="1158">
      <c r="B1158" s="130" t="n"/>
      <c r="C1158" s="129" t="n"/>
      <c r="D1158" s="129" t="n"/>
      <c r="E1158" s="129" t="n"/>
      <c r="F1158" s="145" t="n"/>
      <c r="G1158" s="129" t="n"/>
      <c r="H1158" s="129" t="n"/>
      <c r="I1158" s="129" t="n"/>
      <c r="J1158" s="138" t="str">
        <f>IF(C1158&lt;&gt;"Despesa","",IFERROR(INDEX('Config'!$J$6:$J$40,MATCH(D1158,'Config'!$I$6:$I$40,0)),"—"))</f>
        <v/>
      </c>
      <c r="K1158" s="138" t="str">
        <f>IF(COUNTA(B1158:F1158)=0,"",IF(OR(B1158="",C1158="",D1158="",F1158=""),"▲ Completar","✔"))</f>
        <v/>
      </c>
    </row>
    <row r="1159">
      <c r="B1159" s="130" t="n"/>
      <c r="C1159" s="129" t="n"/>
      <c r="D1159" s="129" t="n"/>
      <c r="E1159" s="129" t="n"/>
      <c r="F1159" s="145" t="n"/>
      <c r="G1159" s="129" t="n"/>
      <c r="H1159" s="129" t="n"/>
      <c r="I1159" s="129" t="n"/>
      <c r="J1159" s="138" t="str">
        <f>IF(C1159&lt;&gt;"Despesa","",IFERROR(INDEX('Config'!$J$6:$J$40,MATCH(D1159,'Config'!$I$6:$I$40,0)),"—"))</f>
        <v/>
      </c>
      <c r="K1159" s="138" t="str">
        <f>IF(COUNTA(B1159:F1159)=0,"",IF(OR(B1159="",C1159="",D1159="",F1159=""),"▲ Completar","✔"))</f>
        <v/>
      </c>
    </row>
    <row r="1160">
      <c r="B1160" s="130" t="n"/>
      <c r="C1160" s="129" t="n"/>
      <c r="D1160" s="129" t="n"/>
      <c r="E1160" s="129" t="n"/>
      <c r="F1160" s="145" t="n"/>
      <c r="G1160" s="129" t="n"/>
      <c r="H1160" s="129" t="n"/>
      <c r="I1160" s="129" t="n"/>
      <c r="J1160" s="138" t="str">
        <f>IF(C1160&lt;&gt;"Despesa","",IFERROR(INDEX('Config'!$J$6:$J$40,MATCH(D1160,'Config'!$I$6:$I$40,0)),"—"))</f>
        <v/>
      </c>
      <c r="K1160" s="138" t="str">
        <f>IF(COUNTA(B1160:F1160)=0,"",IF(OR(B1160="",C1160="",D1160="",F1160=""),"▲ Completar","✔"))</f>
        <v/>
      </c>
    </row>
    <row r="1161">
      <c r="B1161" s="130" t="n"/>
      <c r="C1161" s="129" t="n"/>
      <c r="D1161" s="129" t="n"/>
      <c r="E1161" s="129" t="n"/>
      <c r="F1161" s="145" t="n"/>
      <c r="G1161" s="129" t="n"/>
      <c r="H1161" s="129" t="n"/>
      <c r="I1161" s="129" t="n"/>
      <c r="J1161" s="138" t="str">
        <f>IF(C1161&lt;&gt;"Despesa","",IFERROR(INDEX('Config'!$J$6:$J$40,MATCH(D1161,'Config'!$I$6:$I$40,0)),"—"))</f>
        <v/>
      </c>
      <c r="K1161" s="138" t="str">
        <f>IF(COUNTA(B1161:F1161)=0,"",IF(OR(B1161="",C1161="",D1161="",F1161=""),"▲ Completar","✔"))</f>
        <v/>
      </c>
    </row>
    <row r="1162">
      <c r="B1162" s="130" t="n"/>
      <c r="C1162" s="129" t="n"/>
      <c r="D1162" s="129" t="n"/>
      <c r="E1162" s="129" t="n"/>
      <c r="F1162" s="145" t="n"/>
      <c r="G1162" s="129" t="n"/>
      <c r="H1162" s="129" t="n"/>
      <c r="I1162" s="129" t="n"/>
      <c r="J1162" s="138" t="str">
        <f>IF(C1162&lt;&gt;"Despesa","",IFERROR(INDEX('Config'!$J$6:$J$40,MATCH(D1162,'Config'!$I$6:$I$40,0)),"—"))</f>
        <v/>
      </c>
      <c r="K1162" s="138" t="str">
        <f>IF(COUNTA(B1162:F1162)=0,"",IF(OR(B1162="",C1162="",D1162="",F1162=""),"▲ Completar","✔"))</f>
        <v/>
      </c>
    </row>
    <row r="1163">
      <c r="B1163" s="130" t="n"/>
      <c r="C1163" s="129" t="n"/>
      <c r="D1163" s="129" t="n"/>
      <c r="E1163" s="129" t="n"/>
      <c r="F1163" s="145" t="n"/>
      <c r="G1163" s="129" t="n"/>
      <c r="H1163" s="129" t="n"/>
      <c r="I1163" s="129" t="n"/>
      <c r="J1163" s="138" t="str">
        <f>IF(C1163&lt;&gt;"Despesa","",IFERROR(INDEX('Config'!$J$6:$J$40,MATCH(D1163,'Config'!$I$6:$I$40,0)),"—"))</f>
        <v/>
      </c>
      <c r="K1163" s="138" t="str">
        <f>IF(COUNTA(B1163:F1163)=0,"",IF(OR(B1163="",C1163="",D1163="",F1163=""),"▲ Completar","✔"))</f>
        <v/>
      </c>
    </row>
    <row r="1164">
      <c r="B1164" s="130" t="n"/>
      <c r="C1164" s="129" t="n"/>
      <c r="D1164" s="129" t="n"/>
      <c r="E1164" s="129" t="n"/>
      <c r="F1164" s="145" t="n"/>
      <c r="G1164" s="129" t="n"/>
      <c r="H1164" s="129" t="n"/>
      <c r="I1164" s="129" t="n"/>
      <c r="J1164" s="138" t="str">
        <f>IF(C1164&lt;&gt;"Despesa","",IFERROR(INDEX('Config'!$J$6:$J$40,MATCH(D1164,'Config'!$I$6:$I$40,0)),"—"))</f>
        <v/>
      </c>
      <c r="K1164" s="138" t="str">
        <f>IF(COUNTA(B1164:F1164)=0,"",IF(OR(B1164="",C1164="",D1164="",F1164=""),"▲ Completar","✔"))</f>
        <v/>
      </c>
    </row>
    <row r="1165">
      <c r="B1165" s="130" t="n"/>
      <c r="C1165" s="129" t="n"/>
      <c r="D1165" s="129" t="n"/>
      <c r="E1165" s="129" t="n"/>
      <c r="F1165" s="145" t="n"/>
      <c r="G1165" s="129" t="n"/>
      <c r="H1165" s="129" t="n"/>
      <c r="I1165" s="129" t="n"/>
      <c r="J1165" s="138" t="str">
        <f>IF(C1165&lt;&gt;"Despesa","",IFERROR(INDEX('Config'!$J$6:$J$40,MATCH(D1165,'Config'!$I$6:$I$40,0)),"—"))</f>
        <v/>
      </c>
      <c r="K1165" s="138" t="str">
        <f>IF(COUNTA(B1165:F1165)=0,"",IF(OR(B1165="",C1165="",D1165="",F1165=""),"▲ Completar","✔"))</f>
        <v/>
      </c>
    </row>
    <row r="1166">
      <c r="B1166" s="130" t="n"/>
      <c r="C1166" s="129" t="n"/>
      <c r="D1166" s="129" t="n"/>
      <c r="E1166" s="129" t="n"/>
      <c r="F1166" s="145" t="n"/>
      <c r="G1166" s="129" t="n"/>
      <c r="H1166" s="129" t="n"/>
      <c r="I1166" s="129" t="n"/>
      <c r="J1166" s="138" t="str">
        <f>IF(C1166&lt;&gt;"Despesa","",IFERROR(INDEX('Config'!$J$6:$J$40,MATCH(D1166,'Config'!$I$6:$I$40,0)),"—"))</f>
        <v/>
      </c>
      <c r="K1166" s="138" t="str">
        <f>IF(COUNTA(B1166:F1166)=0,"",IF(OR(B1166="",C1166="",D1166="",F1166=""),"▲ Completar","✔"))</f>
        <v/>
      </c>
    </row>
    <row r="1167">
      <c r="B1167" s="130" t="n"/>
      <c r="C1167" s="129" t="n"/>
      <c r="D1167" s="129" t="n"/>
      <c r="E1167" s="129" t="n"/>
      <c r="F1167" s="145" t="n"/>
      <c r="G1167" s="129" t="n"/>
      <c r="H1167" s="129" t="n"/>
      <c r="I1167" s="129" t="n"/>
      <c r="J1167" s="138" t="str">
        <f>IF(C1167&lt;&gt;"Despesa","",IFERROR(INDEX('Config'!$J$6:$J$40,MATCH(D1167,'Config'!$I$6:$I$40,0)),"—"))</f>
        <v/>
      </c>
      <c r="K1167" s="138" t="str">
        <f>IF(COUNTA(B1167:F1167)=0,"",IF(OR(B1167="",C1167="",D1167="",F1167=""),"▲ Completar","✔"))</f>
        <v/>
      </c>
    </row>
    <row r="1168">
      <c r="B1168" s="130" t="n"/>
      <c r="C1168" s="129" t="n"/>
      <c r="D1168" s="129" t="n"/>
      <c r="E1168" s="129" t="n"/>
      <c r="F1168" s="145" t="n"/>
      <c r="G1168" s="129" t="n"/>
      <c r="H1168" s="129" t="n"/>
      <c r="I1168" s="129" t="n"/>
      <c r="J1168" s="138" t="str">
        <f>IF(C1168&lt;&gt;"Despesa","",IFERROR(INDEX('Config'!$J$6:$J$40,MATCH(D1168,'Config'!$I$6:$I$40,0)),"—"))</f>
        <v/>
      </c>
      <c r="K1168" s="138" t="str">
        <f>IF(COUNTA(B1168:F1168)=0,"",IF(OR(B1168="",C1168="",D1168="",F1168=""),"▲ Completar","✔"))</f>
        <v/>
      </c>
    </row>
    <row r="1169">
      <c r="B1169" s="130" t="n"/>
      <c r="C1169" s="129" t="n"/>
      <c r="D1169" s="129" t="n"/>
      <c r="E1169" s="129" t="n"/>
      <c r="F1169" s="145" t="n"/>
      <c r="G1169" s="129" t="n"/>
      <c r="H1169" s="129" t="n"/>
      <c r="I1169" s="129" t="n"/>
      <c r="J1169" s="138" t="str">
        <f>IF(C1169&lt;&gt;"Despesa","",IFERROR(INDEX('Config'!$J$6:$J$40,MATCH(D1169,'Config'!$I$6:$I$40,0)),"—"))</f>
        <v/>
      </c>
      <c r="K1169" s="138" t="str">
        <f>IF(COUNTA(B1169:F1169)=0,"",IF(OR(B1169="",C1169="",D1169="",F1169=""),"▲ Completar","✔"))</f>
        <v/>
      </c>
    </row>
    <row r="1170">
      <c r="B1170" s="130" t="n"/>
      <c r="C1170" s="129" t="n"/>
      <c r="D1170" s="129" t="n"/>
      <c r="E1170" s="129" t="n"/>
      <c r="F1170" s="145" t="n"/>
      <c r="G1170" s="129" t="n"/>
      <c r="H1170" s="129" t="n"/>
      <c r="I1170" s="129" t="n"/>
      <c r="J1170" s="138" t="str">
        <f>IF(C1170&lt;&gt;"Despesa","",IFERROR(INDEX('Config'!$J$6:$J$40,MATCH(D1170,'Config'!$I$6:$I$40,0)),"—"))</f>
        <v/>
      </c>
      <c r="K1170" s="138" t="str">
        <f>IF(COUNTA(B1170:F1170)=0,"",IF(OR(B1170="",C1170="",D1170="",F1170=""),"▲ Completar","✔"))</f>
        <v/>
      </c>
    </row>
    <row r="1171">
      <c r="B1171" s="130" t="n"/>
      <c r="C1171" s="129" t="n"/>
      <c r="D1171" s="129" t="n"/>
      <c r="E1171" s="129" t="n"/>
      <c r="F1171" s="145" t="n"/>
      <c r="G1171" s="129" t="n"/>
      <c r="H1171" s="129" t="n"/>
      <c r="I1171" s="129" t="n"/>
      <c r="J1171" s="138" t="str">
        <f>IF(C1171&lt;&gt;"Despesa","",IFERROR(INDEX('Config'!$J$6:$J$40,MATCH(D1171,'Config'!$I$6:$I$40,0)),"—"))</f>
        <v/>
      </c>
      <c r="K1171" s="138" t="str">
        <f>IF(COUNTA(B1171:F1171)=0,"",IF(OR(B1171="",C1171="",D1171="",F1171=""),"▲ Completar","✔"))</f>
        <v/>
      </c>
    </row>
    <row r="1172">
      <c r="B1172" s="130" t="n"/>
      <c r="C1172" s="129" t="n"/>
      <c r="D1172" s="129" t="n"/>
      <c r="E1172" s="129" t="n"/>
      <c r="F1172" s="145" t="n"/>
      <c r="G1172" s="129" t="n"/>
      <c r="H1172" s="129" t="n"/>
      <c r="I1172" s="129" t="n"/>
      <c r="J1172" s="138" t="str">
        <f>IF(C1172&lt;&gt;"Despesa","",IFERROR(INDEX('Config'!$J$6:$J$40,MATCH(D1172,'Config'!$I$6:$I$40,0)),"—"))</f>
        <v/>
      </c>
      <c r="K1172" s="138" t="str">
        <f>IF(COUNTA(B1172:F1172)=0,"",IF(OR(B1172="",C1172="",D1172="",F1172=""),"▲ Completar","✔"))</f>
        <v/>
      </c>
    </row>
    <row r="1173">
      <c r="B1173" s="130" t="n"/>
      <c r="C1173" s="129" t="n"/>
      <c r="D1173" s="129" t="n"/>
      <c r="E1173" s="129" t="n"/>
      <c r="F1173" s="145" t="n"/>
      <c r="G1173" s="129" t="n"/>
      <c r="H1173" s="129" t="n"/>
      <c r="I1173" s="129" t="n"/>
      <c r="J1173" s="138" t="str">
        <f>IF(C1173&lt;&gt;"Despesa","",IFERROR(INDEX('Config'!$J$6:$J$40,MATCH(D1173,'Config'!$I$6:$I$40,0)),"—"))</f>
        <v/>
      </c>
      <c r="K1173" s="138" t="str">
        <f>IF(COUNTA(B1173:F1173)=0,"",IF(OR(B1173="",C1173="",D1173="",F1173=""),"▲ Completar","✔"))</f>
        <v/>
      </c>
    </row>
    <row r="1174">
      <c r="B1174" s="130" t="n"/>
      <c r="C1174" s="129" t="n"/>
      <c r="D1174" s="129" t="n"/>
      <c r="E1174" s="129" t="n"/>
      <c r="F1174" s="145" t="n"/>
      <c r="G1174" s="129" t="n"/>
      <c r="H1174" s="129" t="n"/>
      <c r="I1174" s="129" t="n"/>
      <c r="J1174" s="138" t="str">
        <f>IF(C1174&lt;&gt;"Despesa","",IFERROR(INDEX('Config'!$J$6:$J$40,MATCH(D1174,'Config'!$I$6:$I$40,0)),"—"))</f>
        <v/>
      </c>
      <c r="K1174" s="138" t="str">
        <f>IF(COUNTA(B1174:F1174)=0,"",IF(OR(B1174="",C1174="",D1174="",F1174=""),"▲ Completar","✔"))</f>
        <v/>
      </c>
    </row>
    <row r="1175">
      <c r="B1175" s="130" t="n"/>
      <c r="C1175" s="129" t="n"/>
      <c r="D1175" s="129" t="n"/>
      <c r="E1175" s="129" t="n"/>
      <c r="F1175" s="145" t="n"/>
      <c r="G1175" s="129" t="n"/>
      <c r="H1175" s="129" t="n"/>
      <c r="I1175" s="129" t="n"/>
      <c r="J1175" s="138" t="str">
        <f>IF(C1175&lt;&gt;"Despesa","",IFERROR(INDEX('Config'!$J$6:$J$40,MATCH(D1175,'Config'!$I$6:$I$40,0)),"—"))</f>
        <v/>
      </c>
      <c r="K1175" s="138" t="str">
        <f>IF(COUNTA(B1175:F1175)=0,"",IF(OR(B1175="",C1175="",D1175="",F1175=""),"▲ Completar","✔"))</f>
        <v/>
      </c>
    </row>
    <row r="1176">
      <c r="B1176" s="130" t="n"/>
      <c r="C1176" s="129" t="n"/>
      <c r="D1176" s="129" t="n"/>
      <c r="E1176" s="129" t="n"/>
      <c r="F1176" s="145" t="n"/>
      <c r="G1176" s="129" t="n"/>
      <c r="H1176" s="129" t="n"/>
      <c r="I1176" s="129" t="n"/>
      <c r="J1176" s="138" t="str">
        <f>IF(C1176&lt;&gt;"Despesa","",IFERROR(INDEX('Config'!$J$6:$J$40,MATCH(D1176,'Config'!$I$6:$I$40,0)),"—"))</f>
        <v/>
      </c>
      <c r="K1176" s="138" t="str">
        <f>IF(COUNTA(B1176:F1176)=0,"",IF(OR(B1176="",C1176="",D1176="",F1176=""),"▲ Completar","✔"))</f>
        <v/>
      </c>
    </row>
    <row r="1177">
      <c r="B1177" s="130" t="n"/>
      <c r="C1177" s="129" t="n"/>
      <c r="D1177" s="129" t="n"/>
      <c r="E1177" s="129" t="n"/>
      <c r="F1177" s="145" t="n"/>
      <c r="G1177" s="129" t="n"/>
      <c r="H1177" s="129" t="n"/>
      <c r="I1177" s="129" t="n"/>
      <c r="J1177" s="138" t="str">
        <f>IF(C1177&lt;&gt;"Despesa","",IFERROR(INDEX('Config'!$J$6:$J$40,MATCH(D1177,'Config'!$I$6:$I$40,0)),"—"))</f>
        <v/>
      </c>
      <c r="K1177" s="138" t="str">
        <f>IF(COUNTA(B1177:F1177)=0,"",IF(OR(B1177="",C1177="",D1177="",F1177=""),"▲ Completar","✔"))</f>
        <v/>
      </c>
    </row>
    <row r="1178">
      <c r="B1178" s="130" t="n"/>
      <c r="C1178" s="129" t="n"/>
      <c r="D1178" s="129" t="n"/>
      <c r="E1178" s="129" t="n"/>
      <c r="F1178" s="145" t="n"/>
      <c r="G1178" s="129" t="n"/>
      <c r="H1178" s="129" t="n"/>
      <c r="I1178" s="129" t="n"/>
      <c r="J1178" s="138" t="str">
        <f>IF(C1178&lt;&gt;"Despesa","",IFERROR(INDEX('Config'!$J$6:$J$40,MATCH(D1178,'Config'!$I$6:$I$40,0)),"—"))</f>
        <v/>
      </c>
      <c r="K1178" s="138" t="str">
        <f>IF(COUNTA(B1178:F1178)=0,"",IF(OR(B1178="",C1178="",D1178="",F1178=""),"▲ Completar","✔"))</f>
        <v/>
      </c>
    </row>
    <row r="1179">
      <c r="B1179" s="130" t="n"/>
      <c r="C1179" s="129" t="n"/>
      <c r="D1179" s="129" t="n"/>
      <c r="E1179" s="129" t="n"/>
      <c r="F1179" s="145" t="n"/>
      <c r="G1179" s="129" t="n"/>
      <c r="H1179" s="129" t="n"/>
      <c r="I1179" s="129" t="n"/>
      <c r="J1179" s="138" t="str">
        <f>IF(C1179&lt;&gt;"Despesa","",IFERROR(INDEX('Config'!$J$6:$J$40,MATCH(D1179,'Config'!$I$6:$I$40,0)),"—"))</f>
        <v/>
      </c>
      <c r="K1179" s="138" t="str">
        <f>IF(COUNTA(B1179:F1179)=0,"",IF(OR(B1179="",C1179="",D1179="",F1179=""),"▲ Completar","✔"))</f>
        <v/>
      </c>
    </row>
    <row r="1180">
      <c r="B1180" s="130" t="n"/>
      <c r="C1180" s="129" t="n"/>
      <c r="D1180" s="129" t="n"/>
      <c r="E1180" s="129" t="n"/>
      <c r="F1180" s="145" t="n"/>
      <c r="G1180" s="129" t="n"/>
      <c r="H1180" s="129" t="n"/>
      <c r="I1180" s="129" t="n"/>
      <c r="J1180" s="138" t="str">
        <f>IF(C1180&lt;&gt;"Despesa","",IFERROR(INDEX('Config'!$J$6:$J$40,MATCH(D1180,'Config'!$I$6:$I$40,0)),"—"))</f>
        <v/>
      </c>
      <c r="K1180" s="138" t="str">
        <f>IF(COUNTA(B1180:F1180)=0,"",IF(OR(B1180="",C1180="",D1180="",F1180=""),"▲ Completar","✔"))</f>
        <v/>
      </c>
    </row>
    <row r="1181">
      <c r="B1181" s="130" t="n"/>
      <c r="C1181" s="129" t="n"/>
      <c r="D1181" s="129" t="n"/>
      <c r="E1181" s="129" t="n"/>
      <c r="F1181" s="145" t="n"/>
      <c r="G1181" s="129" t="n"/>
      <c r="H1181" s="129" t="n"/>
      <c r="I1181" s="129" t="n"/>
      <c r="J1181" s="138" t="str">
        <f>IF(C1181&lt;&gt;"Despesa","",IFERROR(INDEX('Config'!$J$6:$J$40,MATCH(D1181,'Config'!$I$6:$I$40,0)),"—"))</f>
        <v/>
      </c>
      <c r="K1181" s="138" t="str">
        <f>IF(COUNTA(B1181:F1181)=0,"",IF(OR(B1181="",C1181="",D1181="",F1181=""),"▲ Completar","✔"))</f>
        <v/>
      </c>
    </row>
    <row r="1182">
      <c r="B1182" s="130" t="n"/>
      <c r="C1182" s="129" t="n"/>
      <c r="D1182" s="129" t="n"/>
      <c r="E1182" s="129" t="n"/>
      <c r="F1182" s="145" t="n"/>
      <c r="G1182" s="129" t="n"/>
      <c r="H1182" s="129" t="n"/>
      <c r="I1182" s="129" t="n"/>
      <c r="J1182" s="138" t="str">
        <f>IF(C1182&lt;&gt;"Despesa","",IFERROR(INDEX('Config'!$J$6:$J$40,MATCH(D1182,'Config'!$I$6:$I$40,0)),"—"))</f>
        <v/>
      </c>
      <c r="K1182" s="138" t="str">
        <f>IF(COUNTA(B1182:F1182)=0,"",IF(OR(B1182="",C1182="",D1182="",F1182=""),"▲ Completar","✔"))</f>
        <v/>
      </c>
    </row>
    <row r="1183">
      <c r="B1183" s="130" t="n"/>
      <c r="C1183" s="129" t="n"/>
      <c r="D1183" s="129" t="n"/>
      <c r="E1183" s="129" t="n"/>
      <c r="F1183" s="145" t="n"/>
      <c r="G1183" s="129" t="n"/>
      <c r="H1183" s="129" t="n"/>
      <c r="I1183" s="129" t="n"/>
      <c r="J1183" s="138" t="str">
        <f>IF(C1183&lt;&gt;"Despesa","",IFERROR(INDEX('Config'!$J$6:$J$40,MATCH(D1183,'Config'!$I$6:$I$40,0)),"—"))</f>
        <v/>
      </c>
      <c r="K1183" s="138" t="str">
        <f>IF(COUNTA(B1183:F1183)=0,"",IF(OR(B1183="",C1183="",D1183="",F1183=""),"▲ Completar","✔"))</f>
        <v/>
      </c>
    </row>
    <row r="1184">
      <c r="B1184" s="130" t="n"/>
      <c r="C1184" s="129" t="n"/>
      <c r="D1184" s="129" t="n"/>
      <c r="E1184" s="129" t="n"/>
      <c r="F1184" s="145" t="n"/>
      <c r="G1184" s="129" t="n"/>
      <c r="H1184" s="129" t="n"/>
      <c r="I1184" s="129" t="n"/>
      <c r="J1184" s="138" t="str">
        <f>IF(C1184&lt;&gt;"Despesa","",IFERROR(INDEX('Config'!$J$6:$J$40,MATCH(D1184,'Config'!$I$6:$I$40,0)),"—"))</f>
        <v/>
      </c>
      <c r="K1184" s="138" t="str">
        <f>IF(COUNTA(B1184:F1184)=0,"",IF(OR(B1184="",C1184="",D1184="",F1184=""),"▲ Completar","✔"))</f>
        <v/>
      </c>
    </row>
    <row r="1185">
      <c r="B1185" s="130" t="n"/>
      <c r="C1185" s="129" t="n"/>
      <c r="D1185" s="129" t="n"/>
      <c r="E1185" s="129" t="n"/>
      <c r="F1185" s="145" t="n"/>
      <c r="G1185" s="129" t="n"/>
      <c r="H1185" s="129" t="n"/>
      <c r="I1185" s="129" t="n"/>
      <c r="J1185" s="138" t="str">
        <f>IF(C1185&lt;&gt;"Despesa","",IFERROR(INDEX('Config'!$J$6:$J$40,MATCH(D1185,'Config'!$I$6:$I$40,0)),"—"))</f>
        <v/>
      </c>
      <c r="K1185" s="138" t="str">
        <f>IF(COUNTA(B1185:F1185)=0,"",IF(OR(B1185="",C1185="",D1185="",F1185=""),"▲ Completar","✔"))</f>
        <v/>
      </c>
    </row>
    <row r="1186">
      <c r="B1186" s="130" t="n"/>
      <c r="C1186" s="129" t="n"/>
      <c r="D1186" s="129" t="n"/>
      <c r="E1186" s="129" t="n"/>
      <c r="F1186" s="145" t="n"/>
      <c r="G1186" s="129" t="n"/>
      <c r="H1186" s="129" t="n"/>
      <c r="I1186" s="129" t="n"/>
      <c r="J1186" s="138" t="str">
        <f>IF(C1186&lt;&gt;"Despesa","",IFERROR(INDEX('Config'!$J$6:$J$40,MATCH(D1186,'Config'!$I$6:$I$40,0)),"—"))</f>
        <v/>
      </c>
      <c r="K1186" s="138" t="str">
        <f>IF(COUNTA(B1186:F1186)=0,"",IF(OR(B1186="",C1186="",D1186="",F1186=""),"▲ Completar","✔"))</f>
        <v/>
      </c>
    </row>
    <row r="1187">
      <c r="B1187" s="130" t="n"/>
      <c r="C1187" s="129" t="n"/>
      <c r="D1187" s="129" t="n"/>
      <c r="E1187" s="129" t="n"/>
      <c r="F1187" s="145" t="n"/>
      <c r="G1187" s="129" t="n"/>
      <c r="H1187" s="129" t="n"/>
      <c r="I1187" s="129" t="n"/>
      <c r="J1187" s="138" t="str">
        <f>IF(C1187&lt;&gt;"Despesa","",IFERROR(INDEX('Config'!$J$6:$J$40,MATCH(D1187,'Config'!$I$6:$I$40,0)),"—"))</f>
        <v/>
      </c>
      <c r="K1187" s="138" t="str">
        <f>IF(COUNTA(B1187:F1187)=0,"",IF(OR(B1187="",C1187="",D1187="",F1187=""),"▲ Completar","✔"))</f>
        <v/>
      </c>
    </row>
    <row r="1188">
      <c r="B1188" s="130" t="n"/>
      <c r="C1188" s="129" t="n"/>
      <c r="D1188" s="129" t="n"/>
      <c r="E1188" s="129" t="n"/>
      <c r="F1188" s="145" t="n"/>
      <c r="G1188" s="129" t="n"/>
      <c r="H1188" s="129" t="n"/>
      <c r="I1188" s="129" t="n"/>
      <c r="J1188" s="138" t="str">
        <f>IF(C1188&lt;&gt;"Despesa","",IFERROR(INDEX('Config'!$J$6:$J$40,MATCH(D1188,'Config'!$I$6:$I$40,0)),"—"))</f>
        <v/>
      </c>
      <c r="K1188" s="138" t="str">
        <f>IF(COUNTA(B1188:F1188)=0,"",IF(OR(B1188="",C1188="",D1188="",F1188=""),"▲ Completar","✔"))</f>
        <v/>
      </c>
    </row>
    <row r="1189">
      <c r="B1189" s="130" t="n"/>
      <c r="C1189" s="129" t="n"/>
      <c r="D1189" s="129" t="n"/>
      <c r="E1189" s="129" t="n"/>
      <c r="F1189" s="145" t="n"/>
      <c r="G1189" s="129" t="n"/>
      <c r="H1189" s="129" t="n"/>
      <c r="I1189" s="129" t="n"/>
      <c r="J1189" s="138" t="str">
        <f>IF(C1189&lt;&gt;"Despesa","",IFERROR(INDEX('Config'!$J$6:$J$40,MATCH(D1189,'Config'!$I$6:$I$40,0)),"—"))</f>
        <v/>
      </c>
      <c r="K1189" s="138" t="str">
        <f>IF(COUNTA(B1189:F1189)=0,"",IF(OR(B1189="",C1189="",D1189="",F1189=""),"▲ Completar","✔"))</f>
        <v/>
      </c>
    </row>
    <row r="1190">
      <c r="B1190" s="130" t="n"/>
      <c r="C1190" s="129" t="n"/>
      <c r="D1190" s="129" t="n"/>
      <c r="E1190" s="129" t="n"/>
      <c r="F1190" s="145" t="n"/>
      <c r="G1190" s="129" t="n"/>
      <c r="H1190" s="129" t="n"/>
      <c r="I1190" s="129" t="n"/>
      <c r="J1190" s="138" t="str">
        <f>IF(C1190&lt;&gt;"Despesa","",IFERROR(INDEX('Config'!$J$6:$J$40,MATCH(D1190,'Config'!$I$6:$I$40,0)),"—"))</f>
        <v/>
      </c>
      <c r="K1190" s="138" t="str">
        <f>IF(COUNTA(B1190:F1190)=0,"",IF(OR(B1190="",C1190="",D1190="",F1190=""),"▲ Completar","✔"))</f>
        <v/>
      </c>
    </row>
    <row r="1191">
      <c r="B1191" s="130" t="n"/>
      <c r="C1191" s="129" t="n"/>
      <c r="D1191" s="129" t="n"/>
      <c r="E1191" s="129" t="n"/>
      <c r="F1191" s="145" t="n"/>
      <c r="G1191" s="129" t="n"/>
      <c r="H1191" s="129" t="n"/>
      <c r="I1191" s="129" t="n"/>
      <c r="J1191" s="138" t="str">
        <f>IF(C1191&lt;&gt;"Despesa","",IFERROR(INDEX('Config'!$J$6:$J$40,MATCH(D1191,'Config'!$I$6:$I$40,0)),"—"))</f>
        <v/>
      </c>
      <c r="K1191" s="138" t="str">
        <f>IF(COUNTA(B1191:F1191)=0,"",IF(OR(B1191="",C1191="",D1191="",F1191=""),"▲ Completar","✔"))</f>
        <v/>
      </c>
    </row>
    <row r="1192">
      <c r="B1192" s="130" t="n"/>
      <c r="C1192" s="129" t="n"/>
      <c r="D1192" s="129" t="n"/>
      <c r="E1192" s="129" t="n"/>
      <c r="F1192" s="145" t="n"/>
      <c r="G1192" s="129" t="n"/>
      <c r="H1192" s="129" t="n"/>
      <c r="I1192" s="129" t="n"/>
      <c r="J1192" s="138" t="str">
        <f>IF(C1192&lt;&gt;"Despesa","",IFERROR(INDEX('Config'!$J$6:$J$40,MATCH(D1192,'Config'!$I$6:$I$40,0)),"—"))</f>
        <v/>
      </c>
      <c r="K1192" s="138" t="str">
        <f>IF(COUNTA(B1192:F1192)=0,"",IF(OR(B1192="",C1192="",D1192="",F1192=""),"▲ Completar","✔"))</f>
        <v/>
      </c>
    </row>
    <row r="1193">
      <c r="B1193" s="130" t="n"/>
      <c r="C1193" s="129" t="n"/>
      <c r="D1193" s="129" t="n"/>
      <c r="E1193" s="129" t="n"/>
      <c r="F1193" s="145" t="n"/>
      <c r="G1193" s="129" t="n"/>
      <c r="H1193" s="129" t="n"/>
      <c r="I1193" s="129" t="n"/>
      <c r="J1193" s="138" t="str">
        <f>IF(C1193&lt;&gt;"Despesa","",IFERROR(INDEX('Config'!$J$6:$J$40,MATCH(D1193,'Config'!$I$6:$I$40,0)),"—"))</f>
        <v/>
      </c>
      <c r="K1193" s="138" t="str">
        <f>IF(COUNTA(B1193:F1193)=0,"",IF(OR(B1193="",C1193="",D1193="",F1193=""),"▲ Completar","✔"))</f>
        <v/>
      </c>
    </row>
    <row r="1194">
      <c r="B1194" s="130" t="n"/>
      <c r="C1194" s="129" t="n"/>
      <c r="D1194" s="129" t="n"/>
      <c r="E1194" s="129" t="n"/>
      <c r="F1194" s="145" t="n"/>
      <c r="G1194" s="129" t="n"/>
      <c r="H1194" s="129" t="n"/>
      <c r="I1194" s="129" t="n"/>
      <c r="J1194" s="138" t="str">
        <f>IF(C1194&lt;&gt;"Despesa","",IFERROR(INDEX('Config'!$J$6:$J$40,MATCH(D1194,'Config'!$I$6:$I$40,0)),"—"))</f>
        <v/>
      </c>
      <c r="K1194" s="138" t="str">
        <f>IF(COUNTA(B1194:F1194)=0,"",IF(OR(B1194="",C1194="",D1194="",F1194=""),"▲ Completar","✔"))</f>
        <v/>
      </c>
    </row>
    <row r="1195">
      <c r="B1195" s="130" t="n"/>
      <c r="C1195" s="129" t="n"/>
      <c r="D1195" s="129" t="n"/>
      <c r="E1195" s="129" t="n"/>
      <c r="F1195" s="145" t="n"/>
      <c r="G1195" s="129" t="n"/>
      <c r="H1195" s="129" t="n"/>
      <c r="I1195" s="129" t="n"/>
      <c r="J1195" s="138" t="str">
        <f>IF(C1195&lt;&gt;"Despesa","",IFERROR(INDEX('Config'!$J$6:$J$40,MATCH(D1195,'Config'!$I$6:$I$40,0)),"—"))</f>
        <v/>
      </c>
      <c r="K1195" s="138" t="str">
        <f>IF(COUNTA(B1195:F1195)=0,"",IF(OR(B1195="",C1195="",D1195="",F1195=""),"▲ Completar","✔"))</f>
        <v/>
      </c>
    </row>
    <row r="1196">
      <c r="B1196" s="130" t="n"/>
      <c r="C1196" s="129" t="n"/>
      <c r="D1196" s="129" t="n"/>
      <c r="E1196" s="129" t="n"/>
      <c r="F1196" s="145" t="n"/>
      <c r="G1196" s="129" t="n"/>
      <c r="H1196" s="129" t="n"/>
      <c r="I1196" s="129" t="n"/>
      <c r="J1196" s="138" t="str">
        <f>IF(C1196&lt;&gt;"Despesa","",IFERROR(INDEX('Config'!$J$6:$J$40,MATCH(D1196,'Config'!$I$6:$I$40,0)),"—"))</f>
        <v/>
      </c>
      <c r="K1196" s="138" t="str">
        <f>IF(COUNTA(B1196:F1196)=0,"",IF(OR(B1196="",C1196="",D1196="",F1196=""),"▲ Completar","✔"))</f>
        <v/>
      </c>
    </row>
    <row r="1197">
      <c r="B1197" s="130" t="n"/>
      <c r="C1197" s="129" t="n"/>
      <c r="D1197" s="129" t="n"/>
      <c r="E1197" s="129" t="n"/>
      <c r="F1197" s="145" t="n"/>
      <c r="G1197" s="129" t="n"/>
      <c r="H1197" s="129" t="n"/>
      <c r="I1197" s="129" t="n"/>
      <c r="J1197" s="138" t="str">
        <f>IF(C1197&lt;&gt;"Despesa","",IFERROR(INDEX('Config'!$J$6:$J$40,MATCH(D1197,'Config'!$I$6:$I$40,0)),"—"))</f>
        <v/>
      </c>
      <c r="K1197" s="138" t="str">
        <f>IF(COUNTA(B1197:F1197)=0,"",IF(OR(B1197="",C1197="",D1197="",F1197=""),"▲ Completar","✔"))</f>
        <v/>
      </c>
    </row>
    <row r="1198">
      <c r="B1198" s="130" t="n"/>
      <c r="C1198" s="129" t="n"/>
      <c r="D1198" s="129" t="n"/>
      <c r="E1198" s="129" t="n"/>
      <c r="F1198" s="145" t="n"/>
      <c r="G1198" s="129" t="n"/>
      <c r="H1198" s="129" t="n"/>
      <c r="I1198" s="129" t="n"/>
      <c r="J1198" s="138" t="str">
        <f>IF(C1198&lt;&gt;"Despesa","",IFERROR(INDEX('Config'!$J$6:$J$40,MATCH(D1198,'Config'!$I$6:$I$40,0)),"—"))</f>
        <v/>
      </c>
      <c r="K1198" s="138" t="str">
        <f>IF(COUNTA(B1198:F1198)=0,"",IF(OR(B1198="",C1198="",D1198="",F1198=""),"▲ Completar","✔"))</f>
        <v/>
      </c>
    </row>
    <row r="1199">
      <c r="B1199" s="130" t="n"/>
      <c r="C1199" s="129" t="n"/>
      <c r="D1199" s="129" t="n"/>
      <c r="E1199" s="129" t="n"/>
      <c r="F1199" s="145" t="n"/>
      <c r="G1199" s="129" t="n"/>
      <c r="H1199" s="129" t="n"/>
      <c r="I1199" s="129" t="n"/>
      <c r="J1199" s="138" t="str">
        <f>IF(C1199&lt;&gt;"Despesa","",IFERROR(INDEX('Config'!$J$6:$J$40,MATCH(D1199,'Config'!$I$6:$I$40,0)),"—"))</f>
        <v/>
      </c>
      <c r="K1199" s="138" t="str">
        <f>IF(COUNTA(B1199:F1199)=0,"",IF(OR(B1199="",C1199="",D1199="",F1199=""),"▲ Completar","✔"))</f>
        <v/>
      </c>
    </row>
    <row r="1200">
      <c r="B1200" s="130" t="n"/>
      <c r="C1200" s="129" t="n"/>
      <c r="D1200" s="129" t="n"/>
      <c r="E1200" s="129" t="n"/>
      <c r="F1200" s="145" t="n"/>
      <c r="G1200" s="129" t="n"/>
      <c r="H1200" s="129" t="n"/>
      <c r="I1200" s="129" t="n"/>
      <c r="J1200" s="138" t="str">
        <f>IF(C1200&lt;&gt;"Despesa","",IFERROR(INDEX('Config'!$J$6:$J$40,MATCH(D1200,'Config'!$I$6:$I$40,0)),"—"))</f>
        <v/>
      </c>
      <c r="K1200" s="138" t="str">
        <f>IF(COUNTA(B1200:F1200)=0,"",IF(OR(B1200="",C1200="",D1200="",F1200=""),"▲ Completar","✔"))</f>
        <v/>
      </c>
    </row>
    <row r="1201">
      <c r="B1201" s="130" t="n"/>
      <c r="C1201" s="129" t="n"/>
      <c r="D1201" s="129" t="n"/>
      <c r="E1201" s="129" t="n"/>
      <c r="F1201" s="145" t="n"/>
      <c r="G1201" s="129" t="n"/>
      <c r="H1201" s="129" t="n"/>
      <c r="I1201" s="129" t="n"/>
      <c r="J1201" s="138" t="str">
        <f>IF(C1201&lt;&gt;"Despesa","",IFERROR(INDEX('Config'!$J$6:$J$40,MATCH(D1201,'Config'!$I$6:$I$40,0)),"—"))</f>
        <v/>
      </c>
      <c r="K1201" s="138" t="str">
        <f>IF(COUNTA(B1201:F1201)=0,"",IF(OR(B1201="",C1201="",D1201="",F1201=""),"▲ Completar","✔"))</f>
        <v/>
      </c>
    </row>
    <row r="1202">
      <c r="B1202" s="130" t="n"/>
      <c r="C1202" s="129" t="n"/>
      <c r="D1202" s="129" t="n"/>
      <c r="E1202" s="129" t="n"/>
      <c r="F1202" s="145" t="n"/>
      <c r="G1202" s="129" t="n"/>
      <c r="H1202" s="129" t="n"/>
      <c r="I1202" s="129" t="n"/>
      <c r="J1202" s="138" t="str">
        <f>IF(C1202&lt;&gt;"Despesa","",IFERROR(INDEX('Config'!$J$6:$J$40,MATCH(D1202,'Config'!$I$6:$I$40,0)),"—"))</f>
        <v/>
      </c>
      <c r="K1202" s="138" t="str">
        <f>IF(COUNTA(B1202:F1202)=0,"",IF(OR(B1202="",C1202="",D1202="",F1202=""),"▲ Completar","✔"))</f>
        <v/>
      </c>
    </row>
    <row r="1203">
      <c r="B1203" s="130" t="n"/>
      <c r="C1203" s="129" t="n"/>
      <c r="D1203" s="129" t="n"/>
      <c r="E1203" s="129" t="n"/>
      <c r="F1203" s="145" t="n"/>
      <c r="G1203" s="129" t="n"/>
      <c r="H1203" s="129" t="n"/>
      <c r="I1203" s="129" t="n"/>
      <c r="J1203" s="138" t="str">
        <f>IF(C1203&lt;&gt;"Despesa","",IFERROR(INDEX('Config'!$J$6:$J$40,MATCH(D1203,'Config'!$I$6:$I$40,0)),"—"))</f>
        <v/>
      </c>
      <c r="K1203" s="138" t="str">
        <f>IF(COUNTA(B1203:F1203)=0,"",IF(OR(B1203="",C1203="",D1203="",F1203=""),"▲ Completar","✔"))</f>
        <v/>
      </c>
    </row>
    <row r="1204">
      <c r="B1204" s="130" t="n"/>
      <c r="C1204" s="129" t="n"/>
      <c r="D1204" s="129" t="n"/>
      <c r="E1204" s="129" t="n"/>
      <c r="F1204" s="145" t="n"/>
      <c r="G1204" s="129" t="n"/>
      <c r="H1204" s="129" t="n"/>
      <c r="I1204" s="129" t="n"/>
      <c r="J1204" s="138" t="str">
        <f>IF(C1204&lt;&gt;"Despesa","",IFERROR(INDEX('Config'!$J$6:$J$40,MATCH(D1204,'Config'!$I$6:$I$40,0)),"—"))</f>
        <v/>
      </c>
      <c r="K1204" s="138" t="str">
        <f>IF(COUNTA(B1204:F1204)=0,"",IF(OR(B1204="",C1204="",D1204="",F1204=""),"▲ Completar","✔"))</f>
        <v/>
      </c>
    </row>
    <row r="1205">
      <c r="B1205" s="130" t="n"/>
      <c r="C1205" s="129" t="n"/>
      <c r="D1205" s="129" t="n"/>
      <c r="E1205" s="129" t="n"/>
      <c r="F1205" s="145" t="n"/>
      <c r="G1205" s="129" t="n"/>
      <c r="H1205" s="129" t="n"/>
      <c r="I1205" s="129" t="n"/>
      <c r="J1205" s="138" t="str">
        <f>IF(C1205&lt;&gt;"Despesa","",IFERROR(INDEX('Config'!$J$6:$J$40,MATCH(D1205,'Config'!$I$6:$I$40,0)),"—"))</f>
        <v/>
      </c>
      <c r="K1205" s="138" t="str">
        <f>IF(COUNTA(B1205:F1205)=0,"",IF(OR(B1205="",C1205="",D1205="",F1205=""),"▲ Completar","✔"))</f>
        <v/>
      </c>
    </row>
    <row r="1206">
      <c r="B1206" s="130" t="n"/>
      <c r="C1206" s="129" t="n"/>
      <c r="D1206" s="129" t="n"/>
      <c r="E1206" s="129" t="n"/>
      <c r="F1206" s="145" t="n"/>
      <c r="G1206" s="129" t="n"/>
      <c r="H1206" s="129" t="n"/>
      <c r="I1206" s="129" t="n"/>
      <c r="J1206" s="138" t="str">
        <f>IF(C1206&lt;&gt;"Despesa","",IFERROR(INDEX('Config'!$J$6:$J$40,MATCH(D1206,'Config'!$I$6:$I$40,0)),"—"))</f>
        <v/>
      </c>
      <c r="K1206" s="138" t="str">
        <f>IF(COUNTA(B1206:F1206)=0,"",IF(OR(B1206="",C1206="",D1206="",F1206=""),"▲ Completar","✔"))</f>
        <v/>
      </c>
    </row>
    <row r="1207">
      <c r="B1207" s="130" t="n"/>
      <c r="C1207" s="129" t="n"/>
      <c r="D1207" s="129" t="n"/>
      <c r="E1207" s="129" t="n"/>
      <c r="F1207" s="145" t="n"/>
      <c r="G1207" s="129" t="n"/>
      <c r="H1207" s="129" t="n"/>
      <c r="I1207" s="129" t="n"/>
      <c r="J1207" s="138" t="str">
        <f>IF(C1207&lt;&gt;"Despesa","",IFERROR(INDEX('Config'!$J$6:$J$40,MATCH(D1207,'Config'!$I$6:$I$40,0)),"—"))</f>
        <v/>
      </c>
      <c r="K1207" s="138" t="str">
        <f>IF(COUNTA(B1207:F1207)=0,"",IF(OR(B1207="",C1207="",D1207="",F1207=""),"▲ Completar","✔"))</f>
        <v/>
      </c>
    </row>
    <row r="1208">
      <c r="B1208" s="130" t="n"/>
      <c r="C1208" s="129" t="n"/>
      <c r="D1208" s="129" t="n"/>
      <c r="E1208" s="129" t="n"/>
      <c r="F1208" s="145" t="n"/>
      <c r="G1208" s="129" t="n"/>
      <c r="H1208" s="129" t="n"/>
      <c r="I1208" s="129" t="n"/>
      <c r="J1208" s="138" t="str">
        <f>IF(C1208&lt;&gt;"Despesa","",IFERROR(INDEX('Config'!$J$6:$J$40,MATCH(D1208,'Config'!$I$6:$I$40,0)),"—"))</f>
        <v/>
      </c>
      <c r="K1208" s="138" t="str">
        <f>IF(COUNTA(B1208:F1208)=0,"",IF(OR(B1208="",C1208="",D1208="",F1208=""),"▲ Completar","✔"))</f>
        <v/>
      </c>
    </row>
    <row r="1209">
      <c r="B1209" s="130" t="n"/>
      <c r="C1209" s="129" t="n"/>
      <c r="D1209" s="129" t="n"/>
      <c r="E1209" s="129" t="n"/>
      <c r="F1209" s="145" t="n"/>
      <c r="G1209" s="129" t="n"/>
      <c r="H1209" s="129" t="n"/>
      <c r="I1209" s="129" t="n"/>
      <c r="J1209" s="138" t="str">
        <f>IF(C1209&lt;&gt;"Despesa","",IFERROR(INDEX('Config'!$J$6:$J$40,MATCH(D1209,'Config'!$I$6:$I$40,0)),"—"))</f>
        <v/>
      </c>
      <c r="K1209" s="138" t="str">
        <f>IF(COUNTA(B1209:F1209)=0,"",IF(OR(B1209="",C1209="",D1209="",F1209=""),"▲ Completar","✔"))</f>
        <v/>
      </c>
    </row>
    <row r="1210">
      <c r="B1210" s="130" t="n"/>
      <c r="C1210" s="129" t="n"/>
      <c r="D1210" s="129" t="n"/>
      <c r="E1210" s="129" t="n"/>
      <c r="F1210" s="145" t="n"/>
      <c r="G1210" s="129" t="n"/>
      <c r="H1210" s="129" t="n"/>
      <c r="I1210" s="129" t="n"/>
      <c r="J1210" s="138" t="str">
        <f>IF(C1210&lt;&gt;"Despesa","",IFERROR(INDEX('Config'!$J$6:$J$40,MATCH(D1210,'Config'!$I$6:$I$40,0)),"—"))</f>
        <v/>
      </c>
      <c r="K1210" s="138" t="str">
        <f>IF(COUNTA(B1210:F1210)=0,"",IF(OR(B1210="",C1210="",D1210="",F1210=""),"▲ Completar","✔"))</f>
        <v/>
      </c>
    </row>
    <row r="1211">
      <c r="B1211" s="130" t="n"/>
      <c r="C1211" s="129" t="n"/>
      <c r="D1211" s="129" t="n"/>
      <c r="E1211" s="129" t="n"/>
      <c r="F1211" s="145" t="n"/>
      <c r="G1211" s="129" t="n"/>
      <c r="H1211" s="129" t="n"/>
      <c r="I1211" s="129" t="n"/>
      <c r="J1211" s="138" t="str">
        <f>IF(C1211&lt;&gt;"Despesa","",IFERROR(INDEX('Config'!$J$6:$J$40,MATCH(D1211,'Config'!$I$6:$I$40,0)),"—"))</f>
        <v/>
      </c>
      <c r="K1211" s="138" t="str">
        <f>IF(COUNTA(B1211:F1211)=0,"",IF(OR(B1211="",C1211="",D1211="",F1211=""),"▲ Completar","✔"))</f>
        <v/>
      </c>
    </row>
    <row r="1212">
      <c r="B1212" s="130" t="n"/>
      <c r="C1212" s="129" t="n"/>
      <c r="D1212" s="129" t="n"/>
      <c r="E1212" s="129" t="n"/>
      <c r="F1212" s="145" t="n"/>
      <c r="G1212" s="129" t="n"/>
      <c r="H1212" s="129" t="n"/>
      <c r="I1212" s="129" t="n"/>
      <c r="J1212" s="138" t="str">
        <f>IF(C1212&lt;&gt;"Despesa","",IFERROR(INDEX('Config'!$J$6:$J$40,MATCH(D1212,'Config'!$I$6:$I$40,0)),"—"))</f>
        <v/>
      </c>
      <c r="K1212" s="138" t="str">
        <f>IF(COUNTA(B1212:F1212)=0,"",IF(OR(B1212="",C1212="",D1212="",F1212=""),"▲ Completar","✔"))</f>
        <v/>
      </c>
    </row>
    <row r="1213">
      <c r="B1213" s="130" t="n"/>
      <c r="C1213" s="129" t="n"/>
      <c r="D1213" s="129" t="n"/>
      <c r="E1213" s="129" t="n"/>
      <c r="F1213" s="145" t="n"/>
      <c r="G1213" s="129" t="n"/>
      <c r="H1213" s="129" t="n"/>
      <c r="I1213" s="129" t="n"/>
      <c r="J1213" s="138" t="str">
        <f>IF(C1213&lt;&gt;"Despesa","",IFERROR(INDEX('Config'!$J$6:$J$40,MATCH(D1213,'Config'!$I$6:$I$40,0)),"—"))</f>
        <v/>
      </c>
      <c r="K1213" s="138" t="str">
        <f>IF(COUNTA(B1213:F1213)=0,"",IF(OR(B1213="",C1213="",D1213="",F1213=""),"▲ Completar","✔"))</f>
        <v/>
      </c>
    </row>
    <row r="1214">
      <c r="B1214" s="130" t="n"/>
      <c r="C1214" s="129" t="n"/>
      <c r="D1214" s="129" t="n"/>
      <c r="E1214" s="129" t="n"/>
      <c r="F1214" s="145" t="n"/>
      <c r="G1214" s="129" t="n"/>
      <c r="H1214" s="129" t="n"/>
      <c r="I1214" s="129" t="n"/>
      <c r="J1214" s="138" t="str">
        <f>IF(C1214&lt;&gt;"Despesa","",IFERROR(INDEX('Config'!$J$6:$J$40,MATCH(D1214,'Config'!$I$6:$I$40,0)),"—"))</f>
        <v/>
      </c>
      <c r="K1214" s="138" t="str">
        <f>IF(COUNTA(B1214:F1214)=0,"",IF(OR(B1214="",C1214="",D1214="",F1214=""),"▲ Completar","✔"))</f>
        <v/>
      </c>
    </row>
    <row r="1215">
      <c r="B1215" s="130" t="n"/>
      <c r="C1215" s="129" t="n"/>
      <c r="D1215" s="129" t="n"/>
      <c r="E1215" s="129" t="n"/>
      <c r="F1215" s="145" t="n"/>
      <c r="G1215" s="129" t="n"/>
      <c r="H1215" s="129" t="n"/>
      <c r="I1215" s="129" t="n"/>
      <c r="J1215" s="138" t="str">
        <f>IF(C1215&lt;&gt;"Despesa","",IFERROR(INDEX('Config'!$J$6:$J$40,MATCH(D1215,'Config'!$I$6:$I$40,0)),"—"))</f>
        <v/>
      </c>
      <c r="K1215" s="138" t="str">
        <f>IF(COUNTA(B1215:F1215)=0,"",IF(OR(B1215="",C1215="",D1215="",F1215=""),"▲ Completar","✔"))</f>
        <v/>
      </c>
    </row>
    <row r="1216">
      <c r="B1216" s="130" t="n"/>
      <c r="C1216" s="129" t="n"/>
      <c r="D1216" s="129" t="n"/>
      <c r="E1216" s="129" t="n"/>
      <c r="F1216" s="145" t="n"/>
      <c r="G1216" s="129" t="n"/>
      <c r="H1216" s="129" t="n"/>
      <c r="I1216" s="129" t="n"/>
      <c r="J1216" s="138" t="str">
        <f>IF(C1216&lt;&gt;"Despesa","",IFERROR(INDEX('Config'!$J$6:$J$40,MATCH(D1216,'Config'!$I$6:$I$40,0)),"—"))</f>
        <v/>
      </c>
      <c r="K1216" s="138" t="str">
        <f>IF(COUNTA(B1216:F1216)=0,"",IF(OR(B1216="",C1216="",D1216="",F1216=""),"▲ Completar","✔"))</f>
        <v/>
      </c>
    </row>
    <row r="1217">
      <c r="B1217" s="130" t="n"/>
      <c r="C1217" s="129" t="n"/>
      <c r="D1217" s="129" t="n"/>
      <c r="E1217" s="129" t="n"/>
      <c r="F1217" s="145" t="n"/>
      <c r="G1217" s="129" t="n"/>
      <c r="H1217" s="129" t="n"/>
      <c r="I1217" s="129" t="n"/>
      <c r="J1217" s="138" t="str">
        <f>IF(C1217&lt;&gt;"Despesa","",IFERROR(INDEX('Config'!$J$6:$J$40,MATCH(D1217,'Config'!$I$6:$I$40,0)),"—"))</f>
        <v/>
      </c>
      <c r="K1217" s="138" t="str">
        <f>IF(COUNTA(B1217:F1217)=0,"",IF(OR(B1217="",C1217="",D1217="",F1217=""),"▲ Completar","✔"))</f>
        <v/>
      </c>
    </row>
    <row r="1218">
      <c r="B1218" s="130" t="n"/>
      <c r="C1218" s="129" t="n"/>
      <c r="D1218" s="129" t="n"/>
      <c r="E1218" s="129" t="n"/>
      <c r="F1218" s="145" t="n"/>
      <c r="G1218" s="129" t="n"/>
      <c r="H1218" s="129" t="n"/>
      <c r="I1218" s="129" t="n"/>
      <c r="J1218" s="138" t="str">
        <f>IF(C1218&lt;&gt;"Despesa","",IFERROR(INDEX('Config'!$J$6:$J$40,MATCH(D1218,'Config'!$I$6:$I$40,0)),"—"))</f>
        <v/>
      </c>
      <c r="K1218" s="138" t="str">
        <f>IF(COUNTA(B1218:F1218)=0,"",IF(OR(B1218="",C1218="",D1218="",F1218=""),"▲ Completar","✔"))</f>
        <v/>
      </c>
    </row>
    <row r="1219">
      <c r="B1219" s="130" t="n"/>
      <c r="C1219" s="129" t="n"/>
      <c r="D1219" s="129" t="n"/>
      <c r="E1219" s="129" t="n"/>
      <c r="F1219" s="145" t="n"/>
      <c r="G1219" s="129" t="n"/>
      <c r="H1219" s="129" t="n"/>
      <c r="I1219" s="129" t="n"/>
      <c r="J1219" s="138" t="str">
        <f>IF(C1219&lt;&gt;"Despesa","",IFERROR(INDEX('Config'!$J$6:$J$40,MATCH(D1219,'Config'!$I$6:$I$40,0)),"—"))</f>
        <v/>
      </c>
      <c r="K1219" s="138" t="str">
        <f>IF(COUNTA(B1219:F1219)=0,"",IF(OR(B1219="",C1219="",D1219="",F1219=""),"▲ Completar","✔"))</f>
        <v/>
      </c>
    </row>
    <row r="1220">
      <c r="B1220" s="130" t="n"/>
      <c r="C1220" s="129" t="n"/>
      <c r="D1220" s="129" t="n"/>
      <c r="E1220" s="129" t="n"/>
      <c r="F1220" s="145" t="n"/>
      <c r="G1220" s="129" t="n"/>
      <c r="H1220" s="129" t="n"/>
      <c r="I1220" s="129" t="n"/>
      <c r="J1220" s="138" t="str">
        <f>IF(C1220&lt;&gt;"Despesa","",IFERROR(INDEX('Config'!$J$6:$J$40,MATCH(D1220,'Config'!$I$6:$I$40,0)),"—"))</f>
        <v/>
      </c>
      <c r="K1220" s="138" t="str">
        <f>IF(COUNTA(B1220:F1220)=0,"",IF(OR(B1220="",C1220="",D1220="",F1220=""),"▲ Completar","✔"))</f>
        <v/>
      </c>
    </row>
    <row r="1221">
      <c r="B1221" s="130" t="n"/>
      <c r="C1221" s="129" t="n"/>
      <c r="D1221" s="129" t="n"/>
      <c r="E1221" s="129" t="n"/>
      <c r="F1221" s="145" t="n"/>
      <c r="G1221" s="129" t="n"/>
      <c r="H1221" s="129" t="n"/>
      <c r="I1221" s="129" t="n"/>
      <c r="J1221" s="138" t="str">
        <f>IF(C1221&lt;&gt;"Despesa","",IFERROR(INDEX('Config'!$J$6:$J$40,MATCH(D1221,'Config'!$I$6:$I$40,0)),"—"))</f>
        <v/>
      </c>
      <c r="K1221" s="138" t="str">
        <f>IF(COUNTA(B1221:F1221)=0,"",IF(OR(B1221="",C1221="",D1221="",F1221=""),"▲ Completar","✔"))</f>
        <v/>
      </c>
    </row>
    <row r="1222">
      <c r="B1222" s="130" t="n"/>
      <c r="C1222" s="129" t="n"/>
      <c r="D1222" s="129" t="n"/>
      <c r="E1222" s="129" t="n"/>
      <c r="F1222" s="145" t="n"/>
      <c r="G1222" s="129" t="n"/>
      <c r="H1222" s="129" t="n"/>
      <c r="I1222" s="129" t="n"/>
      <c r="J1222" s="138" t="str">
        <f>IF(C1222&lt;&gt;"Despesa","",IFERROR(INDEX('Config'!$J$6:$J$40,MATCH(D1222,'Config'!$I$6:$I$40,0)),"—"))</f>
        <v/>
      </c>
      <c r="K1222" s="138" t="str">
        <f>IF(COUNTA(B1222:F1222)=0,"",IF(OR(B1222="",C1222="",D1222="",F1222=""),"▲ Completar","✔"))</f>
        <v/>
      </c>
    </row>
    <row r="1223">
      <c r="B1223" s="130" t="n"/>
      <c r="C1223" s="129" t="n"/>
      <c r="D1223" s="129" t="n"/>
      <c r="E1223" s="129" t="n"/>
      <c r="F1223" s="145" t="n"/>
      <c r="G1223" s="129" t="n"/>
      <c r="H1223" s="129" t="n"/>
      <c r="I1223" s="129" t="n"/>
      <c r="J1223" s="138" t="str">
        <f>IF(C1223&lt;&gt;"Despesa","",IFERROR(INDEX('Config'!$J$6:$J$40,MATCH(D1223,'Config'!$I$6:$I$40,0)),"—"))</f>
        <v/>
      </c>
      <c r="K1223" s="138" t="str">
        <f>IF(COUNTA(B1223:F1223)=0,"",IF(OR(B1223="",C1223="",D1223="",F1223=""),"▲ Completar","✔"))</f>
        <v/>
      </c>
    </row>
    <row r="1224">
      <c r="B1224" s="130" t="n"/>
      <c r="C1224" s="129" t="n"/>
      <c r="D1224" s="129" t="n"/>
      <c r="E1224" s="129" t="n"/>
      <c r="F1224" s="145" t="n"/>
      <c r="G1224" s="129" t="n"/>
      <c r="H1224" s="129" t="n"/>
      <c r="I1224" s="129" t="n"/>
      <c r="J1224" s="138" t="str">
        <f>IF(C1224&lt;&gt;"Despesa","",IFERROR(INDEX('Config'!$J$6:$J$40,MATCH(D1224,'Config'!$I$6:$I$40,0)),"—"))</f>
        <v/>
      </c>
      <c r="K1224" s="138" t="str">
        <f>IF(COUNTA(B1224:F1224)=0,"",IF(OR(B1224="",C1224="",D1224="",F1224=""),"▲ Completar","✔"))</f>
        <v/>
      </c>
    </row>
    <row r="1225">
      <c r="B1225" s="130" t="n"/>
      <c r="C1225" s="129" t="n"/>
      <c r="D1225" s="129" t="n"/>
      <c r="E1225" s="129" t="n"/>
      <c r="F1225" s="145" t="n"/>
      <c r="G1225" s="129" t="n"/>
      <c r="H1225" s="129" t="n"/>
      <c r="I1225" s="129" t="n"/>
      <c r="J1225" s="138" t="str">
        <f>IF(C1225&lt;&gt;"Despesa","",IFERROR(INDEX('Config'!$J$6:$J$40,MATCH(D1225,'Config'!$I$6:$I$40,0)),"—"))</f>
        <v/>
      </c>
      <c r="K1225" s="138" t="str">
        <f>IF(COUNTA(B1225:F1225)=0,"",IF(OR(B1225="",C1225="",D1225="",F1225=""),"▲ Completar","✔"))</f>
        <v/>
      </c>
    </row>
    <row r="1226">
      <c r="B1226" s="130" t="n"/>
      <c r="C1226" s="129" t="n"/>
      <c r="D1226" s="129" t="n"/>
      <c r="E1226" s="129" t="n"/>
      <c r="F1226" s="145" t="n"/>
      <c r="G1226" s="129" t="n"/>
      <c r="H1226" s="129" t="n"/>
      <c r="I1226" s="129" t="n"/>
      <c r="J1226" s="138" t="str">
        <f>IF(C1226&lt;&gt;"Despesa","",IFERROR(INDEX('Config'!$J$6:$J$40,MATCH(D1226,'Config'!$I$6:$I$40,0)),"—"))</f>
        <v/>
      </c>
      <c r="K1226" s="138" t="str">
        <f>IF(COUNTA(B1226:F1226)=0,"",IF(OR(B1226="",C1226="",D1226="",F1226=""),"▲ Completar","✔"))</f>
        <v/>
      </c>
    </row>
    <row r="1227">
      <c r="B1227" s="130" t="n"/>
      <c r="C1227" s="129" t="n"/>
      <c r="D1227" s="129" t="n"/>
      <c r="E1227" s="129" t="n"/>
      <c r="F1227" s="145" t="n"/>
      <c r="G1227" s="129" t="n"/>
      <c r="H1227" s="129" t="n"/>
      <c r="I1227" s="129" t="n"/>
      <c r="J1227" s="138" t="str">
        <f>IF(C1227&lt;&gt;"Despesa","",IFERROR(INDEX('Config'!$J$6:$J$40,MATCH(D1227,'Config'!$I$6:$I$40,0)),"—"))</f>
        <v/>
      </c>
      <c r="K1227" s="138" t="str">
        <f>IF(COUNTA(B1227:F1227)=0,"",IF(OR(B1227="",C1227="",D1227="",F1227=""),"▲ Completar","✔"))</f>
        <v/>
      </c>
    </row>
    <row r="1228">
      <c r="B1228" s="130" t="n"/>
      <c r="C1228" s="129" t="n"/>
      <c r="D1228" s="129" t="n"/>
      <c r="E1228" s="129" t="n"/>
      <c r="F1228" s="145" t="n"/>
      <c r="G1228" s="129" t="n"/>
      <c r="H1228" s="129" t="n"/>
      <c r="I1228" s="129" t="n"/>
      <c r="J1228" s="138" t="str">
        <f>IF(C1228&lt;&gt;"Despesa","",IFERROR(INDEX('Config'!$J$6:$J$40,MATCH(D1228,'Config'!$I$6:$I$40,0)),"—"))</f>
        <v/>
      </c>
      <c r="K1228" s="138" t="str">
        <f>IF(COUNTA(B1228:F1228)=0,"",IF(OR(B1228="",C1228="",D1228="",F1228=""),"▲ Completar","✔"))</f>
        <v/>
      </c>
    </row>
    <row r="1229">
      <c r="B1229" s="130" t="n"/>
      <c r="C1229" s="129" t="n"/>
      <c r="D1229" s="129" t="n"/>
      <c r="E1229" s="129" t="n"/>
      <c r="F1229" s="145" t="n"/>
      <c r="G1229" s="129" t="n"/>
      <c r="H1229" s="129" t="n"/>
      <c r="I1229" s="129" t="n"/>
      <c r="J1229" s="138" t="str">
        <f>IF(C1229&lt;&gt;"Despesa","",IFERROR(INDEX('Config'!$J$6:$J$40,MATCH(D1229,'Config'!$I$6:$I$40,0)),"—"))</f>
        <v/>
      </c>
      <c r="K1229" s="138" t="str">
        <f>IF(COUNTA(B1229:F1229)=0,"",IF(OR(B1229="",C1229="",D1229="",F1229=""),"▲ Completar","✔"))</f>
        <v/>
      </c>
    </row>
    <row r="1230">
      <c r="B1230" s="130" t="n"/>
      <c r="C1230" s="129" t="n"/>
      <c r="D1230" s="129" t="n"/>
      <c r="E1230" s="129" t="n"/>
      <c r="F1230" s="145" t="n"/>
      <c r="G1230" s="129" t="n"/>
      <c r="H1230" s="129" t="n"/>
      <c r="I1230" s="129" t="n"/>
      <c r="J1230" s="138" t="str">
        <f>IF(C1230&lt;&gt;"Despesa","",IFERROR(INDEX('Config'!$J$6:$J$40,MATCH(D1230,'Config'!$I$6:$I$40,0)),"—"))</f>
        <v/>
      </c>
      <c r="K1230" s="138" t="str">
        <f>IF(COUNTA(B1230:F1230)=0,"",IF(OR(B1230="",C1230="",D1230="",F1230=""),"▲ Completar","✔"))</f>
        <v/>
      </c>
    </row>
    <row r="1231">
      <c r="B1231" s="130" t="n"/>
      <c r="C1231" s="129" t="n"/>
      <c r="D1231" s="129" t="n"/>
      <c r="E1231" s="129" t="n"/>
      <c r="F1231" s="145" t="n"/>
      <c r="G1231" s="129" t="n"/>
      <c r="H1231" s="129" t="n"/>
      <c r="I1231" s="129" t="n"/>
      <c r="J1231" s="138" t="str">
        <f>IF(C1231&lt;&gt;"Despesa","",IFERROR(INDEX('Config'!$J$6:$J$40,MATCH(D1231,'Config'!$I$6:$I$40,0)),"—"))</f>
        <v/>
      </c>
      <c r="K1231" s="138" t="str">
        <f>IF(COUNTA(B1231:F1231)=0,"",IF(OR(B1231="",C1231="",D1231="",F1231=""),"▲ Completar","✔"))</f>
        <v/>
      </c>
    </row>
    <row r="1232">
      <c r="B1232" s="130" t="n"/>
      <c r="C1232" s="129" t="n"/>
      <c r="D1232" s="129" t="n"/>
      <c r="E1232" s="129" t="n"/>
      <c r="F1232" s="145" t="n"/>
      <c r="G1232" s="129" t="n"/>
      <c r="H1232" s="129" t="n"/>
      <c r="I1232" s="129" t="n"/>
      <c r="J1232" s="138" t="str">
        <f>IF(C1232&lt;&gt;"Despesa","",IFERROR(INDEX('Config'!$J$6:$J$40,MATCH(D1232,'Config'!$I$6:$I$40,0)),"—"))</f>
        <v/>
      </c>
      <c r="K1232" s="138" t="str">
        <f>IF(COUNTA(B1232:F1232)=0,"",IF(OR(B1232="",C1232="",D1232="",F1232=""),"▲ Completar","✔"))</f>
        <v/>
      </c>
    </row>
    <row r="1233">
      <c r="B1233" s="130" t="n"/>
      <c r="C1233" s="129" t="n"/>
      <c r="D1233" s="129" t="n"/>
      <c r="E1233" s="129" t="n"/>
      <c r="F1233" s="145" t="n"/>
      <c r="G1233" s="129" t="n"/>
      <c r="H1233" s="129" t="n"/>
      <c r="I1233" s="129" t="n"/>
      <c r="J1233" s="138" t="str">
        <f>IF(C1233&lt;&gt;"Despesa","",IFERROR(INDEX('Config'!$J$6:$J$40,MATCH(D1233,'Config'!$I$6:$I$40,0)),"—"))</f>
        <v/>
      </c>
      <c r="K1233" s="138" t="str">
        <f>IF(COUNTA(B1233:F1233)=0,"",IF(OR(B1233="",C1233="",D1233="",F1233=""),"▲ Completar","✔"))</f>
        <v/>
      </c>
    </row>
    <row r="1234">
      <c r="B1234" s="130" t="n"/>
      <c r="C1234" s="129" t="n"/>
      <c r="D1234" s="129" t="n"/>
      <c r="E1234" s="129" t="n"/>
      <c r="F1234" s="145" t="n"/>
      <c r="G1234" s="129" t="n"/>
      <c r="H1234" s="129" t="n"/>
      <c r="I1234" s="129" t="n"/>
      <c r="J1234" s="138" t="str">
        <f>IF(C1234&lt;&gt;"Despesa","",IFERROR(INDEX('Config'!$J$6:$J$40,MATCH(D1234,'Config'!$I$6:$I$40,0)),"—"))</f>
        <v/>
      </c>
      <c r="K1234" s="138" t="str">
        <f>IF(COUNTA(B1234:F1234)=0,"",IF(OR(B1234="",C1234="",D1234="",F1234=""),"▲ Completar","✔"))</f>
        <v/>
      </c>
    </row>
    <row r="1235">
      <c r="B1235" s="130" t="n"/>
      <c r="C1235" s="129" t="n"/>
      <c r="D1235" s="129" t="n"/>
      <c r="E1235" s="129" t="n"/>
      <c r="F1235" s="145" t="n"/>
      <c r="G1235" s="129" t="n"/>
      <c r="H1235" s="129" t="n"/>
      <c r="I1235" s="129" t="n"/>
      <c r="J1235" s="138" t="str">
        <f>IF(C1235&lt;&gt;"Despesa","",IFERROR(INDEX('Config'!$J$6:$J$40,MATCH(D1235,'Config'!$I$6:$I$40,0)),"—"))</f>
        <v/>
      </c>
      <c r="K1235" s="138" t="str">
        <f>IF(COUNTA(B1235:F1235)=0,"",IF(OR(B1235="",C1235="",D1235="",F1235=""),"▲ Completar","✔"))</f>
        <v/>
      </c>
    </row>
    <row r="1236">
      <c r="B1236" s="130" t="n"/>
      <c r="C1236" s="129" t="n"/>
      <c r="D1236" s="129" t="n"/>
      <c r="E1236" s="129" t="n"/>
      <c r="F1236" s="145" t="n"/>
      <c r="G1236" s="129" t="n"/>
      <c r="H1236" s="129" t="n"/>
      <c r="I1236" s="129" t="n"/>
      <c r="J1236" s="138" t="str">
        <f>IF(C1236&lt;&gt;"Despesa","",IFERROR(INDEX('Config'!$J$6:$J$40,MATCH(D1236,'Config'!$I$6:$I$40,0)),"—"))</f>
        <v/>
      </c>
      <c r="K1236" s="138" t="str">
        <f>IF(COUNTA(B1236:F1236)=0,"",IF(OR(B1236="",C1236="",D1236="",F1236=""),"▲ Completar","✔"))</f>
        <v/>
      </c>
    </row>
    <row r="1237">
      <c r="B1237" s="130" t="n"/>
      <c r="C1237" s="129" t="n"/>
      <c r="D1237" s="129" t="n"/>
      <c r="E1237" s="129" t="n"/>
      <c r="F1237" s="145" t="n"/>
      <c r="G1237" s="129" t="n"/>
      <c r="H1237" s="129" t="n"/>
      <c r="I1237" s="129" t="n"/>
      <c r="J1237" s="138" t="str">
        <f>IF(C1237&lt;&gt;"Despesa","",IFERROR(INDEX('Config'!$J$6:$J$40,MATCH(D1237,'Config'!$I$6:$I$40,0)),"—"))</f>
        <v/>
      </c>
      <c r="K1237" s="138" t="str">
        <f>IF(COUNTA(B1237:F1237)=0,"",IF(OR(B1237="",C1237="",D1237="",F1237=""),"▲ Completar","✔"))</f>
        <v/>
      </c>
    </row>
    <row r="1238">
      <c r="B1238" s="130" t="n"/>
      <c r="C1238" s="129" t="n"/>
      <c r="D1238" s="129" t="n"/>
      <c r="E1238" s="129" t="n"/>
      <c r="F1238" s="145" t="n"/>
      <c r="G1238" s="129" t="n"/>
      <c r="H1238" s="129" t="n"/>
      <c r="I1238" s="129" t="n"/>
      <c r="J1238" s="138" t="str">
        <f>IF(C1238&lt;&gt;"Despesa","",IFERROR(INDEX('Config'!$J$6:$J$40,MATCH(D1238,'Config'!$I$6:$I$40,0)),"—"))</f>
        <v/>
      </c>
      <c r="K1238" s="138" t="str">
        <f>IF(COUNTA(B1238:F1238)=0,"",IF(OR(B1238="",C1238="",D1238="",F1238=""),"▲ Completar","✔"))</f>
        <v/>
      </c>
    </row>
    <row r="1239">
      <c r="B1239" s="130" t="n"/>
      <c r="C1239" s="129" t="n"/>
      <c r="D1239" s="129" t="n"/>
      <c r="E1239" s="129" t="n"/>
      <c r="F1239" s="145" t="n"/>
      <c r="G1239" s="129" t="n"/>
      <c r="H1239" s="129" t="n"/>
      <c r="I1239" s="129" t="n"/>
      <c r="J1239" s="138" t="str">
        <f>IF(C1239&lt;&gt;"Despesa","",IFERROR(INDEX('Config'!$J$6:$J$40,MATCH(D1239,'Config'!$I$6:$I$40,0)),"—"))</f>
        <v/>
      </c>
      <c r="K1239" s="138" t="str">
        <f>IF(COUNTA(B1239:F1239)=0,"",IF(OR(B1239="",C1239="",D1239="",F1239=""),"▲ Completar","✔"))</f>
        <v/>
      </c>
    </row>
    <row r="1240">
      <c r="B1240" s="130" t="n"/>
      <c r="C1240" s="129" t="n"/>
      <c r="D1240" s="129" t="n"/>
      <c r="E1240" s="129" t="n"/>
      <c r="F1240" s="145" t="n"/>
      <c r="G1240" s="129" t="n"/>
      <c r="H1240" s="129" t="n"/>
      <c r="I1240" s="129" t="n"/>
      <c r="J1240" s="138" t="str">
        <f>IF(C1240&lt;&gt;"Despesa","",IFERROR(INDEX('Config'!$J$6:$J$40,MATCH(D1240,'Config'!$I$6:$I$40,0)),"—"))</f>
        <v/>
      </c>
      <c r="K1240" s="138" t="str">
        <f>IF(COUNTA(B1240:F1240)=0,"",IF(OR(B1240="",C1240="",D1240="",F1240=""),"▲ Completar","✔"))</f>
        <v/>
      </c>
    </row>
    <row r="1241">
      <c r="B1241" s="130" t="n"/>
      <c r="C1241" s="129" t="n"/>
      <c r="D1241" s="129" t="n"/>
      <c r="E1241" s="129" t="n"/>
      <c r="F1241" s="145" t="n"/>
      <c r="G1241" s="129" t="n"/>
      <c r="H1241" s="129" t="n"/>
      <c r="I1241" s="129" t="n"/>
      <c r="J1241" s="138" t="str">
        <f>IF(C1241&lt;&gt;"Despesa","",IFERROR(INDEX('Config'!$J$6:$J$40,MATCH(D1241,'Config'!$I$6:$I$40,0)),"—"))</f>
        <v/>
      </c>
      <c r="K1241" s="138" t="str">
        <f>IF(COUNTA(B1241:F1241)=0,"",IF(OR(B1241="",C1241="",D1241="",F1241=""),"▲ Completar","✔"))</f>
        <v/>
      </c>
    </row>
    <row r="1242">
      <c r="B1242" s="130" t="n"/>
      <c r="C1242" s="129" t="n"/>
      <c r="D1242" s="129" t="n"/>
      <c r="E1242" s="129" t="n"/>
      <c r="F1242" s="145" t="n"/>
      <c r="G1242" s="129" t="n"/>
      <c r="H1242" s="129" t="n"/>
      <c r="I1242" s="129" t="n"/>
      <c r="J1242" s="138" t="str">
        <f>IF(C1242&lt;&gt;"Despesa","",IFERROR(INDEX('Config'!$J$6:$J$40,MATCH(D1242,'Config'!$I$6:$I$40,0)),"—"))</f>
        <v/>
      </c>
      <c r="K1242" s="138" t="str">
        <f>IF(COUNTA(B1242:F1242)=0,"",IF(OR(B1242="",C1242="",D1242="",F1242=""),"▲ Completar","✔"))</f>
        <v/>
      </c>
    </row>
    <row r="1243">
      <c r="B1243" s="130" t="n"/>
      <c r="C1243" s="129" t="n"/>
      <c r="D1243" s="129" t="n"/>
      <c r="E1243" s="129" t="n"/>
      <c r="F1243" s="145" t="n"/>
      <c r="G1243" s="129" t="n"/>
      <c r="H1243" s="129" t="n"/>
      <c r="I1243" s="129" t="n"/>
      <c r="J1243" s="138" t="str">
        <f>IF(C1243&lt;&gt;"Despesa","",IFERROR(INDEX('Config'!$J$6:$J$40,MATCH(D1243,'Config'!$I$6:$I$40,0)),"—"))</f>
        <v/>
      </c>
      <c r="K1243" s="138" t="str">
        <f>IF(COUNTA(B1243:F1243)=0,"",IF(OR(B1243="",C1243="",D1243="",F1243=""),"▲ Completar","✔"))</f>
        <v/>
      </c>
    </row>
    <row r="1244">
      <c r="B1244" s="130" t="n"/>
      <c r="C1244" s="129" t="n"/>
      <c r="D1244" s="129" t="n"/>
      <c r="E1244" s="129" t="n"/>
      <c r="F1244" s="145" t="n"/>
      <c r="G1244" s="129" t="n"/>
      <c r="H1244" s="129" t="n"/>
      <c r="I1244" s="129" t="n"/>
      <c r="J1244" s="138" t="str">
        <f>IF(C1244&lt;&gt;"Despesa","",IFERROR(INDEX('Config'!$J$6:$J$40,MATCH(D1244,'Config'!$I$6:$I$40,0)),"—"))</f>
        <v/>
      </c>
      <c r="K1244" s="138" t="str">
        <f>IF(COUNTA(B1244:F1244)=0,"",IF(OR(B1244="",C1244="",D1244="",F1244=""),"▲ Completar","✔"))</f>
        <v/>
      </c>
    </row>
    <row r="1245">
      <c r="B1245" s="130" t="n"/>
      <c r="C1245" s="129" t="n"/>
      <c r="D1245" s="129" t="n"/>
      <c r="E1245" s="129" t="n"/>
      <c r="F1245" s="145" t="n"/>
      <c r="G1245" s="129" t="n"/>
      <c r="H1245" s="129" t="n"/>
      <c r="I1245" s="129" t="n"/>
      <c r="J1245" s="138" t="str">
        <f>IF(C1245&lt;&gt;"Despesa","",IFERROR(INDEX('Config'!$J$6:$J$40,MATCH(D1245,'Config'!$I$6:$I$40,0)),"—"))</f>
        <v/>
      </c>
      <c r="K1245" s="138" t="str">
        <f>IF(COUNTA(B1245:F1245)=0,"",IF(OR(B1245="",C1245="",D1245="",F1245=""),"▲ Completar","✔"))</f>
        <v/>
      </c>
    </row>
    <row r="1246">
      <c r="B1246" s="130" t="n"/>
      <c r="C1246" s="129" t="n"/>
      <c r="D1246" s="129" t="n"/>
      <c r="E1246" s="129" t="n"/>
      <c r="F1246" s="145" t="n"/>
      <c r="G1246" s="129" t="n"/>
      <c r="H1246" s="129" t="n"/>
      <c r="I1246" s="129" t="n"/>
      <c r="J1246" s="138" t="str">
        <f>IF(C1246&lt;&gt;"Despesa","",IFERROR(INDEX('Config'!$J$6:$J$40,MATCH(D1246,'Config'!$I$6:$I$40,0)),"—"))</f>
        <v/>
      </c>
      <c r="K1246" s="138" t="str">
        <f>IF(COUNTA(B1246:F1246)=0,"",IF(OR(B1246="",C1246="",D1246="",F1246=""),"▲ Completar","✔"))</f>
        <v/>
      </c>
    </row>
    <row r="1247">
      <c r="B1247" s="130" t="n"/>
      <c r="C1247" s="129" t="n"/>
      <c r="D1247" s="129" t="n"/>
      <c r="E1247" s="129" t="n"/>
      <c r="F1247" s="145" t="n"/>
      <c r="G1247" s="129" t="n"/>
      <c r="H1247" s="129" t="n"/>
      <c r="I1247" s="129" t="n"/>
      <c r="J1247" s="138" t="str">
        <f>IF(C1247&lt;&gt;"Despesa","",IFERROR(INDEX('Config'!$J$6:$J$40,MATCH(D1247,'Config'!$I$6:$I$40,0)),"—"))</f>
        <v/>
      </c>
      <c r="K1247" s="138" t="str">
        <f>IF(COUNTA(B1247:F1247)=0,"",IF(OR(B1247="",C1247="",D1247="",F1247=""),"▲ Completar","✔"))</f>
        <v/>
      </c>
    </row>
    <row r="1248">
      <c r="B1248" s="130" t="n"/>
      <c r="C1248" s="129" t="n"/>
      <c r="D1248" s="129" t="n"/>
      <c r="E1248" s="129" t="n"/>
      <c r="F1248" s="145" t="n"/>
      <c r="G1248" s="129" t="n"/>
      <c r="H1248" s="129" t="n"/>
      <c r="I1248" s="129" t="n"/>
      <c r="J1248" s="138" t="str">
        <f>IF(C1248&lt;&gt;"Despesa","",IFERROR(INDEX('Config'!$J$6:$J$40,MATCH(D1248,'Config'!$I$6:$I$40,0)),"—"))</f>
        <v/>
      </c>
      <c r="K1248" s="138" t="str">
        <f>IF(COUNTA(B1248:F1248)=0,"",IF(OR(B1248="",C1248="",D1248="",F1248=""),"▲ Completar","✔"))</f>
        <v/>
      </c>
    </row>
    <row r="1249">
      <c r="B1249" s="130" t="n"/>
      <c r="C1249" s="129" t="n"/>
      <c r="D1249" s="129" t="n"/>
      <c r="E1249" s="129" t="n"/>
      <c r="F1249" s="145" t="n"/>
      <c r="G1249" s="129" t="n"/>
      <c r="H1249" s="129" t="n"/>
      <c r="I1249" s="129" t="n"/>
      <c r="J1249" s="138" t="str">
        <f>IF(C1249&lt;&gt;"Despesa","",IFERROR(INDEX('Config'!$J$6:$J$40,MATCH(D1249,'Config'!$I$6:$I$40,0)),"—"))</f>
        <v/>
      </c>
      <c r="K1249" s="138" t="str">
        <f>IF(COUNTA(B1249:F1249)=0,"",IF(OR(B1249="",C1249="",D1249="",F1249=""),"▲ Completar","✔"))</f>
        <v/>
      </c>
    </row>
    <row r="1250">
      <c r="B1250" s="130" t="n"/>
      <c r="C1250" s="129" t="n"/>
      <c r="D1250" s="129" t="n"/>
      <c r="E1250" s="129" t="n"/>
      <c r="F1250" s="145" t="n"/>
      <c r="G1250" s="129" t="n"/>
      <c r="H1250" s="129" t="n"/>
      <c r="I1250" s="129" t="n"/>
      <c r="J1250" s="138" t="str">
        <f>IF(C1250&lt;&gt;"Despesa","",IFERROR(INDEX('Config'!$J$6:$J$40,MATCH(D1250,'Config'!$I$6:$I$40,0)),"—"))</f>
        <v/>
      </c>
      <c r="K1250" s="138" t="str">
        <f>IF(COUNTA(B1250:F1250)=0,"",IF(OR(B1250="",C1250="",D1250="",F1250=""),"▲ Completar","✔"))</f>
        <v/>
      </c>
    </row>
    <row r="1251">
      <c r="B1251" s="130" t="n"/>
      <c r="C1251" s="129" t="n"/>
      <c r="D1251" s="129" t="n"/>
      <c r="E1251" s="129" t="n"/>
      <c r="F1251" s="145" t="n"/>
      <c r="G1251" s="129" t="n"/>
      <c r="H1251" s="129" t="n"/>
      <c r="I1251" s="129" t="n"/>
      <c r="J1251" s="138" t="str">
        <f>IF(C1251&lt;&gt;"Despesa","",IFERROR(INDEX('Config'!$J$6:$J$40,MATCH(D1251,'Config'!$I$6:$I$40,0)),"—"))</f>
        <v/>
      </c>
      <c r="K1251" s="138" t="str">
        <f>IF(COUNTA(B1251:F1251)=0,"",IF(OR(B1251="",C1251="",D1251="",F1251=""),"▲ Completar","✔"))</f>
        <v/>
      </c>
    </row>
    <row r="1252">
      <c r="B1252" s="130" t="n"/>
      <c r="C1252" s="129" t="n"/>
      <c r="D1252" s="129" t="n"/>
      <c r="E1252" s="129" t="n"/>
      <c r="F1252" s="145" t="n"/>
      <c r="G1252" s="129" t="n"/>
      <c r="H1252" s="129" t="n"/>
      <c r="I1252" s="129" t="n"/>
      <c r="J1252" s="138" t="str">
        <f>IF(C1252&lt;&gt;"Despesa","",IFERROR(INDEX('Config'!$J$6:$J$40,MATCH(D1252,'Config'!$I$6:$I$40,0)),"—"))</f>
        <v/>
      </c>
      <c r="K1252" s="138" t="str">
        <f>IF(COUNTA(B1252:F1252)=0,"",IF(OR(B1252="",C1252="",D1252="",F1252=""),"▲ Completar","✔"))</f>
        <v/>
      </c>
    </row>
    <row r="1253">
      <c r="B1253" s="130" t="n"/>
      <c r="C1253" s="129" t="n"/>
      <c r="D1253" s="129" t="n"/>
      <c r="E1253" s="129" t="n"/>
      <c r="F1253" s="145" t="n"/>
      <c r="G1253" s="129" t="n"/>
      <c r="H1253" s="129" t="n"/>
      <c r="I1253" s="129" t="n"/>
      <c r="J1253" s="138" t="str">
        <f>IF(C1253&lt;&gt;"Despesa","",IFERROR(INDEX('Config'!$J$6:$J$40,MATCH(D1253,'Config'!$I$6:$I$40,0)),"—"))</f>
        <v/>
      </c>
      <c r="K1253" s="138" t="str">
        <f>IF(COUNTA(B1253:F1253)=0,"",IF(OR(B1253="",C1253="",D1253="",F1253=""),"▲ Completar","✔"))</f>
        <v/>
      </c>
    </row>
    <row r="1254">
      <c r="B1254" s="130" t="n"/>
      <c r="C1254" s="129" t="n"/>
      <c r="D1254" s="129" t="n"/>
      <c r="E1254" s="129" t="n"/>
      <c r="F1254" s="145" t="n"/>
      <c r="G1254" s="129" t="n"/>
      <c r="H1254" s="129" t="n"/>
      <c r="I1254" s="129" t="n"/>
      <c r="J1254" s="138" t="str">
        <f>IF(C1254&lt;&gt;"Despesa","",IFERROR(INDEX('Config'!$J$6:$J$40,MATCH(D1254,'Config'!$I$6:$I$40,0)),"—"))</f>
        <v/>
      </c>
      <c r="K1254" s="138" t="str">
        <f>IF(COUNTA(B1254:F1254)=0,"",IF(OR(B1254="",C1254="",D1254="",F1254=""),"▲ Completar","✔"))</f>
        <v/>
      </c>
    </row>
    <row r="1255">
      <c r="B1255" s="130" t="n"/>
      <c r="C1255" s="129" t="n"/>
      <c r="D1255" s="129" t="n"/>
      <c r="E1255" s="129" t="n"/>
      <c r="F1255" s="145" t="n"/>
      <c r="G1255" s="129" t="n"/>
      <c r="H1255" s="129" t="n"/>
      <c r="I1255" s="129" t="n"/>
      <c r="J1255" s="138" t="str">
        <f>IF(C1255&lt;&gt;"Despesa","",IFERROR(INDEX('Config'!$J$6:$J$40,MATCH(D1255,'Config'!$I$6:$I$40,0)),"—"))</f>
        <v/>
      </c>
      <c r="K1255" s="138" t="str">
        <f>IF(COUNTA(B1255:F1255)=0,"",IF(OR(B1255="",C1255="",D1255="",F1255=""),"▲ Completar","✔"))</f>
        <v/>
      </c>
    </row>
    <row r="1256">
      <c r="B1256" s="130" t="n"/>
      <c r="C1256" s="129" t="n"/>
      <c r="D1256" s="129" t="n"/>
      <c r="E1256" s="129" t="n"/>
      <c r="F1256" s="145" t="n"/>
      <c r="G1256" s="129" t="n"/>
      <c r="H1256" s="129" t="n"/>
      <c r="I1256" s="129" t="n"/>
      <c r="J1256" s="138" t="str">
        <f>IF(C1256&lt;&gt;"Despesa","",IFERROR(INDEX('Config'!$J$6:$J$40,MATCH(D1256,'Config'!$I$6:$I$40,0)),"—"))</f>
        <v/>
      </c>
      <c r="K1256" s="138" t="str">
        <f>IF(COUNTA(B1256:F1256)=0,"",IF(OR(B1256="",C1256="",D1256="",F1256=""),"▲ Completar","✔"))</f>
        <v/>
      </c>
    </row>
    <row r="1257">
      <c r="B1257" s="130" t="n"/>
      <c r="C1257" s="129" t="n"/>
      <c r="D1257" s="129" t="n"/>
      <c r="E1257" s="129" t="n"/>
      <c r="F1257" s="145" t="n"/>
      <c r="G1257" s="129" t="n"/>
      <c r="H1257" s="129" t="n"/>
      <c r="I1257" s="129" t="n"/>
      <c r="J1257" s="138" t="str">
        <f>IF(C1257&lt;&gt;"Despesa","",IFERROR(INDEX('Config'!$J$6:$J$40,MATCH(D1257,'Config'!$I$6:$I$40,0)),"—"))</f>
        <v/>
      </c>
      <c r="K1257" s="138" t="str">
        <f>IF(COUNTA(B1257:F1257)=0,"",IF(OR(B1257="",C1257="",D1257="",F1257=""),"▲ Completar","✔"))</f>
        <v/>
      </c>
    </row>
    <row r="1258">
      <c r="B1258" s="130" t="n"/>
      <c r="C1258" s="129" t="n"/>
      <c r="D1258" s="129" t="n"/>
      <c r="E1258" s="129" t="n"/>
      <c r="F1258" s="145" t="n"/>
      <c r="G1258" s="129" t="n"/>
      <c r="H1258" s="129" t="n"/>
      <c r="I1258" s="129" t="n"/>
      <c r="J1258" s="138" t="str">
        <f>IF(C1258&lt;&gt;"Despesa","",IFERROR(INDEX('Config'!$J$6:$J$40,MATCH(D1258,'Config'!$I$6:$I$40,0)),"—"))</f>
        <v/>
      </c>
      <c r="K1258" s="138" t="str">
        <f>IF(COUNTA(B1258:F1258)=0,"",IF(OR(B1258="",C1258="",D1258="",F1258=""),"▲ Completar","✔"))</f>
        <v/>
      </c>
    </row>
    <row r="1259">
      <c r="B1259" s="130" t="n"/>
      <c r="C1259" s="129" t="n"/>
      <c r="D1259" s="129" t="n"/>
      <c r="E1259" s="129" t="n"/>
      <c r="F1259" s="145" t="n"/>
      <c r="G1259" s="129" t="n"/>
      <c r="H1259" s="129" t="n"/>
      <c r="I1259" s="129" t="n"/>
      <c r="J1259" s="138" t="str">
        <f>IF(C1259&lt;&gt;"Despesa","",IFERROR(INDEX('Config'!$J$6:$J$40,MATCH(D1259,'Config'!$I$6:$I$40,0)),"—"))</f>
        <v/>
      </c>
      <c r="K1259" s="138" t="str">
        <f>IF(COUNTA(B1259:F1259)=0,"",IF(OR(B1259="",C1259="",D1259="",F1259=""),"▲ Completar","✔"))</f>
        <v/>
      </c>
    </row>
    <row r="1260">
      <c r="B1260" s="130" t="n"/>
      <c r="C1260" s="129" t="n"/>
      <c r="D1260" s="129" t="n"/>
      <c r="E1260" s="129" t="n"/>
      <c r="F1260" s="145" t="n"/>
      <c r="G1260" s="129" t="n"/>
      <c r="H1260" s="129" t="n"/>
      <c r="I1260" s="129" t="n"/>
      <c r="J1260" s="138" t="str">
        <f>IF(C1260&lt;&gt;"Despesa","",IFERROR(INDEX('Config'!$J$6:$J$40,MATCH(D1260,'Config'!$I$6:$I$40,0)),"—"))</f>
        <v/>
      </c>
      <c r="K1260" s="138" t="str">
        <f>IF(COUNTA(B1260:F1260)=0,"",IF(OR(B1260="",C1260="",D1260="",F1260=""),"▲ Completar","✔"))</f>
        <v/>
      </c>
    </row>
    <row r="1261">
      <c r="B1261" s="130" t="n"/>
      <c r="C1261" s="129" t="n"/>
      <c r="D1261" s="129" t="n"/>
      <c r="E1261" s="129" t="n"/>
      <c r="F1261" s="145" t="n"/>
      <c r="G1261" s="129" t="n"/>
      <c r="H1261" s="129" t="n"/>
      <c r="I1261" s="129" t="n"/>
      <c r="J1261" s="138" t="str">
        <f>IF(C1261&lt;&gt;"Despesa","",IFERROR(INDEX('Config'!$J$6:$J$40,MATCH(D1261,'Config'!$I$6:$I$40,0)),"—"))</f>
        <v/>
      </c>
      <c r="K1261" s="138" t="str">
        <f>IF(COUNTA(B1261:F1261)=0,"",IF(OR(B1261="",C1261="",D1261="",F1261=""),"▲ Completar","✔"))</f>
        <v/>
      </c>
    </row>
    <row r="1262">
      <c r="B1262" s="130" t="n"/>
      <c r="C1262" s="129" t="n"/>
      <c r="D1262" s="129" t="n"/>
      <c r="E1262" s="129" t="n"/>
      <c r="F1262" s="145" t="n"/>
      <c r="G1262" s="129" t="n"/>
      <c r="H1262" s="129" t="n"/>
      <c r="I1262" s="129" t="n"/>
      <c r="J1262" s="138" t="str">
        <f>IF(C1262&lt;&gt;"Despesa","",IFERROR(INDEX('Config'!$J$6:$J$40,MATCH(D1262,'Config'!$I$6:$I$40,0)),"—"))</f>
        <v/>
      </c>
      <c r="K1262" s="138" t="str">
        <f>IF(COUNTA(B1262:F1262)=0,"",IF(OR(B1262="",C1262="",D1262="",F1262=""),"▲ Completar","✔"))</f>
        <v/>
      </c>
    </row>
    <row r="1263">
      <c r="B1263" s="130" t="n"/>
      <c r="C1263" s="129" t="n"/>
      <c r="D1263" s="129" t="n"/>
      <c r="E1263" s="129" t="n"/>
      <c r="F1263" s="145" t="n"/>
      <c r="G1263" s="129" t="n"/>
      <c r="H1263" s="129" t="n"/>
      <c r="I1263" s="129" t="n"/>
      <c r="J1263" s="138" t="str">
        <f>IF(C1263&lt;&gt;"Despesa","",IFERROR(INDEX('Config'!$J$6:$J$40,MATCH(D1263,'Config'!$I$6:$I$40,0)),"—"))</f>
        <v/>
      </c>
      <c r="K1263" s="138" t="str">
        <f>IF(COUNTA(B1263:F1263)=0,"",IF(OR(B1263="",C1263="",D1263="",F1263=""),"▲ Completar","✔"))</f>
        <v/>
      </c>
    </row>
    <row r="1264">
      <c r="B1264" s="130" t="n"/>
      <c r="C1264" s="129" t="n"/>
      <c r="D1264" s="129" t="n"/>
      <c r="E1264" s="129" t="n"/>
      <c r="F1264" s="145" t="n"/>
      <c r="G1264" s="129" t="n"/>
      <c r="H1264" s="129" t="n"/>
      <c r="I1264" s="129" t="n"/>
      <c r="J1264" s="138" t="str">
        <f>IF(C1264&lt;&gt;"Despesa","",IFERROR(INDEX('Config'!$J$6:$J$40,MATCH(D1264,'Config'!$I$6:$I$40,0)),"—"))</f>
        <v/>
      </c>
      <c r="K1264" s="138" t="str">
        <f>IF(COUNTA(B1264:F1264)=0,"",IF(OR(B1264="",C1264="",D1264="",F1264=""),"▲ Completar","✔"))</f>
        <v/>
      </c>
    </row>
    <row r="1265">
      <c r="B1265" s="130" t="n"/>
      <c r="C1265" s="129" t="n"/>
      <c r="D1265" s="129" t="n"/>
      <c r="E1265" s="129" t="n"/>
      <c r="F1265" s="145" t="n"/>
      <c r="G1265" s="129" t="n"/>
      <c r="H1265" s="129" t="n"/>
      <c r="I1265" s="129" t="n"/>
      <c r="J1265" s="138" t="str">
        <f>IF(C1265&lt;&gt;"Despesa","",IFERROR(INDEX('Config'!$J$6:$J$40,MATCH(D1265,'Config'!$I$6:$I$40,0)),"—"))</f>
        <v/>
      </c>
      <c r="K1265" s="138" t="str">
        <f>IF(COUNTA(B1265:F1265)=0,"",IF(OR(B1265="",C1265="",D1265="",F1265=""),"▲ Completar","✔"))</f>
        <v/>
      </c>
    </row>
    <row r="1266">
      <c r="B1266" s="130" t="n"/>
      <c r="C1266" s="129" t="n"/>
      <c r="D1266" s="129" t="n"/>
      <c r="E1266" s="129" t="n"/>
      <c r="F1266" s="145" t="n"/>
      <c r="G1266" s="129" t="n"/>
      <c r="H1266" s="129" t="n"/>
      <c r="I1266" s="129" t="n"/>
      <c r="J1266" s="138" t="str">
        <f>IF(C1266&lt;&gt;"Despesa","",IFERROR(INDEX('Config'!$J$6:$J$40,MATCH(D1266,'Config'!$I$6:$I$40,0)),"—"))</f>
        <v/>
      </c>
      <c r="K1266" s="138" t="str">
        <f>IF(COUNTA(B1266:F1266)=0,"",IF(OR(B1266="",C1266="",D1266="",F1266=""),"▲ Completar","✔"))</f>
        <v/>
      </c>
    </row>
    <row r="1267">
      <c r="B1267" s="130" t="n"/>
      <c r="C1267" s="129" t="n"/>
      <c r="D1267" s="129" t="n"/>
      <c r="E1267" s="129" t="n"/>
      <c r="F1267" s="145" t="n"/>
      <c r="G1267" s="129" t="n"/>
      <c r="H1267" s="129" t="n"/>
      <c r="I1267" s="129" t="n"/>
      <c r="J1267" s="138" t="str">
        <f>IF(C1267&lt;&gt;"Despesa","",IFERROR(INDEX('Config'!$J$6:$J$40,MATCH(D1267,'Config'!$I$6:$I$40,0)),"—"))</f>
        <v/>
      </c>
      <c r="K1267" s="138" t="str">
        <f>IF(COUNTA(B1267:F1267)=0,"",IF(OR(B1267="",C1267="",D1267="",F1267=""),"▲ Completar","✔"))</f>
        <v/>
      </c>
    </row>
    <row r="1268">
      <c r="B1268" s="130" t="n"/>
      <c r="C1268" s="129" t="n"/>
      <c r="D1268" s="129" t="n"/>
      <c r="E1268" s="129" t="n"/>
      <c r="F1268" s="145" t="n"/>
      <c r="G1268" s="129" t="n"/>
      <c r="H1268" s="129" t="n"/>
      <c r="I1268" s="129" t="n"/>
      <c r="J1268" s="138" t="str">
        <f>IF(C1268&lt;&gt;"Despesa","",IFERROR(INDEX('Config'!$J$6:$J$40,MATCH(D1268,'Config'!$I$6:$I$40,0)),"—"))</f>
        <v/>
      </c>
      <c r="K1268" s="138" t="str">
        <f>IF(COUNTA(B1268:F1268)=0,"",IF(OR(B1268="",C1268="",D1268="",F1268=""),"▲ Completar","✔"))</f>
        <v/>
      </c>
    </row>
    <row r="1269">
      <c r="B1269" s="130" t="n"/>
      <c r="C1269" s="129" t="n"/>
      <c r="D1269" s="129" t="n"/>
      <c r="E1269" s="129" t="n"/>
      <c r="F1269" s="145" t="n"/>
      <c r="G1269" s="129" t="n"/>
      <c r="H1269" s="129" t="n"/>
      <c r="I1269" s="129" t="n"/>
      <c r="J1269" s="138" t="str">
        <f>IF(C1269&lt;&gt;"Despesa","",IFERROR(INDEX('Config'!$J$6:$J$40,MATCH(D1269,'Config'!$I$6:$I$40,0)),"—"))</f>
        <v/>
      </c>
      <c r="K1269" s="138" t="str">
        <f>IF(COUNTA(B1269:F1269)=0,"",IF(OR(B1269="",C1269="",D1269="",F1269=""),"▲ Completar","✔"))</f>
        <v/>
      </c>
    </row>
    <row r="1270">
      <c r="B1270" s="130" t="n"/>
      <c r="C1270" s="129" t="n"/>
      <c r="D1270" s="129" t="n"/>
      <c r="E1270" s="129" t="n"/>
      <c r="F1270" s="145" t="n"/>
      <c r="G1270" s="129" t="n"/>
      <c r="H1270" s="129" t="n"/>
      <c r="I1270" s="129" t="n"/>
      <c r="J1270" s="138" t="str">
        <f>IF(C1270&lt;&gt;"Despesa","",IFERROR(INDEX('Config'!$J$6:$J$40,MATCH(D1270,'Config'!$I$6:$I$40,0)),"—"))</f>
        <v/>
      </c>
      <c r="K1270" s="138" t="str">
        <f>IF(COUNTA(B1270:F1270)=0,"",IF(OR(B1270="",C1270="",D1270="",F1270=""),"▲ Completar","✔"))</f>
        <v/>
      </c>
    </row>
    <row r="1271">
      <c r="B1271" s="130" t="n"/>
      <c r="C1271" s="129" t="n"/>
      <c r="D1271" s="129" t="n"/>
      <c r="E1271" s="129" t="n"/>
      <c r="F1271" s="145" t="n"/>
      <c r="G1271" s="129" t="n"/>
      <c r="H1271" s="129" t="n"/>
      <c r="I1271" s="129" t="n"/>
      <c r="J1271" s="138" t="str">
        <f>IF(C1271&lt;&gt;"Despesa","",IFERROR(INDEX('Config'!$J$6:$J$40,MATCH(D1271,'Config'!$I$6:$I$40,0)),"—"))</f>
        <v/>
      </c>
      <c r="K1271" s="138" t="str">
        <f>IF(COUNTA(B1271:F1271)=0,"",IF(OR(B1271="",C1271="",D1271="",F1271=""),"▲ Completar","✔"))</f>
        <v/>
      </c>
    </row>
    <row r="1272">
      <c r="B1272" s="130" t="n"/>
      <c r="C1272" s="129" t="n"/>
      <c r="D1272" s="129" t="n"/>
      <c r="E1272" s="129" t="n"/>
      <c r="F1272" s="145" t="n"/>
      <c r="G1272" s="129" t="n"/>
      <c r="H1272" s="129" t="n"/>
      <c r="I1272" s="129" t="n"/>
      <c r="J1272" s="138" t="str">
        <f>IF(C1272&lt;&gt;"Despesa","",IFERROR(INDEX('Config'!$J$6:$J$40,MATCH(D1272,'Config'!$I$6:$I$40,0)),"—"))</f>
        <v/>
      </c>
      <c r="K1272" s="138" t="str">
        <f>IF(COUNTA(B1272:F1272)=0,"",IF(OR(B1272="",C1272="",D1272="",F1272=""),"▲ Completar","✔"))</f>
        <v/>
      </c>
    </row>
    <row r="1273">
      <c r="B1273" s="130" t="n"/>
      <c r="C1273" s="129" t="n"/>
      <c r="D1273" s="129" t="n"/>
      <c r="E1273" s="129" t="n"/>
      <c r="F1273" s="145" t="n"/>
      <c r="G1273" s="129" t="n"/>
      <c r="H1273" s="129" t="n"/>
      <c r="I1273" s="129" t="n"/>
      <c r="J1273" s="138" t="str">
        <f>IF(C1273&lt;&gt;"Despesa","",IFERROR(INDEX('Config'!$J$6:$J$40,MATCH(D1273,'Config'!$I$6:$I$40,0)),"—"))</f>
        <v/>
      </c>
      <c r="K1273" s="138" t="str">
        <f>IF(COUNTA(B1273:F1273)=0,"",IF(OR(B1273="",C1273="",D1273="",F1273=""),"▲ Completar","✔"))</f>
        <v/>
      </c>
    </row>
    <row r="1274">
      <c r="B1274" s="130" t="n"/>
      <c r="C1274" s="129" t="n"/>
      <c r="D1274" s="129" t="n"/>
      <c r="E1274" s="129" t="n"/>
      <c r="F1274" s="145" t="n"/>
      <c r="G1274" s="129" t="n"/>
      <c r="H1274" s="129" t="n"/>
      <c r="I1274" s="129" t="n"/>
      <c r="J1274" s="138" t="str">
        <f>IF(C1274&lt;&gt;"Despesa","",IFERROR(INDEX('Config'!$J$6:$J$40,MATCH(D1274,'Config'!$I$6:$I$40,0)),"—"))</f>
        <v/>
      </c>
      <c r="K1274" s="138" t="str">
        <f>IF(COUNTA(B1274:F1274)=0,"",IF(OR(B1274="",C1274="",D1274="",F1274=""),"▲ Completar","✔"))</f>
        <v/>
      </c>
    </row>
    <row r="1275">
      <c r="B1275" s="130" t="n"/>
      <c r="C1275" s="129" t="n"/>
      <c r="D1275" s="129" t="n"/>
      <c r="E1275" s="129" t="n"/>
      <c r="F1275" s="145" t="n"/>
      <c r="G1275" s="129" t="n"/>
      <c r="H1275" s="129" t="n"/>
      <c r="I1275" s="129" t="n"/>
      <c r="J1275" s="138" t="str">
        <f>IF(C1275&lt;&gt;"Despesa","",IFERROR(INDEX('Config'!$J$6:$J$40,MATCH(D1275,'Config'!$I$6:$I$40,0)),"—"))</f>
        <v/>
      </c>
      <c r="K1275" s="138" t="str">
        <f>IF(COUNTA(B1275:F1275)=0,"",IF(OR(B1275="",C1275="",D1275="",F1275=""),"▲ Completar","✔"))</f>
        <v/>
      </c>
    </row>
    <row r="1276">
      <c r="B1276" s="130" t="n"/>
      <c r="C1276" s="129" t="n"/>
      <c r="D1276" s="129" t="n"/>
      <c r="E1276" s="129" t="n"/>
      <c r="F1276" s="145" t="n"/>
      <c r="G1276" s="129" t="n"/>
      <c r="H1276" s="129" t="n"/>
      <c r="I1276" s="129" t="n"/>
      <c r="J1276" s="138" t="str">
        <f>IF(C1276&lt;&gt;"Despesa","",IFERROR(INDEX('Config'!$J$6:$J$40,MATCH(D1276,'Config'!$I$6:$I$40,0)),"—"))</f>
        <v/>
      </c>
      <c r="K1276" s="138" t="str">
        <f>IF(COUNTA(B1276:F1276)=0,"",IF(OR(B1276="",C1276="",D1276="",F1276=""),"▲ Completar","✔"))</f>
        <v/>
      </c>
    </row>
    <row r="1277">
      <c r="B1277" s="130" t="n"/>
      <c r="C1277" s="129" t="n"/>
      <c r="D1277" s="129" t="n"/>
      <c r="E1277" s="129" t="n"/>
      <c r="F1277" s="145" t="n"/>
      <c r="G1277" s="129" t="n"/>
      <c r="H1277" s="129" t="n"/>
      <c r="I1277" s="129" t="n"/>
      <c r="J1277" s="138" t="str">
        <f>IF(C1277&lt;&gt;"Despesa","",IFERROR(INDEX('Config'!$J$6:$J$40,MATCH(D1277,'Config'!$I$6:$I$40,0)),"—"))</f>
        <v/>
      </c>
      <c r="K1277" s="138" t="str">
        <f>IF(COUNTA(B1277:F1277)=0,"",IF(OR(B1277="",C1277="",D1277="",F1277=""),"▲ Completar","✔"))</f>
        <v/>
      </c>
    </row>
    <row r="1278">
      <c r="B1278" s="130" t="n"/>
      <c r="C1278" s="129" t="n"/>
      <c r="D1278" s="129" t="n"/>
      <c r="E1278" s="129" t="n"/>
      <c r="F1278" s="145" t="n"/>
      <c r="G1278" s="129" t="n"/>
      <c r="H1278" s="129" t="n"/>
      <c r="I1278" s="129" t="n"/>
      <c r="J1278" s="138" t="str">
        <f>IF(C1278&lt;&gt;"Despesa","",IFERROR(INDEX('Config'!$J$6:$J$40,MATCH(D1278,'Config'!$I$6:$I$40,0)),"—"))</f>
        <v/>
      </c>
      <c r="K1278" s="138" t="str">
        <f>IF(COUNTA(B1278:F1278)=0,"",IF(OR(B1278="",C1278="",D1278="",F1278=""),"▲ Completar","✔"))</f>
        <v/>
      </c>
    </row>
    <row r="1279">
      <c r="B1279" s="130" t="n"/>
      <c r="C1279" s="129" t="n"/>
      <c r="D1279" s="129" t="n"/>
      <c r="E1279" s="129" t="n"/>
      <c r="F1279" s="145" t="n"/>
      <c r="G1279" s="129" t="n"/>
      <c r="H1279" s="129" t="n"/>
      <c r="I1279" s="129" t="n"/>
      <c r="J1279" s="138" t="str">
        <f>IF(C1279&lt;&gt;"Despesa","",IFERROR(INDEX('Config'!$J$6:$J$40,MATCH(D1279,'Config'!$I$6:$I$40,0)),"—"))</f>
        <v/>
      </c>
      <c r="K1279" s="138" t="str">
        <f>IF(COUNTA(B1279:F1279)=0,"",IF(OR(B1279="",C1279="",D1279="",F1279=""),"▲ Completar","✔"))</f>
        <v/>
      </c>
    </row>
    <row r="1280">
      <c r="B1280" s="130" t="n"/>
      <c r="C1280" s="129" t="n"/>
      <c r="D1280" s="129" t="n"/>
      <c r="E1280" s="129" t="n"/>
      <c r="F1280" s="145" t="n"/>
      <c r="G1280" s="129" t="n"/>
      <c r="H1280" s="129" t="n"/>
      <c r="I1280" s="129" t="n"/>
      <c r="J1280" s="138" t="str">
        <f>IF(C1280&lt;&gt;"Despesa","",IFERROR(INDEX('Config'!$J$6:$J$40,MATCH(D1280,'Config'!$I$6:$I$40,0)),"—"))</f>
        <v/>
      </c>
      <c r="K1280" s="138" t="str">
        <f>IF(COUNTA(B1280:F1280)=0,"",IF(OR(B1280="",C1280="",D1280="",F1280=""),"▲ Completar","✔"))</f>
        <v/>
      </c>
    </row>
    <row r="1281">
      <c r="B1281" s="130" t="n"/>
      <c r="C1281" s="129" t="n"/>
      <c r="D1281" s="129" t="n"/>
      <c r="E1281" s="129" t="n"/>
      <c r="F1281" s="145" t="n"/>
      <c r="G1281" s="129" t="n"/>
      <c r="H1281" s="129" t="n"/>
      <c r="I1281" s="129" t="n"/>
      <c r="J1281" s="138" t="str">
        <f>IF(C1281&lt;&gt;"Despesa","",IFERROR(INDEX('Config'!$J$6:$J$40,MATCH(D1281,'Config'!$I$6:$I$40,0)),"—"))</f>
        <v/>
      </c>
      <c r="K1281" s="138" t="str">
        <f>IF(COUNTA(B1281:F1281)=0,"",IF(OR(B1281="",C1281="",D1281="",F1281=""),"▲ Completar","✔"))</f>
        <v/>
      </c>
    </row>
    <row r="1282">
      <c r="B1282" s="130" t="n"/>
      <c r="C1282" s="129" t="n"/>
      <c r="D1282" s="129" t="n"/>
      <c r="E1282" s="129" t="n"/>
      <c r="F1282" s="145" t="n"/>
      <c r="G1282" s="129" t="n"/>
      <c r="H1282" s="129" t="n"/>
      <c r="I1282" s="129" t="n"/>
      <c r="J1282" s="138" t="str">
        <f>IF(C1282&lt;&gt;"Despesa","",IFERROR(INDEX('Config'!$J$6:$J$40,MATCH(D1282,'Config'!$I$6:$I$40,0)),"—"))</f>
        <v/>
      </c>
      <c r="K1282" s="138" t="str">
        <f>IF(COUNTA(B1282:F1282)=0,"",IF(OR(B1282="",C1282="",D1282="",F1282=""),"▲ Completar","✔"))</f>
        <v/>
      </c>
    </row>
    <row r="1283">
      <c r="B1283" s="130" t="n"/>
      <c r="C1283" s="129" t="n"/>
      <c r="D1283" s="129" t="n"/>
      <c r="E1283" s="129" t="n"/>
      <c r="F1283" s="145" t="n"/>
      <c r="G1283" s="129" t="n"/>
      <c r="H1283" s="129" t="n"/>
      <c r="I1283" s="129" t="n"/>
      <c r="J1283" s="138" t="str">
        <f>IF(C1283&lt;&gt;"Despesa","",IFERROR(INDEX('Config'!$J$6:$J$40,MATCH(D1283,'Config'!$I$6:$I$40,0)),"—"))</f>
        <v/>
      </c>
      <c r="K1283" s="138" t="str">
        <f>IF(COUNTA(B1283:F1283)=0,"",IF(OR(B1283="",C1283="",D1283="",F1283=""),"▲ Completar","✔"))</f>
        <v/>
      </c>
    </row>
    <row r="1284">
      <c r="B1284" s="130" t="n"/>
      <c r="C1284" s="129" t="n"/>
      <c r="D1284" s="129" t="n"/>
      <c r="E1284" s="129" t="n"/>
      <c r="F1284" s="145" t="n"/>
      <c r="G1284" s="129" t="n"/>
      <c r="H1284" s="129" t="n"/>
      <c r="I1284" s="129" t="n"/>
      <c r="J1284" s="138" t="str">
        <f>IF(C1284&lt;&gt;"Despesa","",IFERROR(INDEX('Config'!$J$6:$J$40,MATCH(D1284,'Config'!$I$6:$I$40,0)),"—"))</f>
        <v/>
      </c>
      <c r="K1284" s="138" t="str">
        <f>IF(COUNTA(B1284:F1284)=0,"",IF(OR(B1284="",C1284="",D1284="",F1284=""),"▲ Completar","✔"))</f>
        <v/>
      </c>
    </row>
    <row r="1285">
      <c r="B1285" s="130" t="n"/>
      <c r="C1285" s="129" t="n"/>
      <c r="D1285" s="129" t="n"/>
      <c r="E1285" s="129" t="n"/>
      <c r="F1285" s="145" t="n"/>
      <c r="G1285" s="129" t="n"/>
      <c r="H1285" s="129" t="n"/>
      <c r="I1285" s="129" t="n"/>
      <c r="J1285" s="138" t="str">
        <f>IF(C1285&lt;&gt;"Despesa","",IFERROR(INDEX('Config'!$J$6:$J$40,MATCH(D1285,'Config'!$I$6:$I$40,0)),"—"))</f>
        <v/>
      </c>
      <c r="K1285" s="138" t="str">
        <f>IF(COUNTA(B1285:F1285)=0,"",IF(OR(B1285="",C1285="",D1285="",F1285=""),"▲ Completar","✔"))</f>
        <v/>
      </c>
    </row>
    <row r="1286">
      <c r="B1286" s="130" t="n"/>
      <c r="C1286" s="129" t="n"/>
      <c r="D1286" s="129" t="n"/>
      <c r="E1286" s="129" t="n"/>
      <c r="F1286" s="145" t="n"/>
      <c r="G1286" s="129" t="n"/>
      <c r="H1286" s="129" t="n"/>
      <c r="I1286" s="129" t="n"/>
      <c r="J1286" s="138" t="str">
        <f>IF(C1286&lt;&gt;"Despesa","",IFERROR(INDEX('Config'!$J$6:$J$40,MATCH(D1286,'Config'!$I$6:$I$40,0)),"—"))</f>
        <v/>
      </c>
      <c r="K1286" s="138" t="str">
        <f>IF(COUNTA(B1286:F1286)=0,"",IF(OR(B1286="",C1286="",D1286="",F1286=""),"▲ Completar","✔"))</f>
        <v/>
      </c>
    </row>
    <row r="1287">
      <c r="B1287" s="130" t="n"/>
      <c r="C1287" s="129" t="n"/>
      <c r="D1287" s="129" t="n"/>
      <c r="E1287" s="129" t="n"/>
      <c r="F1287" s="145" t="n"/>
      <c r="G1287" s="129" t="n"/>
      <c r="H1287" s="129" t="n"/>
      <c r="I1287" s="129" t="n"/>
      <c r="J1287" s="138" t="str">
        <f>IF(C1287&lt;&gt;"Despesa","",IFERROR(INDEX('Config'!$J$6:$J$40,MATCH(D1287,'Config'!$I$6:$I$40,0)),"—"))</f>
        <v/>
      </c>
      <c r="K1287" s="138" t="str">
        <f>IF(COUNTA(B1287:F1287)=0,"",IF(OR(B1287="",C1287="",D1287="",F1287=""),"▲ Completar","✔"))</f>
        <v/>
      </c>
    </row>
    <row r="1288">
      <c r="B1288" s="130" t="n"/>
      <c r="C1288" s="129" t="n"/>
      <c r="D1288" s="129" t="n"/>
      <c r="E1288" s="129" t="n"/>
      <c r="F1288" s="145" t="n"/>
      <c r="G1288" s="129" t="n"/>
      <c r="H1288" s="129" t="n"/>
      <c r="I1288" s="129" t="n"/>
      <c r="J1288" s="138" t="str">
        <f>IF(C1288&lt;&gt;"Despesa","",IFERROR(INDEX('Config'!$J$6:$J$40,MATCH(D1288,'Config'!$I$6:$I$40,0)),"—"))</f>
        <v/>
      </c>
      <c r="K1288" s="138" t="str">
        <f>IF(COUNTA(B1288:F1288)=0,"",IF(OR(B1288="",C1288="",D1288="",F1288=""),"▲ Completar","✔"))</f>
        <v/>
      </c>
    </row>
    <row r="1289">
      <c r="B1289" s="130" t="n"/>
      <c r="C1289" s="129" t="n"/>
      <c r="D1289" s="129" t="n"/>
      <c r="E1289" s="129" t="n"/>
      <c r="F1289" s="145" t="n"/>
      <c r="G1289" s="129" t="n"/>
      <c r="H1289" s="129" t="n"/>
      <c r="I1289" s="129" t="n"/>
      <c r="J1289" s="138" t="str">
        <f>IF(C1289&lt;&gt;"Despesa","",IFERROR(INDEX('Config'!$J$6:$J$40,MATCH(D1289,'Config'!$I$6:$I$40,0)),"—"))</f>
        <v/>
      </c>
      <c r="K1289" s="138" t="str">
        <f>IF(COUNTA(B1289:F1289)=0,"",IF(OR(B1289="",C1289="",D1289="",F1289=""),"▲ Completar","✔"))</f>
        <v/>
      </c>
    </row>
    <row r="1290">
      <c r="B1290" s="130" t="n"/>
      <c r="C1290" s="129" t="n"/>
      <c r="D1290" s="129" t="n"/>
      <c r="E1290" s="129" t="n"/>
      <c r="F1290" s="145" t="n"/>
      <c r="G1290" s="129" t="n"/>
      <c r="H1290" s="129" t="n"/>
      <c r="I1290" s="129" t="n"/>
      <c r="J1290" s="138" t="str">
        <f>IF(C1290&lt;&gt;"Despesa","",IFERROR(INDEX('Config'!$J$6:$J$40,MATCH(D1290,'Config'!$I$6:$I$40,0)),"—"))</f>
        <v/>
      </c>
      <c r="K1290" s="138" t="str">
        <f>IF(COUNTA(B1290:F1290)=0,"",IF(OR(B1290="",C1290="",D1290="",F1290=""),"▲ Completar","✔"))</f>
        <v/>
      </c>
    </row>
    <row r="1291">
      <c r="B1291" s="130" t="n"/>
      <c r="C1291" s="129" t="n"/>
      <c r="D1291" s="129" t="n"/>
      <c r="E1291" s="129" t="n"/>
      <c r="F1291" s="145" t="n"/>
      <c r="G1291" s="129" t="n"/>
      <c r="H1291" s="129" t="n"/>
      <c r="I1291" s="129" t="n"/>
      <c r="J1291" s="138" t="str">
        <f>IF(C1291&lt;&gt;"Despesa","",IFERROR(INDEX('Config'!$J$6:$J$40,MATCH(D1291,'Config'!$I$6:$I$40,0)),"—"))</f>
        <v/>
      </c>
      <c r="K1291" s="138" t="str">
        <f>IF(COUNTA(B1291:F1291)=0,"",IF(OR(B1291="",C1291="",D1291="",F1291=""),"▲ Completar","✔"))</f>
        <v/>
      </c>
    </row>
    <row r="1292">
      <c r="B1292" s="130" t="n"/>
      <c r="C1292" s="129" t="n"/>
      <c r="D1292" s="129" t="n"/>
      <c r="E1292" s="129" t="n"/>
      <c r="F1292" s="145" t="n"/>
      <c r="G1292" s="129" t="n"/>
      <c r="H1292" s="129" t="n"/>
      <c r="I1292" s="129" t="n"/>
      <c r="J1292" s="138" t="str">
        <f>IF(C1292&lt;&gt;"Despesa","",IFERROR(INDEX('Config'!$J$6:$J$40,MATCH(D1292,'Config'!$I$6:$I$40,0)),"—"))</f>
        <v/>
      </c>
      <c r="K1292" s="138" t="str">
        <f>IF(COUNTA(B1292:F1292)=0,"",IF(OR(B1292="",C1292="",D1292="",F1292=""),"▲ Completar","✔"))</f>
        <v/>
      </c>
    </row>
    <row r="1293">
      <c r="B1293" s="130" t="n"/>
      <c r="C1293" s="129" t="n"/>
      <c r="D1293" s="129" t="n"/>
      <c r="E1293" s="129" t="n"/>
      <c r="F1293" s="145" t="n"/>
      <c r="G1293" s="129" t="n"/>
      <c r="H1293" s="129" t="n"/>
      <c r="I1293" s="129" t="n"/>
      <c r="J1293" s="138" t="str">
        <f>IF(C1293&lt;&gt;"Despesa","",IFERROR(INDEX('Config'!$J$6:$J$40,MATCH(D1293,'Config'!$I$6:$I$40,0)),"—"))</f>
        <v/>
      </c>
      <c r="K1293" s="138" t="str">
        <f>IF(COUNTA(B1293:F1293)=0,"",IF(OR(B1293="",C1293="",D1293="",F1293=""),"▲ Completar","✔"))</f>
        <v/>
      </c>
    </row>
    <row r="1294">
      <c r="B1294" s="130" t="n"/>
      <c r="C1294" s="129" t="n"/>
      <c r="D1294" s="129" t="n"/>
      <c r="E1294" s="129" t="n"/>
      <c r="F1294" s="145" t="n"/>
      <c r="G1294" s="129" t="n"/>
      <c r="H1294" s="129" t="n"/>
      <c r="I1294" s="129" t="n"/>
      <c r="J1294" s="138" t="str">
        <f>IF(C1294&lt;&gt;"Despesa","",IFERROR(INDEX('Config'!$J$6:$J$40,MATCH(D1294,'Config'!$I$6:$I$40,0)),"—"))</f>
        <v/>
      </c>
      <c r="K1294" s="138" t="str">
        <f>IF(COUNTA(B1294:F1294)=0,"",IF(OR(B1294="",C1294="",D1294="",F1294=""),"▲ Completar","✔"))</f>
        <v/>
      </c>
    </row>
    <row r="1295">
      <c r="B1295" s="130" t="n"/>
      <c r="C1295" s="129" t="n"/>
      <c r="D1295" s="129" t="n"/>
      <c r="E1295" s="129" t="n"/>
      <c r="F1295" s="145" t="n"/>
      <c r="G1295" s="129" t="n"/>
      <c r="H1295" s="129" t="n"/>
      <c r="I1295" s="129" t="n"/>
      <c r="J1295" s="138" t="str">
        <f>IF(C1295&lt;&gt;"Despesa","",IFERROR(INDEX('Config'!$J$6:$J$40,MATCH(D1295,'Config'!$I$6:$I$40,0)),"—"))</f>
        <v/>
      </c>
      <c r="K1295" s="138" t="str">
        <f>IF(COUNTA(B1295:F1295)=0,"",IF(OR(B1295="",C1295="",D1295="",F1295=""),"▲ Completar","✔"))</f>
        <v/>
      </c>
    </row>
    <row r="1296">
      <c r="B1296" s="130" t="n"/>
      <c r="C1296" s="129" t="n"/>
      <c r="D1296" s="129" t="n"/>
      <c r="E1296" s="129" t="n"/>
      <c r="F1296" s="145" t="n"/>
      <c r="G1296" s="129" t="n"/>
      <c r="H1296" s="129" t="n"/>
      <c r="I1296" s="129" t="n"/>
      <c r="J1296" s="138" t="str">
        <f>IF(C1296&lt;&gt;"Despesa","",IFERROR(INDEX('Config'!$J$6:$J$40,MATCH(D1296,'Config'!$I$6:$I$40,0)),"—"))</f>
        <v/>
      </c>
      <c r="K1296" s="138" t="str">
        <f>IF(COUNTA(B1296:F1296)=0,"",IF(OR(B1296="",C1296="",D1296="",F1296=""),"▲ Completar","✔"))</f>
        <v/>
      </c>
    </row>
    <row r="1297">
      <c r="B1297" s="130" t="n"/>
      <c r="C1297" s="129" t="n"/>
      <c r="D1297" s="129" t="n"/>
      <c r="E1297" s="129" t="n"/>
      <c r="F1297" s="145" t="n"/>
      <c r="G1297" s="129" t="n"/>
      <c r="H1297" s="129" t="n"/>
      <c r="I1297" s="129" t="n"/>
      <c r="J1297" s="138" t="str">
        <f>IF(C1297&lt;&gt;"Despesa","",IFERROR(INDEX('Config'!$J$6:$J$40,MATCH(D1297,'Config'!$I$6:$I$40,0)),"—"))</f>
        <v/>
      </c>
      <c r="K1297" s="138" t="str">
        <f>IF(COUNTA(B1297:F1297)=0,"",IF(OR(B1297="",C1297="",D1297="",F1297=""),"▲ Completar","✔"))</f>
        <v/>
      </c>
    </row>
    <row r="1298">
      <c r="B1298" s="130" t="n"/>
      <c r="C1298" s="129" t="n"/>
      <c r="D1298" s="129" t="n"/>
      <c r="E1298" s="129" t="n"/>
      <c r="F1298" s="145" t="n"/>
      <c r="G1298" s="129" t="n"/>
      <c r="H1298" s="129" t="n"/>
      <c r="I1298" s="129" t="n"/>
      <c r="J1298" s="138" t="str">
        <f>IF(C1298&lt;&gt;"Despesa","",IFERROR(INDEX('Config'!$J$6:$J$40,MATCH(D1298,'Config'!$I$6:$I$40,0)),"—"))</f>
        <v/>
      </c>
      <c r="K1298" s="138" t="str">
        <f>IF(COUNTA(B1298:F1298)=0,"",IF(OR(B1298="",C1298="",D1298="",F1298=""),"▲ Completar","✔"))</f>
        <v/>
      </c>
    </row>
    <row r="1299">
      <c r="B1299" s="130" t="n"/>
      <c r="C1299" s="129" t="n"/>
      <c r="D1299" s="129" t="n"/>
      <c r="E1299" s="129" t="n"/>
      <c r="F1299" s="145" t="n"/>
      <c r="G1299" s="129" t="n"/>
      <c r="H1299" s="129" t="n"/>
      <c r="I1299" s="129" t="n"/>
      <c r="J1299" s="138" t="str">
        <f>IF(C1299&lt;&gt;"Despesa","",IFERROR(INDEX('Config'!$J$6:$J$40,MATCH(D1299,'Config'!$I$6:$I$40,0)),"—"))</f>
        <v/>
      </c>
      <c r="K1299" s="138" t="str">
        <f>IF(COUNTA(B1299:F1299)=0,"",IF(OR(B1299="",C1299="",D1299="",F1299=""),"▲ Completar","✔"))</f>
        <v/>
      </c>
    </row>
    <row r="1300">
      <c r="B1300" s="130" t="n"/>
      <c r="C1300" s="129" t="n"/>
      <c r="D1300" s="129" t="n"/>
      <c r="E1300" s="129" t="n"/>
      <c r="F1300" s="145" t="n"/>
      <c r="G1300" s="129" t="n"/>
      <c r="H1300" s="129" t="n"/>
      <c r="I1300" s="129" t="n"/>
      <c r="J1300" s="138" t="str">
        <f>IF(C1300&lt;&gt;"Despesa","",IFERROR(INDEX('Config'!$J$6:$J$40,MATCH(D1300,'Config'!$I$6:$I$40,0)),"—"))</f>
        <v/>
      </c>
      <c r="K1300" s="138" t="str">
        <f>IF(COUNTA(B1300:F1300)=0,"",IF(OR(B1300="",C1300="",D1300="",F1300=""),"▲ Completar","✔"))</f>
        <v/>
      </c>
    </row>
    <row r="1301">
      <c r="B1301" s="130" t="n"/>
      <c r="C1301" s="129" t="n"/>
      <c r="D1301" s="129" t="n"/>
      <c r="E1301" s="129" t="n"/>
      <c r="F1301" s="145" t="n"/>
      <c r="G1301" s="129" t="n"/>
      <c r="H1301" s="129" t="n"/>
      <c r="I1301" s="129" t="n"/>
      <c r="J1301" s="138" t="str">
        <f>IF(C1301&lt;&gt;"Despesa","",IFERROR(INDEX('Config'!$J$6:$J$40,MATCH(D1301,'Config'!$I$6:$I$40,0)),"—"))</f>
        <v/>
      </c>
      <c r="K1301" s="138" t="str">
        <f>IF(COUNTA(B1301:F1301)=0,"",IF(OR(B1301="",C1301="",D1301="",F1301=""),"▲ Completar","✔"))</f>
        <v/>
      </c>
    </row>
    <row r="1302">
      <c r="B1302" s="130" t="n"/>
      <c r="C1302" s="129" t="n"/>
      <c r="D1302" s="129" t="n"/>
      <c r="E1302" s="129" t="n"/>
      <c r="F1302" s="145" t="n"/>
      <c r="G1302" s="129" t="n"/>
      <c r="H1302" s="129" t="n"/>
      <c r="I1302" s="129" t="n"/>
      <c r="J1302" s="138" t="str">
        <f>IF(C1302&lt;&gt;"Despesa","",IFERROR(INDEX('Config'!$J$6:$J$40,MATCH(D1302,'Config'!$I$6:$I$40,0)),"—"))</f>
        <v/>
      </c>
      <c r="K1302" s="138" t="str">
        <f>IF(COUNTA(B1302:F1302)=0,"",IF(OR(B1302="",C1302="",D1302="",F1302=""),"▲ Completar","✔"))</f>
        <v/>
      </c>
    </row>
    <row r="1303">
      <c r="B1303" s="130" t="n"/>
      <c r="C1303" s="129" t="n"/>
      <c r="D1303" s="129" t="n"/>
      <c r="E1303" s="129" t="n"/>
      <c r="F1303" s="145" t="n"/>
      <c r="G1303" s="129" t="n"/>
      <c r="H1303" s="129" t="n"/>
      <c r="I1303" s="129" t="n"/>
      <c r="J1303" s="138" t="str">
        <f>IF(C1303&lt;&gt;"Despesa","",IFERROR(INDEX('Config'!$J$6:$J$40,MATCH(D1303,'Config'!$I$6:$I$40,0)),"—"))</f>
        <v/>
      </c>
      <c r="K1303" s="138" t="str">
        <f>IF(COUNTA(B1303:F1303)=0,"",IF(OR(B1303="",C1303="",D1303="",F1303=""),"▲ Completar","✔"))</f>
        <v/>
      </c>
    </row>
    <row r="1304">
      <c r="B1304" s="130" t="n"/>
      <c r="C1304" s="129" t="n"/>
      <c r="D1304" s="129" t="n"/>
      <c r="E1304" s="129" t="n"/>
      <c r="F1304" s="145" t="n"/>
      <c r="G1304" s="129" t="n"/>
      <c r="H1304" s="129" t="n"/>
      <c r="I1304" s="129" t="n"/>
      <c r="J1304" s="138" t="str">
        <f>IF(C1304&lt;&gt;"Despesa","",IFERROR(INDEX('Config'!$J$6:$J$40,MATCH(D1304,'Config'!$I$6:$I$40,0)),"—"))</f>
        <v/>
      </c>
      <c r="K1304" s="138" t="str">
        <f>IF(COUNTA(B1304:F1304)=0,"",IF(OR(B1304="",C1304="",D1304="",F1304=""),"▲ Completar","✔"))</f>
        <v/>
      </c>
    </row>
    <row r="1305">
      <c r="B1305" s="130" t="n"/>
      <c r="C1305" s="129" t="n"/>
      <c r="D1305" s="129" t="n"/>
      <c r="E1305" s="129" t="n"/>
      <c r="F1305" s="145" t="n"/>
      <c r="G1305" s="129" t="n"/>
      <c r="H1305" s="129" t="n"/>
      <c r="I1305" s="129" t="n"/>
      <c r="J1305" s="138" t="str">
        <f>IF(C1305&lt;&gt;"Despesa","",IFERROR(INDEX('Config'!$J$6:$J$40,MATCH(D1305,'Config'!$I$6:$I$40,0)),"—"))</f>
        <v/>
      </c>
      <c r="K1305" s="138" t="str">
        <f>IF(COUNTA(B1305:F1305)=0,"",IF(OR(B1305="",C1305="",D1305="",F1305=""),"▲ Completar","✔"))</f>
        <v/>
      </c>
    </row>
    <row r="1306">
      <c r="B1306" s="130" t="n"/>
      <c r="C1306" s="129" t="n"/>
      <c r="D1306" s="129" t="n"/>
      <c r="E1306" s="129" t="n"/>
      <c r="F1306" s="145" t="n"/>
      <c r="G1306" s="129" t="n"/>
      <c r="H1306" s="129" t="n"/>
      <c r="I1306" s="129" t="n"/>
      <c r="J1306" s="138" t="str">
        <f>IF(C1306&lt;&gt;"Despesa","",IFERROR(INDEX('Config'!$J$6:$J$40,MATCH(D1306,'Config'!$I$6:$I$40,0)),"—"))</f>
        <v/>
      </c>
      <c r="K1306" s="138" t="str">
        <f>IF(COUNTA(B1306:F1306)=0,"",IF(OR(B1306="",C1306="",D1306="",F1306=""),"▲ Completar","✔"))</f>
        <v/>
      </c>
    </row>
    <row r="1307">
      <c r="B1307" s="130" t="n"/>
      <c r="C1307" s="129" t="n"/>
      <c r="D1307" s="129" t="n"/>
      <c r="E1307" s="129" t="n"/>
      <c r="F1307" s="145" t="n"/>
      <c r="G1307" s="129" t="n"/>
      <c r="H1307" s="129" t="n"/>
      <c r="I1307" s="129" t="n"/>
      <c r="J1307" s="138" t="str">
        <f>IF(C1307&lt;&gt;"Despesa","",IFERROR(INDEX('Config'!$J$6:$J$40,MATCH(D1307,'Config'!$I$6:$I$40,0)),"—"))</f>
        <v/>
      </c>
      <c r="K1307" s="138" t="str">
        <f>IF(COUNTA(B1307:F1307)=0,"",IF(OR(B1307="",C1307="",D1307="",F1307=""),"▲ Completar","✔"))</f>
        <v/>
      </c>
    </row>
    <row r="1308">
      <c r="B1308" s="130" t="n"/>
      <c r="C1308" s="129" t="n"/>
      <c r="D1308" s="129" t="n"/>
      <c r="E1308" s="129" t="n"/>
      <c r="F1308" s="145" t="n"/>
      <c r="G1308" s="129" t="n"/>
      <c r="H1308" s="129" t="n"/>
      <c r="I1308" s="129" t="n"/>
      <c r="J1308" s="138" t="str">
        <f>IF(C1308&lt;&gt;"Despesa","",IFERROR(INDEX('Config'!$J$6:$J$40,MATCH(D1308,'Config'!$I$6:$I$40,0)),"—"))</f>
        <v/>
      </c>
      <c r="K1308" s="138" t="str">
        <f>IF(COUNTA(B1308:F1308)=0,"",IF(OR(B1308="",C1308="",D1308="",F1308=""),"▲ Completar","✔"))</f>
        <v/>
      </c>
    </row>
    <row r="1309">
      <c r="B1309" s="130" t="n"/>
      <c r="C1309" s="129" t="n"/>
      <c r="D1309" s="129" t="n"/>
      <c r="E1309" s="129" t="n"/>
      <c r="F1309" s="145" t="n"/>
      <c r="G1309" s="129" t="n"/>
      <c r="H1309" s="129" t="n"/>
      <c r="I1309" s="129" t="n"/>
      <c r="J1309" s="138" t="str">
        <f>IF(C1309&lt;&gt;"Despesa","",IFERROR(INDEX('Config'!$J$6:$J$40,MATCH(D1309,'Config'!$I$6:$I$40,0)),"—"))</f>
        <v/>
      </c>
      <c r="K1309" s="138" t="str">
        <f>IF(COUNTA(B1309:F1309)=0,"",IF(OR(B1309="",C1309="",D1309="",F1309=""),"▲ Completar","✔"))</f>
        <v/>
      </c>
    </row>
    <row r="1310">
      <c r="B1310" s="130" t="n"/>
      <c r="C1310" s="129" t="n"/>
      <c r="D1310" s="129" t="n"/>
      <c r="E1310" s="129" t="n"/>
      <c r="F1310" s="145" t="n"/>
      <c r="G1310" s="129" t="n"/>
      <c r="H1310" s="129" t="n"/>
      <c r="I1310" s="129" t="n"/>
      <c r="J1310" s="138" t="str">
        <f>IF(C1310&lt;&gt;"Despesa","",IFERROR(INDEX('Config'!$J$6:$J$40,MATCH(D1310,'Config'!$I$6:$I$40,0)),"—"))</f>
        <v/>
      </c>
      <c r="K1310" s="138" t="str">
        <f>IF(COUNTA(B1310:F1310)=0,"",IF(OR(B1310="",C1310="",D1310="",F1310=""),"▲ Completar","✔"))</f>
        <v/>
      </c>
    </row>
    <row r="1311">
      <c r="B1311" s="130" t="n"/>
      <c r="C1311" s="129" t="n"/>
      <c r="D1311" s="129" t="n"/>
      <c r="E1311" s="129" t="n"/>
      <c r="F1311" s="145" t="n"/>
      <c r="G1311" s="129" t="n"/>
      <c r="H1311" s="129" t="n"/>
      <c r="I1311" s="129" t="n"/>
      <c r="J1311" s="138" t="str">
        <f>IF(C1311&lt;&gt;"Despesa","",IFERROR(INDEX('Config'!$J$6:$J$40,MATCH(D1311,'Config'!$I$6:$I$40,0)),"—"))</f>
        <v/>
      </c>
      <c r="K1311" s="138" t="str">
        <f>IF(COUNTA(B1311:F1311)=0,"",IF(OR(B1311="",C1311="",D1311="",F1311=""),"▲ Completar","✔"))</f>
        <v/>
      </c>
    </row>
    <row r="1312">
      <c r="B1312" s="130" t="n"/>
      <c r="C1312" s="129" t="n"/>
      <c r="D1312" s="129" t="n"/>
      <c r="E1312" s="129" t="n"/>
      <c r="F1312" s="145" t="n"/>
      <c r="G1312" s="129" t="n"/>
      <c r="H1312" s="129" t="n"/>
      <c r="I1312" s="129" t="n"/>
      <c r="J1312" s="138" t="str">
        <f>IF(C1312&lt;&gt;"Despesa","",IFERROR(INDEX('Config'!$J$6:$J$40,MATCH(D1312,'Config'!$I$6:$I$40,0)),"—"))</f>
        <v/>
      </c>
      <c r="K1312" s="138" t="str">
        <f>IF(COUNTA(B1312:F1312)=0,"",IF(OR(B1312="",C1312="",D1312="",F1312=""),"▲ Completar","✔"))</f>
        <v/>
      </c>
    </row>
    <row r="1313">
      <c r="B1313" s="130" t="n"/>
      <c r="C1313" s="129" t="n"/>
      <c r="D1313" s="129" t="n"/>
      <c r="E1313" s="129" t="n"/>
      <c r="F1313" s="145" t="n"/>
      <c r="G1313" s="129" t="n"/>
      <c r="H1313" s="129" t="n"/>
      <c r="I1313" s="129" t="n"/>
      <c r="J1313" s="138" t="str">
        <f>IF(C1313&lt;&gt;"Despesa","",IFERROR(INDEX('Config'!$J$6:$J$40,MATCH(D1313,'Config'!$I$6:$I$40,0)),"—"))</f>
        <v/>
      </c>
      <c r="K1313" s="138" t="str">
        <f>IF(COUNTA(B1313:F1313)=0,"",IF(OR(B1313="",C1313="",D1313="",F1313=""),"▲ Completar","✔"))</f>
        <v/>
      </c>
    </row>
    <row r="1314">
      <c r="B1314" s="130" t="n"/>
      <c r="C1314" s="129" t="n"/>
      <c r="D1314" s="129" t="n"/>
      <c r="E1314" s="129" t="n"/>
      <c r="F1314" s="145" t="n"/>
      <c r="G1314" s="129" t="n"/>
      <c r="H1314" s="129" t="n"/>
      <c r="I1314" s="129" t="n"/>
      <c r="J1314" s="138" t="str">
        <f>IF(C1314&lt;&gt;"Despesa","",IFERROR(INDEX('Config'!$J$6:$J$40,MATCH(D1314,'Config'!$I$6:$I$40,0)),"—"))</f>
        <v/>
      </c>
      <c r="K1314" s="138" t="str">
        <f>IF(COUNTA(B1314:F1314)=0,"",IF(OR(B1314="",C1314="",D1314="",F1314=""),"▲ Completar","✔"))</f>
        <v/>
      </c>
    </row>
    <row r="1315">
      <c r="B1315" s="130" t="n"/>
      <c r="C1315" s="129" t="n"/>
      <c r="D1315" s="129" t="n"/>
      <c r="E1315" s="129" t="n"/>
      <c r="F1315" s="145" t="n"/>
      <c r="G1315" s="129" t="n"/>
      <c r="H1315" s="129" t="n"/>
      <c r="I1315" s="129" t="n"/>
      <c r="J1315" s="138" t="str">
        <f>IF(C1315&lt;&gt;"Despesa","",IFERROR(INDEX('Config'!$J$6:$J$40,MATCH(D1315,'Config'!$I$6:$I$40,0)),"—"))</f>
        <v/>
      </c>
      <c r="K1315" s="138" t="str">
        <f>IF(COUNTA(B1315:F1315)=0,"",IF(OR(B1315="",C1315="",D1315="",F1315=""),"▲ Completar","✔"))</f>
        <v/>
      </c>
    </row>
    <row r="1316">
      <c r="B1316" s="130" t="n"/>
      <c r="C1316" s="129" t="n"/>
      <c r="D1316" s="129" t="n"/>
      <c r="E1316" s="129" t="n"/>
      <c r="F1316" s="145" t="n"/>
      <c r="G1316" s="129" t="n"/>
      <c r="H1316" s="129" t="n"/>
      <c r="I1316" s="129" t="n"/>
      <c r="J1316" s="138" t="str">
        <f>IF(C1316&lt;&gt;"Despesa","",IFERROR(INDEX('Config'!$J$6:$J$40,MATCH(D1316,'Config'!$I$6:$I$40,0)),"—"))</f>
        <v/>
      </c>
      <c r="K1316" s="138" t="str">
        <f>IF(COUNTA(B1316:F1316)=0,"",IF(OR(B1316="",C1316="",D1316="",F1316=""),"▲ Completar","✔"))</f>
        <v/>
      </c>
    </row>
    <row r="1317">
      <c r="B1317" s="130" t="n"/>
      <c r="C1317" s="129" t="n"/>
      <c r="D1317" s="129" t="n"/>
      <c r="E1317" s="129" t="n"/>
      <c r="F1317" s="145" t="n"/>
      <c r="G1317" s="129" t="n"/>
      <c r="H1317" s="129" t="n"/>
      <c r="I1317" s="129" t="n"/>
      <c r="J1317" s="138" t="str">
        <f>IF(C1317&lt;&gt;"Despesa","",IFERROR(INDEX('Config'!$J$6:$J$40,MATCH(D1317,'Config'!$I$6:$I$40,0)),"—"))</f>
        <v/>
      </c>
      <c r="K1317" s="138" t="str">
        <f>IF(COUNTA(B1317:F1317)=0,"",IF(OR(B1317="",C1317="",D1317="",F1317=""),"▲ Completar","✔"))</f>
        <v/>
      </c>
    </row>
    <row r="1318">
      <c r="B1318" s="130" t="n"/>
      <c r="C1318" s="129" t="n"/>
      <c r="D1318" s="129" t="n"/>
      <c r="E1318" s="129" t="n"/>
      <c r="F1318" s="145" t="n"/>
      <c r="G1318" s="129" t="n"/>
      <c r="H1318" s="129" t="n"/>
      <c r="I1318" s="129" t="n"/>
      <c r="J1318" s="138" t="str">
        <f>IF(C1318&lt;&gt;"Despesa","",IFERROR(INDEX('Config'!$J$6:$J$40,MATCH(D1318,'Config'!$I$6:$I$40,0)),"—"))</f>
        <v/>
      </c>
      <c r="K1318" s="138" t="str">
        <f>IF(COUNTA(B1318:F1318)=0,"",IF(OR(B1318="",C1318="",D1318="",F1318=""),"▲ Completar","✔"))</f>
        <v/>
      </c>
    </row>
    <row r="1319">
      <c r="B1319" s="130" t="n"/>
      <c r="C1319" s="129" t="n"/>
      <c r="D1319" s="129" t="n"/>
      <c r="E1319" s="129" t="n"/>
      <c r="F1319" s="145" t="n"/>
      <c r="G1319" s="129" t="n"/>
      <c r="H1319" s="129" t="n"/>
      <c r="I1319" s="129" t="n"/>
      <c r="J1319" s="138" t="str">
        <f>IF(C1319&lt;&gt;"Despesa","",IFERROR(INDEX('Config'!$J$6:$J$40,MATCH(D1319,'Config'!$I$6:$I$40,0)),"—"))</f>
        <v/>
      </c>
      <c r="K1319" s="138" t="str">
        <f>IF(COUNTA(B1319:F1319)=0,"",IF(OR(B1319="",C1319="",D1319="",F1319=""),"▲ Completar","✔"))</f>
        <v/>
      </c>
    </row>
    <row r="1320">
      <c r="B1320" s="130" t="n"/>
      <c r="C1320" s="129" t="n"/>
      <c r="D1320" s="129" t="n"/>
      <c r="E1320" s="129" t="n"/>
      <c r="F1320" s="145" t="n"/>
      <c r="G1320" s="129" t="n"/>
      <c r="H1320" s="129" t="n"/>
      <c r="I1320" s="129" t="n"/>
      <c r="J1320" s="138" t="str">
        <f>IF(C1320&lt;&gt;"Despesa","",IFERROR(INDEX('Config'!$J$6:$J$40,MATCH(D1320,'Config'!$I$6:$I$40,0)),"—"))</f>
        <v/>
      </c>
      <c r="K1320" s="138" t="str">
        <f>IF(COUNTA(B1320:F1320)=0,"",IF(OR(B1320="",C1320="",D1320="",F1320=""),"▲ Completar","✔"))</f>
        <v/>
      </c>
    </row>
    <row r="1321">
      <c r="B1321" s="130" t="n"/>
      <c r="C1321" s="129" t="n"/>
      <c r="D1321" s="129" t="n"/>
      <c r="E1321" s="129" t="n"/>
      <c r="F1321" s="145" t="n"/>
      <c r="G1321" s="129" t="n"/>
      <c r="H1321" s="129" t="n"/>
      <c r="I1321" s="129" t="n"/>
      <c r="J1321" s="138" t="str">
        <f>IF(C1321&lt;&gt;"Despesa","",IFERROR(INDEX('Config'!$J$6:$J$40,MATCH(D1321,'Config'!$I$6:$I$40,0)),"—"))</f>
        <v/>
      </c>
      <c r="K1321" s="138" t="str">
        <f>IF(COUNTA(B1321:F1321)=0,"",IF(OR(B1321="",C1321="",D1321="",F1321=""),"▲ Completar","✔"))</f>
        <v/>
      </c>
    </row>
    <row r="1322">
      <c r="B1322" s="130" t="n"/>
      <c r="C1322" s="129" t="n"/>
      <c r="D1322" s="129" t="n"/>
      <c r="E1322" s="129" t="n"/>
      <c r="F1322" s="145" t="n"/>
      <c r="G1322" s="129" t="n"/>
      <c r="H1322" s="129" t="n"/>
      <c r="I1322" s="129" t="n"/>
      <c r="J1322" s="138" t="str">
        <f>IF(C1322&lt;&gt;"Despesa","",IFERROR(INDEX('Config'!$J$6:$J$40,MATCH(D1322,'Config'!$I$6:$I$40,0)),"—"))</f>
        <v/>
      </c>
      <c r="K1322" s="138" t="str">
        <f>IF(COUNTA(B1322:F1322)=0,"",IF(OR(B1322="",C1322="",D1322="",F1322=""),"▲ Completar","✔"))</f>
        <v/>
      </c>
    </row>
    <row r="1323">
      <c r="B1323" s="130" t="n"/>
      <c r="C1323" s="129" t="n"/>
      <c r="D1323" s="129" t="n"/>
      <c r="E1323" s="129" t="n"/>
      <c r="F1323" s="145" t="n"/>
      <c r="G1323" s="129" t="n"/>
      <c r="H1323" s="129" t="n"/>
      <c r="I1323" s="129" t="n"/>
      <c r="J1323" s="138" t="str">
        <f>IF(C1323&lt;&gt;"Despesa","",IFERROR(INDEX('Config'!$J$6:$J$40,MATCH(D1323,'Config'!$I$6:$I$40,0)),"—"))</f>
        <v/>
      </c>
      <c r="K1323" s="138" t="str">
        <f>IF(COUNTA(B1323:F1323)=0,"",IF(OR(B1323="",C1323="",D1323="",F1323=""),"▲ Completar","✔"))</f>
        <v/>
      </c>
    </row>
    <row r="1324">
      <c r="B1324" s="130" t="n"/>
      <c r="C1324" s="129" t="n"/>
      <c r="D1324" s="129" t="n"/>
      <c r="E1324" s="129" t="n"/>
      <c r="F1324" s="145" t="n"/>
      <c r="G1324" s="129" t="n"/>
      <c r="H1324" s="129" t="n"/>
      <c r="I1324" s="129" t="n"/>
      <c r="J1324" s="138" t="str">
        <f>IF(C1324&lt;&gt;"Despesa","",IFERROR(INDEX('Config'!$J$6:$J$40,MATCH(D1324,'Config'!$I$6:$I$40,0)),"—"))</f>
        <v/>
      </c>
      <c r="K1324" s="138" t="str">
        <f>IF(COUNTA(B1324:F1324)=0,"",IF(OR(B1324="",C1324="",D1324="",F1324=""),"▲ Completar","✔"))</f>
        <v/>
      </c>
    </row>
    <row r="1325">
      <c r="B1325" s="130" t="n"/>
      <c r="C1325" s="129" t="n"/>
      <c r="D1325" s="129" t="n"/>
      <c r="E1325" s="129" t="n"/>
      <c r="F1325" s="145" t="n"/>
      <c r="G1325" s="129" t="n"/>
      <c r="H1325" s="129" t="n"/>
      <c r="I1325" s="129" t="n"/>
      <c r="J1325" s="138" t="str">
        <f>IF(C1325&lt;&gt;"Despesa","",IFERROR(INDEX('Config'!$J$6:$J$40,MATCH(D1325,'Config'!$I$6:$I$40,0)),"—"))</f>
        <v/>
      </c>
      <c r="K1325" s="138" t="str">
        <f>IF(COUNTA(B1325:F1325)=0,"",IF(OR(B1325="",C1325="",D1325="",F1325=""),"▲ Completar","✔"))</f>
        <v/>
      </c>
    </row>
    <row r="1326">
      <c r="B1326" s="130" t="n"/>
      <c r="C1326" s="129" t="n"/>
      <c r="D1326" s="129" t="n"/>
      <c r="E1326" s="129" t="n"/>
      <c r="F1326" s="145" t="n"/>
      <c r="G1326" s="129" t="n"/>
      <c r="H1326" s="129" t="n"/>
      <c r="I1326" s="129" t="n"/>
      <c r="J1326" s="138" t="str">
        <f>IF(C1326&lt;&gt;"Despesa","",IFERROR(INDEX('Config'!$J$6:$J$40,MATCH(D1326,'Config'!$I$6:$I$40,0)),"—"))</f>
        <v/>
      </c>
      <c r="K1326" s="138" t="str">
        <f>IF(COUNTA(B1326:F1326)=0,"",IF(OR(B1326="",C1326="",D1326="",F1326=""),"▲ Completar","✔"))</f>
        <v/>
      </c>
    </row>
    <row r="1327">
      <c r="B1327" s="130" t="n"/>
      <c r="C1327" s="129" t="n"/>
      <c r="D1327" s="129" t="n"/>
      <c r="E1327" s="129" t="n"/>
      <c r="F1327" s="145" t="n"/>
      <c r="G1327" s="129" t="n"/>
      <c r="H1327" s="129" t="n"/>
      <c r="I1327" s="129" t="n"/>
      <c r="J1327" s="138" t="str">
        <f>IF(C1327&lt;&gt;"Despesa","",IFERROR(INDEX('Config'!$J$6:$J$40,MATCH(D1327,'Config'!$I$6:$I$40,0)),"—"))</f>
        <v/>
      </c>
      <c r="K1327" s="138" t="str">
        <f>IF(COUNTA(B1327:F1327)=0,"",IF(OR(B1327="",C1327="",D1327="",F1327=""),"▲ Completar","✔"))</f>
        <v/>
      </c>
    </row>
    <row r="1328">
      <c r="B1328" s="130" t="n"/>
      <c r="C1328" s="129" t="n"/>
      <c r="D1328" s="129" t="n"/>
      <c r="E1328" s="129" t="n"/>
      <c r="F1328" s="145" t="n"/>
      <c r="G1328" s="129" t="n"/>
      <c r="H1328" s="129" t="n"/>
      <c r="I1328" s="129" t="n"/>
      <c r="J1328" s="138" t="str">
        <f>IF(C1328&lt;&gt;"Despesa","",IFERROR(INDEX('Config'!$J$6:$J$40,MATCH(D1328,'Config'!$I$6:$I$40,0)),"—"))</f>
        <v/>
      </c>
      <c r="K1328" s="138" t="str">
        <f>IF(COUNTA(B1328:F1328)=0,"",IF(OR(B1328="",C1328="",D1328="",F1328=""),"▲ Completar","✔"))</f>
        <v/>
      </c>
    </row>
    <row r="1329">
      <c r="B1329" s="130" t="n"/>
      <c r="C1329" s="129" t="n"/>
      <c r="D1329" s="129" t="n"/>
      <c r="E1329" s="129" t="n"/>
      <c r="F1329" s="145" t="n"/>
      <c r="G1329" s="129" t="n"/>
      <c r="H1329" s="129" t="n"/>
      <c r="I1329" s="129" t="n"/>
      <c r="J1329" s="138" t="str">
        <f>IF(C1329&lt;&gt;"Despesa","",IFERROR(INDEX('Config'!$J$6:$J$40,MATCH(D1329,'Config'!$I$6:$I$40,0)),"—"))</f>
        <v/>
      </c>
      <c r="K1329" s="138" t="str">
        <f>IF(COUNTA(B1329:F1329)=0,"",IF(OR(B1329="",C1329="",D1329="",F1329=""),"▲ Completar","✔"))</f>
        <v/>
      </c>
    </row>
    <row r="1330">
      <c r="B1330" s="130" t="n"/>
      <c r="C1330" s="129" t="n"/>
      <c r="D1330" s="129" t="n"/>
      <c r="E1330" s="129" t="n"/>
      <c r="F1330" s="145" t="n"/>
      <c r="G1330" s="129" t="n"/>
      <c r="H1330" s="129" t="n"/>
      <c r="I1330" s="129" t="n"/>
      <c r="J1330" s="138" t="str">
        <f>IF(C1330&lt;&gt;"Despesa","",IFERROR(INDEX('Config'!$J$6:$J$40,MATCH(D1330,'Config'!$I$6:$I$40,0)),"—"))</f>
        <v/>
      </c>
      <c r="K1330" s="138" t="str">
        <f>IF(COUNTA(B1330:F1330)=0,"",IF(OR(B1330="",C1330="",D1330="",F1330=""),"▲ Completar","✔"))</f>
        <v/>
      </c>
    </row>
    <row r="1331">
      <c r="B1331" s="130" t="n"/>
      <c r="C1331" s="129" t="n"/>
      <c r="D1331" s="129" t="n"/>
      <c r="E1331" s="129" t="n"/>
      <c r="F1331" s="145" t="n"/>
      <c r="G1331" s="129" t="n"/>
      <c r="H1331" s="129" t="n"/>
      <c r="I1331" s="129" t="n"/>
      <c r="J1331" s="138" t="str">
        <f>IF(C1331&lt;&gt;"Despesa","",IFERROR(INDEX('Config'!$J$6:$J$40,MATCH(D1331,'Config'!$I$6:$I$40,0)),"—"))</f>
        <v/>
      </c>
      <c r="K1331" s="138" t="str">
        <f>IF(COUNTA(B1331:F1331)=0,"",IF(OR(B1331="",C1331="",D1331="",F1331=""),"▲ Completar","✔"))</f>
        <v/>
      </c>
    </row>
    <row r="1332">
      <c r="B1332" s="130" t="n"/>
      <c r="C1332" s="129" t="n"/>
      <c r="D1332" s="129" t="n"/>
      <c r="E1332" s="129" t="n"/>
      <c r="F1332" s="145" t="n"/>
      <c r="G1332" s="129" t="n"/>
      <c r="H1332" s="129" t="n"/>
      <c r="I1332" s="129" t="n"/>
      <c r="J1332" s="138" t="str">
        <f>IF(C1332&lt;&gt;"Despesa","",IFERROR(INDEX('Config'!$J$6:$J$40,MATCH(D1332,'Config'!$I$6:$I$40,0)),"—"))</f>
        <v/>
      </c>
      <c r="K1332" s="138" t="str">
        <f>IF(COUNTA(B1332:F1332)=0,"",IF(OR(B1332="",C1332="",D1332="",F1332=""),"▲ Completar","✔"))</f>
        <v/>
      </c>
    </row>
    <row r="1333">
      <c r="B1333" s="130" t="n"/>
      <c r="C1333" s="129" t="n"/>
      <c r="D1333" s="129" t="n"/>
      <c r="E1333" s="129" t="n"/>
      <c r="F1333" s="145" t="n"/>
      <c r="G1333" s="129" t="n"/>
      <c r="H1333" s="129" t="n"/>
      <c r="I1333" s="129" t="n"/>
      <c r="J1333" s="138" t="str">
        <f>IF(C1333&lt;&gt;"Despesa","",IFERROR(INDEX('Config'!$J$6:$J$40,MATCH(D1333,'Config'!$I$6:$I$40,0)),"—"))</f>
        <v/>
      </c>
      <c r="K1333" s="138" t="str">
        <f>IF(COUNTA(B1333:F1333)=0,"",IF(OR(B1333="",C1333="",D1333="",F1333=""),"▲ Completar","✔"))</f>
        <v/>
      </c>
    </row>
    <row r="1334">
      <c r="B1334" s="130" t="n"/>
      <c r="C1334" s="129" t="n"/>
      <c r="D1334" s="129" t="n"/>
      <c r="E1334" s="129" t="n"/>
      <c r="F1334" s="145" t="n"/>
      <c r="G1334" s="129" t="n"/>
      <c r="H1334" s="129" t="n"/>
      <c r="I1334" s="129" t="n"/>
      <c r="J1334" s="138" t="str">
        <f>IF(C1334&lt;&gt;"Despesa","",IFERROR(INDEX('Config'!$J$6:$J$40,MATCH(D1334,'Config'!$I$6:$I$40,0)),"—"))</f>
        <v/>
      </c>
      <c r="K1334" s="138" t="str">
        <f>IF(COUNTA(B1334:F1334)=0,"",IF(OR(B1334="",C1334="",D1334="",F1334=""),"▲ Completar","✔"))</f>
        <v/>
      </c>
    </row>
    <row r="1335">
      <c r="B1335" s="130" t="n"/>
      <c r="C1335" s="129" t="n"/>
      <c r="D1335" s="129" t="n"/>
      <c r="E1335" s="129" t="n"/>
      <c r="F1335" s="145" t="n"/>
      <c r="G1335" s="129" t="n"/>
      <c r="H1335" s="129" t="n"/>
      <c r="I1335" s="129" t="n"/>
      <c r="J1335" s="138" t="str">
        <f>IF(C1335&lt;&gt;"Despesa","",IFERROR(INDEX('Config'!$J$6:$J$40,MATCH(D1335,'Config'!$I$6:$I$40,0)),"—"))</f>
        <v/>
      </c>
      <c r="K1335" s="138" t="str">
        <f>IF(COUNTA(B1335:F1335)=0,"",IF(OR(B1335="",C1335="",D1335="",F1335=""),"▲ Completar","✔"))</f>
        <v/>
      </c>
    </row>
    <row r="1336">
      <c r="B1336" s="130" t="n"/>
      <c r="C1336" s="129" t="n"/>
      <c r="D1336" s="129" t="n"/>
      <c r="E1336" s="129" t="n"/>
      <c r="F1336" s="145" t="n"/>
      <c r="G1336" s="129" t="n"/>
      <c r="H1336" s="129" t="n"/>
      <c r="I1336" s="129" t="n"/>
      <c r="J1336" s="138" t="str">
        <f>IF(C1336&lt;&gt;"Despesa","",IFERROR(INDEX('Config'!$J$6:$J$40,MATCH(D1336,'Config'!$I$6:$I$40,0)),"—"))</f>
        <v/>
      </c>
      <c r="K1336" s="138" t="str">
        <f>IF(COUNTA(B1336:F1336)=0,"",IF(OR(B1336="",C1336="",D1336="",F1336=""),"▲ Completar","✔"))</f>
        <v/>
      </c>
    </row>
    <row r="1337">
      <c r="B1337" s="130" t="n"/>
      <c r="C1337" s="129" t="n"/>
      <c r="D1337" s="129" t="n"/>
      <c r="E1337" s="129" t="n"/>
      <c r="F1337" s="145" t="n"/>
      <c r="G1337" s="129" t="n"/>
      <c r="H1337" s="129" t="n"/>
      <c r="I1337" s="129" t="n"/>
      <c r="J1337" s="138" t="str">
        <f>IF(C1337&lt;&gt;"Despesa","",IFERROR(INDEX('Config'!$J$6:$J$40,MATCH(D1337,'Config'!$I$6:$I$40,0)),"—"))</f>
        <v/>
      </c>
      <c r="K1337" s="138" t="str">
        <f>IF(COUNTA(B1337:F1337)=0,"",IF(OR(B1337="",C1337="",D1337="",F1337=""),"▲ Completar","✔"))</f>
        <v/>
      </c>
    </row>
    <row r="1338">
      <c r="B1338" s="130" t="n"/>
      <c r="C1338" s="129" t="n"/>
      <c r="D1338" s="129" t="n"/>
      <c r="E1338" s="129" t="n"/>
      <c r="F1338" s="145" t="n"/>
      <c r="G1338" s="129" t="n"/>
      <c r="H1338" s="129" t="n"/>
      <c r="I1338" s="129" t="n"/>
      <c r="J1338" s="138" t="str">
        <f>IF(C1338&lt;&gt;"Despesa","",IFERROR(INDEX('Config'!$J$6:$J$40,MATCH(D1338,'Config'!$I$6:$I$40,0)),"—"))</f>
        <v/>
      </c>
      <c r="K1338" s="138" t="str">
        <f>IF(COUNTA(B1338:F1338)=0,"",IF(OR(B1338="",C1338="",D1338="",F1338=""),"▲ Completar","✔"))</f>
        <v/>
      </c>
    </row>
    <row r="1339">
      <c r="B1339" s="130" t="n"/>
      <c r="C1339" s="129" t="n"/>
      <c r="D1339" s="129" t="n"/>
      <c r="E1339" s="129" t="n"/>
      <c r="F1339" s="145" t="n"/>
      <c r="G1339" s="129" t="n"/>
      <c r="H1339" s="129" t="n"/>
      <c r="I1339" s="129" t="n"/>
      <c r="J1339" s="138" t="str">
        <f>IF(C1339&lt;&gt;"Despesa","",IFERROR(INDEX('Config'!$J$6:$J$40,MATCH(D1339,'Config'!$I$6:$I$40,0)),"—"))</f>
        <v/>
      </c>
      <c r="K1339" s="138" t="str">
        <f>IF(COUNTA(B1339:F1339)=0,"",IF(OR(B1339="",C1339="",D1339="",F1339=""),"▲ Completar","✔"))</f>
        <v/>
      </c>
    </row>
    <row r="1340">
      <c r="B1340" s="130" t="n"/>
      <c r="C1340" s="129" t="n"/>
      <c r="D1340" s="129" t="n"/>
      <c r="E1340" s="129" t="n"/>
      <c r="F1340" s="145" t="n"/>
      <c r="G1340" s="129" t="n"/>
      <c r="H1340" s="129" t="n"/>
      <c r="I1340" s="129" t="n"/>
      <c r="J1340" s="138" t="str">
        <f>IF(C1340&lt;&gt;"Despesa","",IFERROR(INDEX('Config'!$J$6:$J$40,MATCH(D1340,'Config'!$I$6:$I$40,0)),"—"))</f>
        <v/>
      </c>
      <c r="K1340" s="138" t="str">
        <f>IF(COUNTA(B1340:F1340)=0,"",IF(OR(B1340="",C1340="",D1340="",F1340=""),"▲ Completar","✔"))</f>
        <v/>
      </c>
    </row>
    <row r="1341">
      <c r="B1341" s="130" t="n"/>
      <c r="C1341" s="129" t="n"/>
      <c r="D1341" s="129" t="n"/>
      <c r="E1341" s="129" t="n"/>
      <c r="F1341" s="145" t="n"/>
      <c r="G1341" s="129" t="n"/>
      <c r="H1341" s="129" t="n"/>
      <c r="I1341" s="129" t="n"/>
      <c r="J1341" s="138" t="str">
        <f>IF(C1341&lt;&gt;"Despesa","",IFERROR(INDEX('Config'!$J$6:$J$40,MATCH(D1341,'Config'!$I$6:$I$40,0)),"—"))</f>
        <v/>
      </c>
      <c r="K1341" s="138" t="str">
        <f>IF(COUNTA(B1341:F1341)=0,"",IF(OR(B1341="",C1341="",D1341="",F1341=""),"▲ Completar","✔"))</f>
        <v/>
      </c>
    </row>
    <row r="1342">
      <c r="B1342" s="130" t="n"/>
      <c r="C1342" s="129" t="n"/>
      <c r="D1342" s="129" t="n"/>
      <c r="E1342" s="129" t="n"/>
      <c r="F1342" s="145" t="n"/>
      <c r="G1342" s="129" t="n"/>
      <c r="H1342" s="129" t="n"/>
      <c r="I1342" s="129" t="n"/>
      <c r="J1342" s="138" t="str">
        <f>IF(C1342&lt;&gt;"Despesa","",IFERROR(INDEX('Config'!$J$6:$J$40,MATCH(D1342,'Config'!$I$6:$I$40,0)),"—"))</f>
        <v/>
      </c>
      <c r="K1342" s="138" t="str">
        <f>IF(COUNTA(B1342:F1342)=0,"",IF(OR(B1342="",C1342="",D1342="",F1342=""),"▲ Completar","✔"))</f>
        <v/>
      </c>
    </row>
    <row r="1343">
      <c r="B1343" s="130" t="n"/>
      <c r="C1343" s="129" t="n"/>
      <c r="D1343" s="129" t="n"/>
      <c r="E1343" s="129" t="n"/>
      <c r="F1343" s="145" t="n"/>
      <c r="G1343" s="129" t="n"/>
      <c r="H1343" s="129" t="n"/>
      <c r="I1343" s="129" t="n"/>
      <c r="J1343" s="138" t="str">
        <f>IF(C1343&lt;&gt;"Despesa","",IFERROR(INDEX('Config'!$J$6:$J$40,MATCH(D1343,'Config'!$I$6:$I$40,0)),"—"))</f>
        <v/>
      </c>
      <c r="K1343" s="138" t="str">
        <f>IF(COUNTA(B1343:F1343)=0,"",IF(OR(B1343="",C1343="",D1343="",F1343=""),"▲ Completar","✔"))</f>
        <v/>
      </c>
    </row>
    <row r="1344">
      <c r="B1344" s="130" t="n"/>
      <c r="C1344" s="129" t="n"/>
      <c r="D1344" s="129" t="n"/>
      <c r="E1344" s="129" t="n"/>
      <c r="F1344" s="145" t="n"/>
      <c r="G1344" s="129" t="n"/>
      <c r="H1344" s="129" t="n"/>
      <c r="I1344" s="129" t="n"/>
      <c r="J1344" s="138" t="str">
        <f>IF(C1344&lt;&gt;"Despesa","",IFERROR(INDEX('Config'!$J$6:$J$40,MATCH(D1344,'Config'!$I$6:$I$40,0)),"—"))</f>
        <v/>
      </c>
      <c r="K1344" s="138" t="str">
        <f>IF(COUNTA(B1344:F1344)=0,"",IF(OR(B1344="",C1344="",D1344="",F1344=""),"▲ Completar","✔"))</f>
        <v/>
      </c>
    </row>
    <row r="1345">
      <c r="B1345" s="130" t="n"/>
      <c r="C1345" s="129" t="n"/>
      <c r="D1345" s="129" t="n"/>
      <c r="E1345" s="129" t="n"/>
      <c r="F1345" s="145" t="n"/>
      <c r="G1345" s="129" t="n"/>
      <c r="H1345" s="129" t="n"/>
      <c r="I1345" s="129" t="n"/>
      <c r="J1345" s="138" t="str">
        <f>IF(C1345&lt;&gt;"Despesa","",IFERROR(INDEX('Config'!$J$6:$J$40,MATCH(D1345,'Config'!$I$6:$I$40,0)),"—"))</f>
        <v/>
      </c>
      <c r="K1345" s="138" t="str">
        <f>IF(COUNTA(B1345:F1345)=0,"",IF(OR(B1345="",C1345="",D1345="",F1345=""),"▲ Completar","✔"))</f>
        <v/>
      </c>
    </row>
    <row r="1346">
      <c r="B1346" s="130" t="n"/>
      <c r="C1346" s="129" t="n"/>
      <c r="D1346" s="129" t="n"/>
      <c r="E1346" s="129" t="n"/>
      <c r="F1346" s="145" t="n"/>
      <c r="G1346" s="129" t="n"/>
      <c r="H1346" s="129" t="n"/>
      <c r="I1346" s="129" t="n"/>
      <c r="J1346" s="138" t="str">
        <f>IF(C1346&lt;&gt;"Despesa","",IFERROR(INDEX('Config'!$J$6:$J$40,MATCH(D1346,'Config'!$I$6:$I$40,0)),"—"))</f>
        <v/>
      </c>
      <c r="K1346" s="138" t="str">
        <f>IF(COUNTA(B1346:F1346)=0,"",IF(OR(B1346="",C1346="",D1346="",F1346=""),"▲ Completar","✔"))</f>
        <v/>
      </c>
    </row>
    <row r="1347">
      <c r="B1347" s="130" t="n"/>
      <c r="C1347" s="129" t="n"/>
      <c r="D1347" s="129" t="n"/>
      <c r="E1347" s="129" t="n"/>
      <c r="F1347" s="145" t="n"/>
      <c r="G1347" s="129" t="n"/>
      <c r="H1347" s="129" t="n"/>
      <c r="I1347" s="129" t="n"/>
      <c r="J1347" s="138" t="str">
        <f>IF(C1347&lt;&gt;"Despesa","",IFERROR(INDEX('Config'!$J$6:$J$40,MATCH(D1347,'Config'!$I$6:$I$40,0)),"—"))</f>
        <v/>
      </c>
      <c r="K1347" s="138" t="str">
        <f>IF(COUNTA(B1347:F1347)=0,"",IF(OR(B1347="",C1347="",D1347="",F1347=""),"▲ Completar","✔"))</f>
        <v/>
      </c>
    </row>
    <row r="1348">
      <c r="B1348" s="130" t="n"/>
      <c r="C1348" s="129" t="n"/>
      <c r="D1348" s="129" t="n"/>
      <c r="E1348" s="129" t="n"/>
      <c r="F1348" s="145" t="n"/>
      <c r="G1348" s="129" t="n"/>
      <c r="H1348" s="129" t="n"/>
      <c r="I1348" s="129" t="n"/>
      <c r="J1348" s="138" t="str">
        <f>IF(C1348&lt;&gt;"Despesa","",IFERROR(INDEX('Config'!$J$6:$J$40,MATCH(D1348,'Config'!$I$6:$I$40,0)),"—"))</f>
        <v/>
      </c>
      <c r="K1348" s="138" t="str">
        <f>IF(COUNTA(B1348:F1348)=0,"",IF(OR(B1348="",C1348="",D1348="",F1348=""),"▲ Completar","✔"))</f>
        <v/>
      </c>
    </row>
    <row r="1349">
      <c r="B1349" s="130" t="n"/>
      <c r="C1349" s="129" t="n"/>
      <c r="D1349" s="129" t="n"/>
      <c r="E1349" s="129" t="n"/>
      <c r="F1349" s="145" t="n"/>
      <c r="G1349" s="129" t="n"/>
      <c r="H1349" s="129" t="n"/>
      <c r="I1349" s="129" t="n"/>
      <c r="J1349" s="138" t="str">
        <f>IF(C1349&lt;&gt;"Despesa","",IFERROR(INDEX('Config'!$J$6:$J$40,MATCH(D1349,'Config'!$I$6:$I$40,0)),"—"))</f>
        <v/>
      </c>
      <c r="K1349" s="138" t="str">
        <f>IF(COUNTA(B1349:F1349)=0,"",IF(OR(B1349="",C1349="",D1349="",F1349=""),"▲ Completar","✔"))</f>
        <v/>
      </c>
    </row>
    <row r="1350">
      <c r="B1350" s="130" t="n"/>
      <c r="C1350" s="129" t="n"/>
      <c r="D1350" s="129" t="n"/>
      <c r="E1350" s="129" t="n"/>
      <c r="F1350" s="145" t="n"/>
      <c r="G1350" s="129" t="n"/>
      <c r="H1350" s="129" t="n"/>
      <c r="I1350" s="129" t="n"/>
      <c r="J1350" s="138" t="str">
        <f>IF(C1350&lt;&gt;"Despesa","",IFERROR(INDEX('Config'!$J$6:$J$40,MATCH(D1350,'Config'!$I$6:$I$40,0)),"—"))</f>
        <v/>
      </c>
      <c r="K1350" s="138" t="str">
        <f>IF(COUNTA(B1350:F1350)=0,"",IF(OR(B1350="",C1350="",D1350="",F1350=""),"▲ Completar","✔"))</f>
        <v/>
      </c>
    </row>
    <row r="1351">
      <c r="B1351" s="130" t="n"/>
      <c r="C1351" s="129" t="n"/>
      <c r="D1351" s="129" t="n"/>
      <c r="E1351" s="129" t="n"/>
      <c r="F1351" s="145" t="n"/>
      <c r="G1351" s="129" t="n"/>
      <c r="H1351" s="129" t="n"/>
      <c r="I1351" s="129" t="n"/>
      <c r="J1351" s="138" t="str">
        <f>IF(C1351&lt;&gt;"Despesa","",IFERROR(INDEX('Config'!$J$6:$J$40,MATCH(D1351,'Config'!$I$6:$I$40,0)),"—"))</f>
        <v/>
      </c>
      <c r="K1351" s="138" t="str">
        <f>IF(COUNTA(B1351:F1351)=0,"",IF(OR(B1351="",C1351="",D1351="",F1351=""),"▲ Completar","✔"))</f>
        <v/>
      </c>
    </row>
    <row r="1352">
      <c r="B1352" s="130" t="n"/>
      <c r="C1352" s="129" t="n"/>
      <c r="D1352" s="129" t="n"/>
      <c r="E1352" s="129" t="n"/>
      <c r="F1352" s="145" t="n"/>
      <c r="G1352" s="129" t="n"/>
      <c r="H1352" s="129" t="n"/>
      <c r="I1352" s="129" t="n"/>
      <c r="J1352" s="138" t="str">
        <f>IF(C1352&lt;&gt;"Despesa","",IFERROR(INDEX('Config'!$J$6:$J$40,MATCH(D1352,'Config'!$I$6:$I$40,0)),"—"))</f>
        <v/>
      </c>
      <c r="K1352" s="138" t="str">
        <f>IF(COUNTA(B1352:F1352)=0,"",IF(OR(B1352="",C1352="",D1352="",F1352=""),"▲ Completar","✔"))</f>
        <v/>
      </c>
    </row>
    <row r="1353">
      <c r="B1353" s="130" t="n"/>
      <c r="C1353" s="129" t="n"/>
      <c r="D1353" s="129" t="n"/>
      <c r="E1353" s="129" t="n"/>
      <c r="F1353" s="145" t="n"/>
      <c r="G1353" s="129" t="n"/>
      <c r="H1353" s="129" t="n"/>
      <c r="I1353" s="129" t="n"/>
      <c r="J1353" s="138" t="str">
        <f>IF(C1353&lt;&gt;"Despesa","",IFERROR(INDEX('Config'!$J$6:$J$40,MATCH(D1353,'Config'!$I$6:$I$40,0)),"—"))</f>
        <v/>
      </c>
      <c r="K1353" s="138" t="str">
        <f>IF(COUNTA(B1353:F1353)=0,"",IF(OR(B1353="",C1353="",D1353="",F1353=""),"▲ Completar","✔"))</f>
        <v/>
      </c>
    </row>
    <row r="1354">
      <c r="B1354" s="130" t="n"/>
      <c r="C1354" s="129" t="n"/>
      <c r="D1354" s="129" t="n"/>
      <c r="E1354" s="129" t="n"/>
      <c r="F1354" s="145" t="n"/>
      <c r="G1354" s="129" t="n"/>
      <c r="H1354" s="129" t="n"/>
      <c r="I1354" s="129" t="n"/>
      <c r="J1354" s="138" t="str">
        <f>IF(C1354&lt;&gt;"Despesa","",IFERROR(INDEX('Config'!$J$6:$J$40,MATCH(D1354,'Config'!$I$6:$I$40,0)),"—"))</f>
        <v/>
      </c>
      <c r="K1354" s="138" t="str">
        <f>IF(COUNTA(B1354:F1354)=0,"",IF(OR(B1354="",C1354="",D1354="",F1354=""),"▲ Completar","✔"))</f>
        <v/>
      </c>
    </row>
    <row r="1355">
      <c r="B1355" s="130" t="n"/>
      <c r="C1355" s="129" t="n"/>
      <c r="D1355" s="129" t="n"/>
      <c r="E1355" s="129" t="n"/>
      <c r="F1355" s="145" t="n"/>
      <c r="G1355" s="129" t="n"/>
      <c r="H1355" s="129" t="n"/>
      <c r="I1355" s="129" t="n"/>
      <c r="J1355" s="138" t="str">
        <f>IF(C1355&lt;&gt;"Despesa","",IFERROR(INDEX('Config'!$J$6:$J$40,MATCH(D1355,'Config'!$I$6:$I$40,0)),"—"))</f>
        <v/>
      </c>
      <c r="K1355" s="138" t="str">
        <f>IF(COUNTA(B1355:F1355)=0,"",IF(OR(B1355="",C1355="",D1355="",F1355=""),"▲ Completar","✔"))</f>
        <v/>
      </c>
    </row>
    <row r="1356">
      <c r="B1356" s="130" t="n"/>
      <c r="C1356" s="129" t="n"/>
      <c r="D1356" s="129" t="n"/>
      <c r="E1356" s="129" t="n"/>
      <c r="F1356" s="145" t="n"/>
      <c r="G1356" s="129" t="n"/>
      <c r="H1356" s="129" t="n"/>
      <c r="I1356" s="129" t="n"/>
      <c r="J1356" s="138" t="str">
        <f>IF(C1356&lt;&gt;"Despesa","",IFERROR(INDEX('Config'!$J$6:$J$40,MATCH(D1356,'Config'!$I$6:$I$40,0)),"—"))</f>
        <v/>
      </c>
      <c r="K1356" s="138" t="str">
        <f>IF(COUNTA(B1356:F1356)=0,"",IF(OR(B1356="",C1356="",D1356="",F1356=""),"▲ Completar","✔"))</f>
        <v/>
      </c>
    </row>
    <row r="1357">
      <c r="B1357" s="130" t="n"/>
      <c r="C1357" s="129" t="n"/>
      <c r="D1357" s="129" t="n"/>
      <c r="E1357" s="129" t="n"/>
      <c r="F1357" s="145" t="n"/>
      <c r="G1357" s="129" t="n"/>
      <c r="H1357" s="129" t="n"/>
      <c r="I1357" s="129" t="n"/>
      <c r="J1357" s="138" t="str">
        <f>IF(C1357&lt;&gt;"Despesa","",IFERROR(INDEX('Config'!$J$6:$J$40,MATCH(D1357,'Config'!$I$6:$I$40,0)),"—"))</f>
        <v/>
      </c>
      <c r="K1357" s="138" t="str">
        <f>IF(COUNTA(B1357:F1357)=0,"",IF(OR(B1357="",C1357="",D1357="",F1357=""),"▲ Completar","✔"))</f>
        <v/>
      </c>
    </row>
    <row r="1358">
      <c r="B1358" s="130" t="n"/>
      <c r="C1358" s="129" t="n"/>
      <c r="D1358" s="129" t="n"/>
      <c r="E1358" s="129" t="n"/>
      <c r="F1358" s="145" t="n"/>
      <c r="G1358" s="129" t="n"/>
      <c r="H1358" s="129" t="n"/>
      <c r="I1358" s="129" t="n"/>
      <c r="J1358" s="138" t="str">
        <f>IF(C1358&lt;&gt;"Despesa","",IFERROR(INDEX('Config'!$J$6:$J$40,MATCH(D1358,'Config'!$I$6:$I$40,0)),"—"))</f>
        <v/>
      </c>
      <c r="K1358" s="138" t="str">
        <f>IF(COUNTA(B1358:F1358)=0,"",IF(OR(B1358="",C1358="",D1358="",F1358=""),"▲ Completar","✔"))</f>
        <v/>
      </c>
    </row>
    <row r="1359">
      <c r="B1359" s="130" t="n"/>
      <c r="C1359" s="129" t="n"/>
      <c r="D1359" s="129" t="n"/>
      <c r="E1359" s="129" t="n"/>
      <c r="F1359" s="145" t="n"/>
      <c r="G1359" s="129" t="n"/>
      <c r="H1359" s="129" t="n"/>
      <c r="I1359" s="129" t="n"/>
      <c r="J1359" s="138" t="str">
        <f>IF(C1359&lt;&gt;"Despesa","",IFERROR(INDEX('Config'!$J$6:$J$40,MATCH(D1359,'Config'!$I$6:$I$40,0)),"—"))</f>
        <v/>
      </c>
      <c r="K1359" s="138" t="str">
        <f>IF(COUNTA(B1359:F1359)=0,"",IF(OR(B1359="",C1359="",D1359="",F1359=""),"▲ Completar","✔"))</f>
        <v/>
      </c>
    </row>
    <row r="1360">
      <c r="B1360" s="130" t="n"/>
      <c r="C1360" s="129" t="n"/>
      <c r="D1360" s="129" t="n"/>
      <c r="E1360" s="129" t="n"/>
      <c r="F1360" s="145" t="n"/>
      <c r="G1360" s="129" t="n"/>
      <c r="H1360" s="129" t="n"/>
      <c r="I1360" s="129" t="n"/>
      <c r="J1360" s="138" t="str">
        <f>IF(C1360&lt;&gt;"Despesa","",IFERROR(INDEX('Config'!$J$6:$J$40,MATCH(D1360,'Config'!$I$6:$I$40,0)),"—"))</f>
        <v/>
      </c>
      <c r="K1360" s="138" t="str">
        <f>IF(COUNTA(B1360:F1360)=0,"",IF(OR(B1360="",C1360="",D1360="",F1360=""),"▲ Completar","✔"))</f>
        <v/>
      </c>
    </row>
    <row r="1361">
      <c r="B1361" s="130" t="n"/>
      <c r="C1361" s="129" t="n"/>
      <c r="D1361" s="129" t="n"/>
      <c r="E1361" s="129" t="n"/>
      <c r="F1361" s="145" t="n"/>
      <c r="G1361" s="129" t="n"/>
      <c r="H1361" s="129" t="n"/>
      <c r="I1361" s="129" t="n"/>
      <c r="J1361" s="138" t="str">
        <f>IF(C1361&lt;&gt;"Despesa","",IFERROR(INDEX('Config'!$J$6:$J$40,MATCH(D1361,'Config'!$I$6:$I$40,0)),"—"))</f>
        <v/>
      </c>
      <c r="K1361" s="138" t="str">
        <f>IF(COUNTA(B1361:F1361)=0,"",IF(OR(B1361="",C1361="",D1361="",F1361=""),"▲ Completar","✔"))</f>
        <v/>
      </c>
    </row>
    <row r="1362">
      <c r="B1362" s="130" t="n"/>
      <c r="C1362" s="129" t="n"/>
      <c r="D1362" s="129" t="n"/>
      <c r="E1362" s="129" t="n"/>
      <c r="F1362" s="145" t="n"/>
      <c r="G1362" s="129" t="n"/>
      <c r="H1362" s="129" t="n"/>
      <c r="I1362" s="129" t="n"/>
      <c r="J1362" s="138" t="str">
        <f>IF(C1362&lt;&gt;"Despesa","",IFERROR(INDEX('Config'!$J$6:$J$40,MATCH(D1362,'Config'!$I$6:$I$40,0)),"—"))</f>
        <v/>
      </c>
      <c r="K1362" s="138" t="str">
        <f>IF(COUNTA(B1362:F1362)=0,"",IF(OR(B1362="",C1362="",D1362="",F1362=""),"▲ Completar","✔"))</f>
        <v/>
      </c>
    </row>
    <row r="1363">
      <c r="B1363" s="130" t="n"/>
      <c r="C1363" s="129" t="n"/>
      <c r="D1363" s="129" t="n"/>
      <c r="E1363" s="129" t="n"/>
      <c r="F1363" s="145" t="n"/>
      <c r="G1363" s="129" t="n"/>
      <c r="H1363" s="129" t="n"/>
      <c r="I1363" s="129" t="n"/>
      <c r="J1363" s="138" t="str">
        <f>IF(C1363&lt;&gt;"Despesa","",IFERROR(INDEX('Config'!$J$6:$J$40,MATCH(D1363,'Config'!$I$6:$I$40,0)),"—"))</f>
        <v/>
      </c>
      <c r="K1363" s="138" t="str">
        <f>IF(COUNTA(B1363:F1363)=0,"",IF(OR(B1363="",C1363="",D1363="",F1363=""),"▲ Completar","✔"))</f>
        <v/>
      </c>
    </row>
    <row r="1364">
      <c r="B1364" s="130" t="n"/>
      <c r="C1364" s="129" t="n"/>
      <c r="D1364" s="129" t="n"/>
      <c r="E1364" s="129" t="n"/>
      <c r="F1364" s="145" t="n"/>
      <c r="G1364" s="129" t="n"/>
      <c r="H1364" s="129" t="n"/>
      <c r="I1364" s="129" t="n"/>
      <c r="J1364" s="138" t="str">
        <f>IF(C1364&lt;&gt;"Despesa","",IFERROR(INDEX('Config'!$J$6:$J$40,MATCH(D1364,'Config'!$I$6:$I$40,0)),"—"))</f>
        <v/>
      </c>
      <c r="K1364" s="138" t="str">
        <f>IF(COUNTA(B1364:F1364)=0,"",IF(OR(B1364="",C1364="",D1364="",F1364=""),"▲ Completar","✔"))</f>
        <v/>
      </c>
    </row>
    <row r="1365">
      <c r="B1365" s="130" t="n"/>
      <c r="C1365" s="129" t="n"/>
      <c r="D1365" s="129" t="n"/>
      <c r="E1365" s="129" t="n"/>
      <c r="F1365" s="145" t="n"/>
      <c r="G1365" s="129" t="n"/>
      <c r="H1365" s="129" t="n"/>
      <c r="I1365" s="129" t="n"/>
      <c r="J1365" s="138" t="str">
        <f>IF(C1365&lt;&gt;"Despesa","",IFERROR(INDEX('Config'!$J$6:$J$40,MATCH(D1365,'Config'!$I$6:$I$40,0)),"—"))</f>
        <v/>
      </c>
      <c r="K1365" s="138" t="str">
        <f>IF(COUNTA(B1365:F1365)=0,"",IF(OR(B1365="",C1365="",D1365="",F1365=""),"▲ Completar","✔"))</f>
        <v/>
      </c>
    </row>
    <row r="1366">
      <c r="B1366" s="130" t="n"/>
      <c r="C1366" s="129" t="n"/>
      <c r="D1366" s="129" t="n"/>
      <c r="E1366" s="129" t="n"/>
      <c r="F1366" s="145" t="n"/>
      <c r="G1366" s="129" t="n"/>
      <c r="H1366" s="129" t="n"/>
      <c r="I1366" s="129" t="n"/>
      <c r="J1366" s="138" t="str">
        <f>IF(C1366&lt;&gt;"Despesa","",IFERROR(INDEX('Config'!$J$6:$J$40,MATCH(D1366,'Config'!$I$6:$I$40,0)),"—"))</f>
        <v/>
      </c>
      <c r="K1366" s="138" t="str">
        <f>IF(COUNTA(B1366:F1366)=0,"",IF(OR(B1366="",C1366="",D1366="",F1366=""),"▲ Completar","✔"))</f>
        <v/>
      </c>
    </row>
    <row r="1367">
      <c r="B1367" s="130" t="n"/>
      <c r="C1367" s="129" t="n"/>
      <c r="D1367" s="129" t="n"/>
      <c r="E1367" s="129" t="n"/>
      <c r="F1367" s="145" t="n"/>
      <c r="G1367" s="129" t="n"/>
      <c r="H1367" s="129" t="n"/>
      <c r="I1367" s="129" t="n"/>
      <c r="J1367" s="138" t="str">
        <f>IF(C1367&lt;&gt;"Despesa","",IFERROR(INDEX('Config'!$J$6:$J$40,MATCH(D1367,'Config'!$I$6:$I$40,0)),"—"))</f>
        <v/>
      </c>
      <c r="K1367" s="138" t="str">
        <f>IF(COUNTA(B1367:F1367)=0,"",IF(OR(B1367="",C1367="",D1367="",F1367=""),"▲ Completar","✔"))</f>
        <v/>
      </c>
    </row>
    <row r="1368">
      <c r="B1368" s="130" t="n"/>
      <c r="C1368" s="129" t="n"/>
      <c r="D1368" s="129" t="n"/>
      <c r="E1368" s="129" t="n"/>
      <c r="F1368" s="145" t="n"/>
      <c r="G1368" s="129" t="n"/>
      <c r="H1368" s="129" t="n"/>
      <c r="I1368" s="129" t="n"/>
      <c r="J1368" s="138" t="str">
        <f>IF(C1368&lt;&gt;"Despesa","",IFERROR(INDEX('Config'!$J$6:$J$40,MATCH(D1368,'Config'!$I$6:$I$40,0)),"—"))</f>
        <v/>
      </c>
      <c r="K1368" s="138" t="str">
        <f>IF(COUNTA(B1368:F1368)=0,"",IF(OR(B1368="",C1368="",D1368="",F1368=""),"▲ Completar","✔"))</f>
        <v/>
      </c>
    </row>
    <row r="1369">
      <c r="B1369" s="130" t="n"/>
      <c r="C1369" s="129" t="n"/>
      <c r="D1369" s="129" t="n"/>
      <c r="E1369" s="129" t="n"/>
      <c r="F1369" s="145" t="n"/>
      <c r="G1369" s="129" t="n"/>
      <c r="H1369" s="129" t="n"/>
      <c r="I1369" s="129" t="n"/>
      <c r="J1369" s="138" t="str">
        <f>IF(C1369&lt;&gt;"Despesa","",IFERROR(INDEX('Config'!$J$6:$J$40,MATCH(D1369,'Config'!$I$6:$I$40,0)),"—"))</f>
        <v/>
      </c>
      <c r="K1369" s="138" t="str">
        <f>IF(COUNTA(B1369:F1369)=0,"",IF(OR(B1369="",C1369="",D1369="",F1369=""),"▲ Completar","✔"))</f>
        <v/>
      </c>
    </row>
    <row r="1370">
      <c r="B1370" s="130" t="n"/>
      <c r="C1370" s="129" t="n"/>
      <c r="D1370" s="129" t="n"/>
      <c r="E1370" s="129" t="n"/>
      <c r="F1370" s="145" t="n"/>
      <c r="G1370" s="129" t="n"/>
      <c r="H1370" s="129" t="n"/>
      <c r="I1370" s="129" t="n"/>
      <c r="J1370" s="138" t="str">
        <f>IF(C1370&lt;&gt;"Despesa","",IFERROR(INDEX('Config'!$J$6:$J$40,MATCH(D1370,'Config'!$I$6:$I$40,0)),"—"))</f>
        <v/>
      </c>
      <c r="K1370" s="138" t="str">
        <f>IF(COUNTA(B1370:F1370)=0,"",IF(OR(B1370="",C1370="",D1370="",F1370=""),"▲ Completar","✔"))</f>
        <v/>
      </c>
    </row>
    <row r="1371">
      <c r="B1371" s="130" t="n"/>
      <c r="C1371" s="129" t="n"/>
      <c r="D1371" s="129" t="n"/>
      <c r="E1371" s="129" t="n"/>
      <c r="F1371" s="145" t="n"/>
      <c r="G1371" s="129" t="n"/>
      <c r="H1371" s="129" t="n"/>
      <c r="I1371" s="129" t="n"/>
      <c r="J1371" s="138" t="str">
        <f>IF(C1371&lt;&gt;"Despesa","",IFERROR(INDEX('Config'!$J$6:$J$40,MATCH(D1371,'Config'!$I$6:$I$40,0)),"—"))</f>
        <v/>
      </c>
      <c r="K1371" s="138" t="str">
        <f>IF(COUNTA(B1371:F1371)=0,"",IF(OR(B1371="",C1371="",D1371="",F1371=""),"▲ Completar","✔"))</f>
        <v/>
      </c>
    </row>
    <row r="1372">
      <c r="B1372" s="130" t="n"/>
      <c r="C1372" s="129" t="n"/>
      <c r="D1372" s="129" t="n"/>
      <c r="E1372" s="129" t="n"/>
      <c r="F1372" s="145" t="n"/>
      <c r="G1372" s="129" t="n"/>
      <c r="H1372" s="129" t="n"/>
      <c r="I1372" s="129" t="n"/>
      <c r="J1372" s="138" t="str">
        <f>IF(C1372&lt;&gt;"Despesa","",IFERROR(INDEX('Config'!$J$6:$J$40,MATCH(D1372,'Config'!$I$6:$I$40,0)),"—"))</f>
        <v/>
      </c>
      <c r="K1372" s="138" t="str">
        <f>IF(COUNTA(B1372:F1372)=0,"",IF(OR(B1372="",C1372="",D1372="",F1372=""),"▲ Completar","✔"))</f>
        <v/>
      </c>
    </row>
    <row r="1373">
      <c r="B1373" s="130" t="n"/>
      <c r="C1373" s="129" t="n"/>
      <c r="D1373" s="129" t="n"/>
      <c r="E1373" s="129" t="n"/>
      <c r="F1373" s="145" t="n"/>
      <c r="G1373" s="129" t="n"/>
      <c r="H1373" s="129" t="n"/>
      <c r="I1373" s="129" t="n"/>
      <c r="J1373" s="138" t="str">
        <f>IF(C1373&lt;&gt;"Despesa","",IFERROR(INDEX('Config'!$J$6:$J$40,MATCH(D1373,'Config'!$I$6:$I$40,0)),"—"))</f>
        <v/>
      </c>
      <c r="K1373" s="138" t="str">
        <f>IF(COUNTA(B1373:F1373)=0,"",IF(OR(B1373="",C1373="",D1373="",F1373=""),"▲ Completar","✔"))</f>
        <v/>
      </c>
    </row>
    <row r="1374">
      <c r="B1374" s="130" t="n"/>
      <c r="C1374" s="129" t="n"/>
      <c r="D1374" s="129" t="n"/>
      <c r="E1374" s="129" t="n"/>
      <c r="F1374" s="145" t="n"/>
      <c r="G1374" s="129" t="n"/>
      <c r="H1374" s="129" t="n"/>
      <c r="I1374" s="129" t="n"/>
      <c r="J1374" s="138" t="str">
        <f>IF(C1374&lt;&gt;"Despesa","",IFERROR(INDEX('Config'!$J$6:$J$40,MATCH(D1374,'Config'!$I$6:$I$40,0)),"—"))</f>
        <v/>
      </c>
      <c r="K1374" s="138" t="str">
        <f>IF(COUNTA(B1374:F1374)=0,"",IF(OR(B1374="",C1374="",D1374="",F1374=""),"▲ Completar","✔"))</f>
        <v/>
      </c>
    </row>
    <row r="1375">
      <c r="B1375" s="130" t="n"/>
      <c r="C1375" s="129" t="n"/>
      <c r="D1375" s="129" t="n"/>
      <c r="E1375" s="129" t="n"/>
      <c r="F1375" s="145" t="n"/>
      <c r="G1375" s="129" t="n"/>
      <c r="H1375" s="129" t="n"/>
      <c r="I1375" s="129" t="n"/>
      <c r="J1375" s="138" t="str">
        <f>IF(C1375&lt;&gt;"Despesa","",IFERROR(INDEX('Config'!$J$6:$J$40,MATCH(D1375,'Config'!$I$6:$I$40,0)),"—"))</f>
        <v/>
      </c>
      <c r="K1375" s="138" t="str">
        <f>IF(COUNTA(B1375:F1375)=0,"",IF(OR(B1375="",C1375="",D1375="",F1375=""),"▲ Completar","✔"))</f>
        <v/>
      </c>
    </row>
    <row r="1376">
      <c r="B1376" s="130" t="n"/>
      <c r="C1376" s="129" t="n"/>
      <c r="D1376" s="129" t="n"/>
      <c r="E1376" s="129" t="n"/>
      <c r="F1376" s="145" t="n"/>
      <c r="G1376" s="129" t="n"/>
      <c r="H1376" s="129" t="n"/>
      <c r="I1376" s="129" t="n"/>
      <c r="J1376" s="138" t="str">
        <f>IF(C1376&lt;&gt;"Despesa","",IFERROR(INDEX('Config'!$J$6:$J$40,MATCH(D1376,'Config'!$I$6:$I$40,0)),"—"))</f>
        <v/>
      </c>
      <c r="K1376" s="138" t="str">
        <f>IF(COUNTA(B1376:F1376)=0,"",IF(OR(B1376="",C1376="",D1376="",F1376=""),"▲ Completar","✔"))</f>
        <v/>
      </c>
    </row>
    <row r="1377">
      <c r="B1377" s="130" t="n"/>
      <c r="C1377" s="129" t="n"/>
      <c r="D1377" s="129" t="n"/>
      <c r="E1377" s="129" t="n"/>
      <c r="F1377" s="145" t="n"/>
      <c r="G1377" s="129" t="n"/>
      <c r="H1377" s="129" t="n"/>
      <c r="I1377" s="129" t="n"/>
      <c r="J1377" s="138" t="str">
        <f>IF(C1377&lt;&gt;"Despesa","",IFERROR(INDEX('Config'!$J$6:$J$40,MATCH(D1377,'Config'!$I$6:$I$40,0)),"—"))</f>
        <v/>
      </c>
      <c r="K1377" s="138" t="str">
        <f>IF(COUNTA(B1377:F1377)=0,"",IF(OR(B1377="",C1377="",D1377="",F1377=""),"▲ Completar","✔"))</f>
        <v/>
      </c>
    </row>
    <row r="1378">
      <c r="B1378" s="130" t="n"/>
      <c r="C1378" s="129" t="n"/>
      <c r="D1378" s="129" t="n"/>
      <c r="E1378" s="129" t="n"/>
      <c r="F1378" s="145" t="n"/>
      <c r="G1378" s="129" t="n"/>
      <c r="H1378" s="129" t="n"/>
      <c r="I1378" s="129" t="n"/>
      <c r="J1378" s="138" t="str">
        <f>IF(C1378&lt;&gt;"Despesa","",IFERROR(INDEX('Config'!$J$6:$J$40,MATCH(D1378,'Config'!$I$6:$I$40,0)),"—"))</f>
        <v/>
      </c>
      <c r="K1378" s="138" t="str">
        <f>IF(COUNTA(B1378:F1378)=0,"",IF(OR(B1378="",C1378="",D1378="",F1378=""),"▲ Completar","✔"))</f>
        <v/>
      </c>
    </row>
    <row r="1379">
      <c r="B1379" s="130" t="n"/>
      <c r="C1379" s="129" t="n"/>
      <c r="D1379" s="129" t="n"/>
      <c r="E1379" s="129" t="n"/>
      <c r="F1379" s="145" t="n"/>
      <c r="G1379" s="129" t="n"/>
      <c r="H1379" s="129" t="n"/>
      <c r="I1379" s="129" t="n"/>
      <c r="J1379" s="138" t="str">
        <f>IF(C1379&lt;&gt;"Despesa","",IFERROR(INDEX('Config'!$J$6:$J$40,MATCH(D1379,'Config'!$I$6:$I$40,0)),"—"))</f>
        <v/>
      </c>
      <c r="K1379" s="138" t="str">
        <f>IF(COUNTA(B1379:F1379)=0,"",IF(OR(B1379="",C1379="",D1379="",F1379=""),"▲ Completar","✔"))</f>
        <v/>
      </c>
    </row>
    <row r="1380">
      <c r="B1380" s="130" t="n"/>
      <c r="C1380" s="129" t="n"/>
      <c r="D1380" s="129" t="n"/>
      <c r="E1380" s="129" t="n"/>
      <c r="F1380" s="145" t="n"/>
      <c r="G1380" s="129" t="n"/>
      <c r="H1380" s="129" t="n"/>
      <c r="I1380" s="129" t="n"/>
      <c r="J1380" s="138" t="str">
        <f>IF(C1380&lt;&gt;"Despesa","",IFERROR(INDEX('Config'!$J$6:$J$40,MATCH(D1380,'Config'!$I$6:$I$40,0)),"—"))</f>
        <v/>
      </c>
      <c r="K1380" s="138" t="str">
        <f>IF(COUNTA(B1380:F1380)=0,"",IF(OR(B1380="",C1380="",D1380="",F1380=""),"▲ Completar","✔"))</f>
        <v/>
      </c>
    </row>
    <row r="1381">
      <c r="B1381" s="130" t="n"/>
      <c r="C1381" s="129" t="n"/>
      <c r="D1381" s="129" t="n"/>
      <c r="E1381" s="129" t="n"/>
      <c r="F1381" s="145" t="n"/>
      <c r="G1381" s="129" t="n"/>
      <c r="H1381" s="129" t="n"/>
      <c r="I1381" s="129" t="n"/>
      <c r="J1381" s="138" t="str">
        <f>IF(C1381&lt;&gt;"Despesa","",IFERROR(INDEX('Config'!$J$6:$J$40,MATCH(D1381,'Config'!$I$6:$I$40,0)),"—"))</f>
        <v/>
      </c>
      <c r="K1381" s="138" t="str">
        <f>IF(COUNTA(B1381:F1381)=0,"",IF(OR(B1381="",C1381="",D1381="",F1381=""),"▲ Completar","✔"))</f>
        <v/>
      </c>
    </row>
    <row r="1382">
      <c r="B1382" s="130" t="n"/>
      <c r="C1382" s="129" t="n"/>
      <c r="D1382" s="129" t="n"/>
      <c r="E1382" s="129" t="n"/>
      <c r="F1382" s="145" t="n"/>
      <c r="G1382" s="129" t="n"/>
      <c r="H1382" s="129" t="n"/>
      <c r="I1382" s="129" t="n"/>
      <c r="J1382" s="138" t="str">
        <f>IF(C1382&lt;&gt;"Despesa","",IFERROR(INDEX('Config'!$J$6:$J$40,MATCH(D1382,'Config'!$I$6:$I$40,0)),"—"))</f>
        <v/>
      </c>
      <c r="K1382" s="138" t="str">
        <f>IF(COUNTA(B1382:F1382)=0,"",IF(OR(B1382="",C1382="",D1382="",F1382=""),"▲ Completar","✔"))</f>
        <v/>
      </c>
    </row>
    <row r="1383">
      <c r="B1383" s="130" t="n"/>
      <c r="C1383" s="129" t="n"/>
      <c r="D1383" s="129" t="n"/>
      <c r="E1383" s="129" t="n"/>
      <c r="F1383" s="145" t="n"/>
      <c r="G1383" s="129" t="n"/>
      <c r="H1383" s="129" t="n"/>
      <c r="I1383" s="129" t="n"/>
      <c r="J1383" s="138" t="str">
        <f>IF(C1383&lt;&gt;"Despesa","",IFERROR(INDEX('Config'!$J$6:$J$40,MATCH(D1383,'Config'!$I$6:$I$40,0)),"—"))</f>
        <v/>
      </c>
      <c r="K1383" s="138" t="str">
        <f>IF(COUNTA(B1383:F1383)=0,"",IF(OR(B1383="",C1383="",D1383="",F1383=""),"▲ Completar","✔"))</f>
        <v/>
      </c>
    </row>
    <row r="1384">
      <c r="B1384" s="130" t="n"/>
      <c r="C1384" s="129" t="n"/>
      <c r="D1384" s="129" t="n"/>
      <c r="E1384" s="129" t="n"/>
      <c r="F1384" s="145" t="n"/>
      <c r="G1384" s="129" t="n"/>
      <c r="H1384" s="129" t="n"/>
      <c r="I1384" s="129" t="n"/>
      <c r="J1384" s="138" t="str">
        <f>IF(C1384&lt;&gt;"Despesa","",IFERROR(INDEX('Config'!$J$6:$J$40,MATCH(D1384,'Config'!$I$6:$I$40,0)),"—"))</f>
        <v/>
      </c>
      <c r="K1384" s="138" t="str">
        <f>IF(COUNTA(B1384:F1384)=0,"",IF(OR(B1384="",C1384="",D1384="",F1384=""),"▲ Completar","✔"))</f>
        <v/>
      </c>
    </row>
    <row r="1385">
      <c r="B1385" s="130" t="n"/>
      <c r="C1385" s="129" t="n"/>
      <c r="D1385" s="129" t="n"/>
      <c r="E1385" s="129" t="n"/>
      <c r="F1385" s="145" t="n"/>
      <c r="G1385" s="129" t="n"/>
      <c r="H1385" s="129" t="n"/>
      <c r="I1385" s="129" t="n"/>
      <c r="J1385" s="138" t="str">
        <f>IF(C1385&lt;&gt;"Despesa","",IFERROR(INDEX('Config'!$J$6:$J$40,MATCH(D1385,'Config'!$I$6:$I$40,0)),"—"))</f>
        <v/>
      </c>
      <c r="K1385" s="138" t="str">
        <f>IF(COUNTA(B1385:F1385)=0,"",IF(OR(B1385="",C1385="",D1385="",F1385=""),"▲ Completar","✔"))</f>
        <v/>
      </c>
    </row>
    <row r="1386">
      <c r="B1386" s="130" t="n"/>
      <c r="C1386" s="129" t="n"/>
      <c r="D1386" s="129" t="n"/>
      <c r="E1386" s="129" t="n"/>
      <c r="F1386" s="145" t="n"/>
      <c r="G1386" s="129" t="n"/>
      <c r="H1386" s="129" t="n"/>
      <c r="I1386" s="129" t="n"/>
      <c r="J1386" s="138" t="str">
        <f>IF(C1386&lt;&gt;"Despesa","",IFERROR(INDEX('Config'!$J$6:$J$40,MATCH(D1386,'Config'!$I$6:$I$40,0)),"—"))</f>
        <v/>
      </c>
      <c r="K1386" s="138" t="str">
        <f>IF(COUNTA(B1386:F1386)=0,"",IF(OR(B1386="",C1386="",D1386="",F1386=""),"▲ Completar","✔"))</f>
        <v/>
      </c>
    </row>
    <row r="1387">
      <c r="B1387" s="130" t="n"/>
      <c r="C1387" s="129" t="n"/>
      <c r="D1387" s="129" t="n"/>
      <c r="E1387" s="129" t="n"/>
      <c r="F1387" s="145" t="n"/>
      <c r="G1387" s="129" t="n"/>
      <c r="H1387" s="129" t="n"/>
      <c r="I1387" s="129" t="n"/>
      <c r="J1387" s="138" t="str">
        <f>IF(C1387&lt;&gt;"Despesa","",IFERROR(INDEX('Config'!$J$6:$J$40,MATCH(D1387,'Config'!$I$6:$I$40,0)),"—"))</f>
        <v/>
      </c>
      <c r="K1387" s="138" t="str">
        <f>IF(COUNTA(B1387:F1387)=0,"",IF(OR(B1387="",C1387="",D1387="",F1387=""),"▲ Completar","✔"))</f>
        <v/>
      </c>
    </row>
    <row r="1388">
      <c r="B1388" s="130" t="n"/>
      <c r="C1388" s="129" t="n"/>
      <c r="D1388" s="129" t="n"/>
      <c r="E1388" s="129" t="n"/>
      <c r="F1388" s="145" t="n"/>
      <c r="G1388" s="129" t="n"/>
      <c r="H1388" s="129" t="n"/>
      <c r="I1388" s="129" t="n"/>
      <c r="J1388" s="138" t="str">
        <f>IF(C1388&lt;&gt;"Despesa","",IFERROR(INDEX('Config'!$J$6:$J$40,MATCH(D1388,'Config'!$I$6:$I$40,0)),"—"))</f>
        <v/>
      </c>
      <c r="K1388" s="138" t="str">
        <f>IF(COUNTA(B1388:F1388)=0,"",IF(OR(B1388="",C1388="",D1388="",F1388=""),"▲ Completar","✔"))</f>
        <v/>
      </c>
    </row>
    <row r="1389">
      <c r="B1389" s="130" t="n"/>
      <c r="C1389" s="129" t="n"/>
      <c r="D1389" s="129" t="n"/>
      <c r="E1389" s="129" t="n"/>
      <c r="F1389" s="145" t="n"/>
      <c r="G1389" s="129" t="n"/>
      <c r="H1389" s="129" t="n"/>
      <c r="I1389" s="129" t="n"/>
      <c r="J1389" s="138" t="str">
        <f>IF(C1389&lt;&gt;"Despesa","",IFERROR(INDEX('Config'!$J$6:$J$40,MATCH(D1389,'Config'!$I$6:$I$40,0)),"—"))</f>
        <v/>
      </c>
      <c r="K1389" s="138" t="str">
        <f>IF(COUNTA(B1389:F1389)=0,"",IF(OR(B1389="",C1389="",D1389="",F1389=""),"▲ Completar","✔"))</f>
        <v/>
      </c>
    </row>
    <row r="1390">
      <c r="B1390" s="130" t="n"/>
      <c r="C1390" s="129" t="n"/>
      <c r="D1390" s="129" t="n"/>
      <c r="E1390" s="129" t="n"/>
      <c r="F1390" s="145" t="n"/>
      <c r="G1390" s="129" t="n"/>
      <c r="H1390" s="129" t="n"/>
      <c r="I1390" s="129" t="n"/>
      <c r="J1390" s="138" t="str">
        <f>IF(C1390&lt;&gt;"Despesa","",IFERROR(INDEX('Config'!$J$6:$J$40,MATCH(D1390,'Config'!$I$6:$I$40,0)),"—"))</f>
        <v/>
      </c>
      <c r="K1390" s="138" t="str">
        <f>IF(COUNTA(B1390:F1390)=0,"",IF(OR(B1390="",C1390="",D1390="",F1390=""),"▲ Completar","✔"))</f>
        <v/>
      </c>
    </row>
    <row r="1391">
      <c r="B1391" s="130" t="n"/>
      <c r="C1391" s="129" t="n"/>
      <c r="D1391" s="129" t="n"/>
      <c r="E1391" s="129" t="n"/>
      <c r="F1391" s="145" t="n"/>
      <c r="G1391" s="129" t="n"/>
      <c r="H1391" s="129" t="n"/>
      <c r="I1391" s="129" t="n"/>
      <c r="J1391" s="138" t="str">
        <f>IF(C1391&lt;&gt;"Despesa","",IFERROR(INDEX('Config'!$J$6:$J$40,MATCH(D1391,'Config'!$I$6:$I$40,0)),"—"))</f>
        <v/>
      </c>
      <c r="K1391" s="138" t="str">
        <f>IF(COUNTA(B1391:F1391)=0,"",IF(OR(B1391="",C1391="",D1391="",F1391=""),"▲ Completar","✔"))</f>
        <v/>
      </c>
    </row>
    <row r="1392">
      <c r="B1392" s="130" t="n"/>
      <c r="C1392" s="129" t="n"/>
      <c r="D1392" s="129" t="n"/>
      <c r="E1392" s="129" t="n"/>
      <c r="F1392" s="145" t="n"/>
      <c r="G1392" s="129" t="n"/>
      <c r="H1392" s="129" t="n"/>
      <c r="I1392" s="129" t="n"/>
      <c r="J1392" s="138" t="str">
        <f>IF(C1392&lt;&gt;"Despesa","",IFERROR(INDEX('Config'!$J$6:$J$40,MATCH(D1392,'Config'!$I$6:$I$40,0)),"—"))</f>
        <v/>
      </c>
      <c r="K1392" s="138" t="str">
        <f>IF(COUNTA(B1392:F1392)=0,"",IF(OR(B1392="",C1392="",D1392="",F1392=""),"▲ Completar","✔"))</f>
        <v/>
      </c>
    </row>
    <row r="1393">
      <c r="B1393" s="130" t="n"/>
      <c r="C1393" s="129" t="n"/>
      <c r="D1393" s="129" t="n"/>
      <c r="E1393" s="129" t="n"/>
      <c r="F1393" s="145" t="n"/>
      <c r="G1393" s="129" t="n"/>
      <c r="H1393" s="129" t="n"/>
      <c r="I1393" s="129" t="n"/>
      <c r="J1393" s="138" t="str">
        <f>IF(C1393&lt;&gt;"Despesa","",IFERROR(INDEX('Config'!$J$6:$J$40,MATCH(D1393,'Config'!$I$6:$I$40,0)),"—"))</f>
        <v/>
      </c>
      <c r="K1393" s="138" t="str">
        <f>IF(COUNTA(B1393:F1393)=0,"",IF(OR(B1393="",C1393="",D1393="",F1393=""),"▲ Completar","✔"))</f>
        <v/>
      </c>
    </row>
    <row r="1394">
      <c r="B1394" s="130" t="n"/>
      <c r="C1394" s="129" t="n"/>
      <c r="D1394" s="129" t="n"/>
      <c r="E1394" s="129" t="n"/>
      <c r="F1394" s="145" t="n"/>
      <c r="G1394" s="129" t="n"/>
      <c r="H1394" s="129" t="n"/>
      <c r="I1394" s="129" t="n"/>
      <c r="J1394" s="138" t="str">
        <f>IF(C1394&lt;&gt;"Despesa","",IFERROR(INDEX('Config'!$J$6:$J$40,MATCH(D1394,'Config'!$I$6:$I$40,0)),"—"))</f>
        <v/>
      </c>
      <c r="K1394" s="138" t="str">
        <f>IF(COUNTA(B1394:F1394)=0,"",IF(OR(B1394="",C1394="",D1394="",F1394=""),"▲ Completar","✔"))</f>
        <v/>
      </c>
    </row>
    <row r="1395">
      <c r="B1395" s="130" t="n"/>
      <c r="C1395" s="129" t="n"/>
      <c r="D1395" s="129" t="n"/>
      <c r="E1395" s="129" t="n"/>
      <c r="F1395" s="145" t="n"/>
      <c r="G1395" s="129" t="n"/>
      <c r="H1395" s="129" t="n"/>
      <c r="I1395" s="129" t="n"/>
      <c r="J1395" s="138" t="str">
        <f>IF(C1395&lt;&gt;"Despesa","",IFERROR(INDEX('Config'!$J$6:$J$40,MATCH(D1395,'Config'!$I$6:$I$40,0)),"—"))</f>
        <v/>
      </c>
      <c r="K1395" s="138" t="str">
        <f>IF(COUNTA(B1395:F1395)=0,"",IF(OR(B1395="",C1395="",D1395="",F1395=""),"▲ Completar","✔"))</f>
        <v/>
      </c>
    </row>
    <row r="1396">
      <c r="B1396" s="130" t="n"/>
      <c r="C1396" s="129" t="n"/>
      <c r="D1396" s="129" t="n"/>
      <c r="E1396" s="129" t="n"/>
      <c r="F1396" s="145" t="n"/>
      <c r="G1396" s="129" t="n"/>
      <c r="H1396" s="129" t="n"/>
      <c r="I1396" s="129" t="n"/>
      <c r="J1396" s="138" t="str">
        <f>IF(C1396&lt;&gt;"Despesa","",IFERROR(INDEX('Config'!$J$6:$J$40,MATCH(D1396,'Config'!$I$6:$I$40,0)),"—"))</f>
        <v/>
      </c>
      <c r="K1396" s="138" t="str">
        <f>IF(COUNTA(B1396:F1396)=0,"",IF(OR(B1396="",C1396="",D1396="",F1396=""),"▲ Completar","✔"))</f>
        <v/>
      </c>
    </row>
    <row r="1397">
      <c r="B1397" s="130" t="n"/>
      <c r="C1397" s="129" t="n"/>
      <c r="D1397" s="129" t="n"/>
      <c r="E1397" s="129" t="n"/>
      <c r="F1397" s="145" t="n"/>
      <c r="G1397" s="129" t="n"/>
      <c r="H1397" s="129" t="n"/>
      <c r="I1397" s="129" t="n"/>
      <c r="J1397" s="138" t="str">
        <f>IF(C1397&lt;&gt;"Despesa","",IFERROR(INDEX('Config'!$J$6:$J$40,MATCH(D1397,'Config'!$I$6:$I$40,0)),"—"))</f>
        <v/>
      </c>
      <c r="K1397" s="138" t="str">
        <f>IF(COUNTA(B1397:F1397)=0,"",IF(OR(B1397="",C1397="",D1397="",F1397=""),"▲ Completar","✔"))</f>
        <v/>
      </c>
    </row>
    <row r="1398">
      <c r="B1398" s="130" t="n"/>
      <c r="C1398" s="129" t="n"/>
      <c r="D1398" s="129" t="n"/>
      <c r="E1398" s="129" t="n"/>
      <c r="F1398" s="145" t="n"/>
      <c r="G1398" s="129" t="n"/>
      <c r="H1398" s="129" t="n"/>
      <c r="I1398" s="129" t="n"/>
      <c r="J1398" s="138" t="str">
        <f>IF(C1398&lt;&gt;"Despesa","",IFERROR(INDEX('Config'!$J$6:$J$40,MATCH(D1398,'Config'!$I$6:$I$40,0)),"—"))</f>
        <v/>
      </c>
      <c r="K1398" s="138" t="str">
        <f>IF(COUNTA(B1398:F1398)=0,"",IF(OR(B1398="",C1398="",D1398="",F1398=""),"▲ Completar","✔"))</f>
        <v/>
      </c>
    </row>
    <row r="1399">
      <c r="B1399" s="130" t="n"/>
      <c r="C1399" s="129" t="n"/>
      <c r="D1399" s="129" t="n"/>
      <c r="E1399" s="129" t="n"/>
      <c r="F1399" s="145" t="n"/>
      <c r="G1399" s="129" t="n"/>
      <c r="H1399" s="129" t="n"/>
      <c r="I1399" s="129" t="n"/>
      <c r="J1399" s="138" t="str">
        <f>IF(C1399&lt;&gt;"Despesa","",IFERROR(INDEX('Config'!$J$6:$J$40,MATCH(D1399,'Config'!$I$6:$I$40,0)),"—"))</f>
        <v/>
      </c>
      <c r="K1399" s="138" t="str">
        <f>IF(COUNTA(B1399:F1399)=0,"",IF(OR(B1399="",C1399="",D1399="",F1399=""),"▲ Completar","✔"))</f>
        <v/>
      </c>
    </row>
    <row r="1400">
      <c r="B1400" s="130" t="n"/>
      <c r="C1400" s="129" t="n"/>
      <c r="D1400" s="129" t="n"/>
      <c r="E1400" s="129" t="n"/>
      <c r="F1400" s="145" t="n"/>
      <c r="G1400" s="129" t="n"/>
      <c r="H1400" s="129" t="n"/>
      <c r="I1400" s="129" t="n"/>
      <c r="J1400" s="138" t="str">
        <f>IF(C1400&lt;&gt;"Despesa","",IFERROR(INDEX('Config'!$J$6:$J$40,MATCH(D1400,'Config'!$I$6:$I$40,0)),"—"))</f>
        <v/>
      </c>
      <c r="K1400" s="138" t="str">
        <f>IF(COUNTA(B1400:F1400)=0,"",IF(OR(B1400="",C1400="",D1400="",F1400=""),"▲ Completar","✔"))</f>
        <v/>
      </c>
    </row>
    <row r="1401">
      <c r="B1401" s="130" t="n"/>
      <c r="C1401" s="129" t="n"/>
      <c r="D1401" s="129" t="n"/>
      <c r="E1401" s="129" t="n"/>
      <c r="F1401" s="145" t="n"/>
      <c r="G1401" s="129" t="n"/>
      <c r="H1401" s="129" t="n"/>
      <c r="I1401" s="129" t="n"/>
      <c r="J1401" s="138" t="str">
        <f>IF(C1401&lt;&gt;"Despesa","",IFERROR(INDEX('Config'!$J$6:$J$40,MATCH(D1401,'Config'!$I$6:$I$40,0)),"—"))</f>
        <v/>
      </c>
      <c r="K1401" s="138" t="str">
        <f>IF(COUNTA(B1401:F1401)=0,"",IF(OR(B1401="",C1401="",D1401="",F1401=""),"▲ Completar","✔"))</f>
        <v/>
      </c>
    </row>
    <row r="1402">
      <c r="B1402" s="130" t="n"/>
      <c r="C1402" s="129" t="n"/>
      <c r="D1402" s="129" t="n"/>
      <c r="E1402" s="129" t="n"/>
      <c r="F1402" s="145" t="n"/>
      <c r="G1402" s="129" t="n"/>
      <c r="H1402" s="129" t="n"/>
      <c r="I1402" s="129" t="n"/>
      <c r="J1402" s="138" t="str">
        <f>IF(C1402&lt;&gt;"Despesa","",IFERROR(INDEX('Config'!$J$6:$J$40,MATCH(D1402,'Config'!$I$6:$I$40,0)),"—"))</f>
        <v/>
      </c>
      <c r="K1402" s="138" t="str">
        <f>IF(COUNTA(B1402:F1402)=0,"",IF(OR(B1402="",C1402="",D1402="",F1402=""),"▲ Completar","✔"))</f>
        <v/>
      </c>
    </row>
    <row r="1403">
      <c r="B1403" s="130" t="n"/>
      <c r="C1403" s="129" t="n"/>
      <c r="D1403" s="129" t="n"/>
      <c r="E1403" s="129" t="n"/>
      <c r="F1403" s="145" t="n"/>
      <c r="G1403" s="129" t="n"/>
      <c r="H1403" s="129" t="n"/>
      <c r="I1403" s="129" t="n"/>
      <c r="J1403" s="138" t="str">
        <f>IF(C1403&lt;&gt;"Despesa","",IFERROR(INDEX('Config'!$J$6:$J$40,MATCH(D1403,'Config'!$I$6:$I$40,0)),"—"))</f>
        <v/>
      </c>
      <c r="K1403" s="138" t="str">
        <f>IF(COUNTA(B1403:F1403)=0,"",IF(OR(B1403="",C1403="",D1403="",F1403=""),"▲ Completar","✔"))</f>
        <v/>
      </c>
    </row>
    <row r="1404">
      <c r="B1404" s="130" t="n"/>
      <c r="C1404" s="129" t="n"/>
      <c r="D1404" s="129" t="n"/>
      <c r="E1404" s="129" t="n"/>
      <c r="F1404" s="145" t="n"/>
      <c r="G1404" s="129" t="n"/>
      <c r="H1404" s="129" t="n"/>
      <c r="I1404" s="129" t="n"/>
      <c r="J1404" s="138" t="str">
        <f>IF(C1404&lt;&gt;"Despesa","",IFERROR(INDEX('Config'!$J$6:$J$40,MATCH(D1404,'Config'!$I$6:$I$40,0)),"—"))</f>
        <v/>
      </c>
      <c r="K1404" s="138" t="str">
        <f>IF(COUNTA(B1404:F1404)=0,"",IF(OR(B1404="",C1404="",D1404="",F1404=""),"▲ Completar","✔"))</f>
        <v/>
      </c>
    </row>
    <row r="1405">
      <c r="B1405" s="130" t="n"/>
      <c r="C1405" s="129" t="n"/>
      <c r="D1405" s="129" t="n"/>
      <c r="E1405" s="129" t="n"/>
      <c r="F1405" s="145" t="n"/>
      <c r="G1405" s="129" t="n"/>
      <c r="H1405" s="129" t="n"/>
      <c r="I1405" s="129" t="n"/>
      <c r="J1405" s="138" t="str">
        <f>IF(C1405&lt;&gt;"Despesa","",IFERROR(INDEX('Config'!$J$6:$J$40,MATCH(D1405,'Config'!$I$6:$I$40,0)),"—"))</f>
        <v/>
      </c>
      <c r="K1405" s="138" t="str">
        <f>IF(COUNTA(B1405:F1405)=0,"",IF(OR(B1405="",C1405="",D1405="",F1405=""),"▲ Completar","✔"))</f>
        <v/>
      </c>
    </row>
    <row r="1406">
      <c r="B1406" s="130" t="n"/>
      <c r="C1406" s="129" t="n"/>
      <c r="D1406" s="129" t="n"/>
      <c r="E1406" s="129" t="n"/>
      <c r="F1406" s="145" t="n"/>
      <c r="G1406" s="129" t="n"/>
      <c r="H1406" s="129" t="n"/>
      <c r="I1406" s="129" t="n"/>
      <c r="J1406" s="138" t="str">
        <f>IF(C1406&lt;&gt;"Despesa","",IFERROR(INDEX('Config'!$J$6:$J$40,MATCH(D1406,'Config'!$I$6:$I$40,0)),"—"))</f>
        <v/>
      </c>
      <c r="K1406" s="138" t="str">
        <f>IF(COUNTA(B1406:F1406)=0,"",IF(OR(B1406="",C1406="",D1406="",F1406=""),"▲ Completar","✔"))</f>
        <v/>
      </c>
    </row>
    <row r="1407">
      <c r="B1407" s="130" t="n"/>
      <c r="C1407" s="129" t="n"/>
      <c r="D1407" s="129" t="n"/>
      <c r="E1407" s="129" t="n"/>
      <c r="F1407" s="145" t="n"/>
      <c r="G1407" s="129" t="n"/>
      <c r="H1407" s="129" t="n"/>
      <c r="I1407" s="129" t="n"/>
      <c r="J1407" s="138" t="str">
        <f>IF(C1407&lt;&gt;"Despesa","",IFERROR(INDEX('Config'!$J$6:$J$40,MATCH(D1407,'Config'!$I$6:$I$40,0)),"—"))</f>
        <v/>
      </c>
      <c r="K1407" s="138" t="str">
        <f>IF(COUNTA(B1407:F1407)=0,"",IF(OR(B1407="",C1407="",D1407="",F1407=""),"▲ Completar","✔"))</f>
        <v/>
      </c>
    </row>
    <row r="1408">
      <c r="B1408" s="130" t="n"/>
      <c r="C1408" s="129" t="n"/>
      <c r="D1408" s="129" t="n"/>
      <c r="E1408" s="129" t="n"/>
      <c r="F1408" s="145" t="n"/>
      <c r="G1408" s="129" t="n"/>
      <c r="H1408" s="129" t="n"/>
      <c r="I1408" s="129" t="n"/>
      <c r="J1408" s="138" t="str">
        <f>IF(C1408&lt;&gt;"Despesa","",IFERROR(INDEX('Config'!$J$6:$J$40,MATCH(D1408,'Config'!$I$6:$I$40,0)),"—"))</f>
        <v/>
      </c>
      <c r="K1408" s="138" t="str">
        <f>IF(COUNTA(B1408:F1408)=0,"",IF(OR(B1408="",C1408="",D1408="",F1408=""),"▲ Completar","✔"))</f>
        <v/>
      </c>
    </row>
    <row r="1409">
      <c r="B1409" s="130" t="n"/>
      <c r="C1409" s="129" t="n"/>
      <c r="D1409" s="129" t="n"/>
      <c r="E1409" s="129" t="n"/>
      <c r="F1409" s="145" t="n"/>
      <c r="G1409" s="129" t="n"/>
      <c r="H1409" s="129" t="n"/>
      <c r="I1409" s="129" t="n"/>
      <c r="J1409" s="138" t="str">
        <f>IF(C1409&lt;&gt;"Despesa","",IFERROR(INDEX('Config'!$J$6:$J$40,MATCH(D1409,'Config'!$I$6:$I$40,0)),"—"))</f>
        <v/>
      </c>
      <c r="K1409" s="138" t="str">
        <f>IF(COUNTA(B1409:F1409)=0,"",IF(OR(B1409="",C1409="",D1409="",F1409=""),"▲ Completar","✔"))</f>
        <v/>
      </c>
    </row>
    <row r="1410">
      <c r="B1410" s="130" t="n"/>
      <c r="C1410" s="129" t="n"/>
      <c r="D1410" s="129" t="n"/>
      <c r="E1410" s="129" t="n"/>
      <c r="F1410" s="145" t="n"/>
      <c r="G1410" s="129" t="n"/>
      <c r="H1410" s="129" t="n"/>
      <c r="I1410" s="129" t="n"/>
      <c r="J1410" s="138" t="str">
        <f>IF(C1410&lt;&gt;"Despesa","",IFERROR(INDEX('Config'!$J$6:$J$40,MATCH(D1410,'Config'!$I$6:$I$40,0)),"—"))</f>
        <v/>
      </c>
      <c r="K1410" s="138" t="str">
        <f>IF(COUNTA(B1410:F1410)=0,"",IF(OR(B1410="",C1410="",D1410="",F1410=""),"▲ Completar","✔"))</f>
        <v/>
      </c>
    </row>
    <row r="1411">
      <c r="B1411" s="130" t="n"/>
      <c r="C1411" s="129" t="n"/>
      <c r="D1411" s="129" t="n"/>
      <c r="E1411" s="129" t="n"/>
      <c r="F1411" s="145" t="n"/>
      <c r="G1411" s="129" t="n"/>
      <c r="H1411" s="129" t="n"/>
      <c r="I1411" s="129" t="n"/>
      <c r="J1411" s="138" t="str">
        <f>IF(C1411&lt;&gt;"Despesa","",IFERROR(INDEX('Config'!$J$6:$J$40,MATCH(D1411,'Config'!$I$6:$I$40,0)),"—"))</f>
        <v/>
      </c>
      <c r="K1411" s="138" t="str">
        <f>IF(COUNTA(B1411:F1411)=0,"",IF(OR(B1411="",C1411="",D1411="",F1411=""),"▲ Completar","✔"))</f>
        <v/>
      </c>
    </row>
    <row r="1412">
      <c r="B1412" s="130" t="n"/>
      <c r="C1412" s="129" t="n"/>
      <c r="D1412" s="129" t="n"/>
      <c r="E1412" s="129" t="n"/>
      <c r="F1412" s="145" t="n"/>
      <c r="G1412" s="129" t="n"/>
      <c r="H1412" s="129" t="n"/>
      <c r="I1412" s="129" t="n"/>
      <c r="J1412" s="138" t="str">
        <f>IF(C1412&lt;&gt;"Despesa","",IFERROR(INDEX('Config'!$J$6:$J$40,MATCH(D1412,'Config'!$I$6:$I$40,0)),"—"))</f>
        <v/>
      </c>
      <c r="K1412" s="138" t="str">
        <f>IF(COUNTA(B1412:F1412)=0,"",IF(OR(B1412="",C1412="",D1412="",F1412=""),"▲ Completar","✔"))</f>
        <v/>
      </c>
    </row>
    <row r="1413">
      <c r="B1413" s="130" t="n"/>
      <c r="C1413" s="129" t="n"/>
      <c r="D1413" s="129" t="n"/>
      <c r="E1413" s="129" t="n"/>
      <c r="F1413" s="145" t="n"/>
      <c r="G1413" s="129" t="n"/>
      <c r="H1413" s="129" t="n"/>
      <c r="I1413" s="129" t="n"/>
      <c r="J1413" s="138" t="str">
        <f>IF(C1413&lt;&gt;"Despesa","",IFERROR(INDEX('Config'!$J$6:$J$40,MATCH(D1413,'Config'!$I$6:$I$40,0)),"—"))</f>
        <v/>
      </c>
      <c r="K1413" s="138" t="str">
        <f>IF(COUNTA(B1413:F1413)=0,"",IF(OR(B1413="",C1413="",D1413="",F1413=""),"▲ Completar","✔"))</f>
        <v/>
      </c>
    </row>
    <row r="1414">
      <c r="B1414" s="130" t="n"/>
      <c r="C1414" s="129" t="n"/>
      <c r="D1414" s="129" t="n"/>
      <c r="E1414" s="129" t="n"/>
      <c r="F1414" s="145" t="n"/>
      <c r="G1414" s="129" t="n"/>
      <c r="H1414" s="129" t="n"/>
      <c r="I1414" s="129" t="n"/>
      <c r="J1414" s="138" t="str">
        <f>IF(C1414&lt;&gt;"Despesa","",IFERROR(INDEX('Config'!$J$6:$J$40,MATCH(D1414,'Config'!$I$6:$I$40,0)),"—"))</f>
        <v/>
      </c>
      <c r="K1414" s="138" t="str">
        <f>IF(COUNTA(B1414:F1414)=0,"",IF(OR(B1414="",C1414="",D1414="",F1414=""),"▲ Completar","✔"))</f>
        <v/>
      </c>
    </row>
    <row r="1415">
      <c r="B1415" s="130" t="n"/>
      <c r="C1415" s="129" t="n"/>
      <c r="D1415" s="129" t="n"/>
      <c r="E1415" s="129" t="n"/>
      <c r="F1415" s="145" t="n"/>
      <c r="G1415" s="129" t="n"/>
      <c r="H1415" s="129" t="n"/>
      <c r="I1415" s="129" t="n"/>
      <c r="J1415" s="138" t="str">
        <f>IF(C1415&lt;&gt;"Despesa","",IFERROR(INDEX('Config'!$J$6:$J$40,MATCH(D1415,'Config'!$I$6:$I$40,0)),"—"))</f>
        <v/>
      </c>
      <c r="K1415" s="138" t="str">
        <f>IF(COUNTA(B1415:F1415)=0,"",IF(OR(B1415="",C1415="",D1415="",F1415=""),"▲ Completar","✔"))</f>
        <v/>
      </c>
    </row>
    <row r="1416">
      <c r="B1416" s="130" t="n"/>
      <c r="C1416" s="129" t="n"/>
      <c r="D1416" s="129" t="n"/>
      <c r="E1416" s="129" t="n"/>
      <c r="F1416" s="145" t="n"/>
      <c r="G1416" s="129" t="n"/>
      <c r="H1416" s="129" t="n"/>
      <c r="I1416" s="129" t="n"/>
      <c r="J1416" s="138" t="str">
        <f>IF(C1416&lt;&gt;"Despesa","",IFERROR(INDEX('Config'!$J$6:$J$40,MATCH(D1416,'Config'!$I$6:$I$40,0)),"—"))</f>
        <v/>
      </c>
      <c r="K1416" s="138" t="str">
        <f>IF(COUNTA(B1416:F1416)=0,"",IF(OR(B1416="",C1416="",D1416="",F1416=""),"▲ Completar","✔"))</f>
        <v/>
      </c>
    </row>
    <row r="1417">
      <c r="B1417" s="130" t="n"/>
      <c r="C1417" s="129" t="n"/>
      <c r="D1417" s="129" t="n"/>
      <c r="E1417" s="129" t="n"/>
      <c r="F1417" s="145" t="n"/>
      <c r="G1417" s="129" t="n"/>
      <c r="H1417" s="129" t="n"/>
      <c r="I1417" s="129" t="n"/>
      <c r="J1417" s="138" t="str">
        <f>IF(C1417&lt;&gt;"Despesa","",IFERROR(INDEX('Config'!$J$6:$J$40,MATCH(D1417,'Config'!$I$6:$I$40,0)),"—"))</f>
        <v/>
      </c>
      <c r="K1417" s="138" t="str">
        <f>IF(COUNTA(B1417:F1417)=0,"",IF(OR(B1417="",C1417="",D1417="",F1417=""),"▲ Completar","✔"))</f>
        <v/>
      </c>
    </row>
    <row r="1418">
      <c r="B1418" s="130" t="n"/>
      <c r="C1418" s="129" t="n"/>
      <c r="D1418" s="129" t="n"/>
      <c r="E1418" s="129" t="n"/>
      <c r="F1418" s="145" t="n"/>
      <c r="G1418" s="129" t="n"/>
      <c r="H1418" s="129" t="n"/>
      <c r="I1418" s="129" t="n"/>
      <c r="J1418" s="138" t="str">
        <f>IF(C1418&lt;&gt;"Despesa","",IFERROR(INDEX('Config'!$J$6:$J$40,MATCH(D1418,'Config'!$I$6:$I$40,0)),"—"))</f>
        <v/>
      </c>
      <c r="K1418" s="138" t="str">
        <f>IF(COUNTA(B1418:F1418)=0,"",IF(OR(B1418="",C1418="",D1418="",F1418=""),"▲ Completar","✔"))</f>
        <v/>
      </c>
    </row>
    <row r="1419">
      <c r="B1419" s="130" t="n"/>
      <c r="C1419" s="129" t="n"/>
      <c r="D1419" s="129" t="n"/>
      <c r="E1419" s="129" t="n"/>
      <c r="F1419" s="145" t="n"/>
      <c r="G1419" s="129" t="n"/>
      <c r="H1419" s="129" t="n"/>
      <c r="I1419" s="129" t="n"/>
      <c r="J1419" s="138" t="str">
        <f>IF(C1419&lt;&gt;"Despesa","",IFERROR(INDEX('Config'!$J$6:$J$40,MATCH(D1419,'Config'!$I$6:$I$40,0)),"—"))</f>
        <v/>
      </c>
      <c r="K1419" s="138" t="str">
        <f>IF(COUNTA(B1419:F1419)=0,"",IF(OR(B1419="",C1419="",D1419="",F1419=""),"▲ Completar","✔"))</f>
        <v/>
      </c>
    </row>
    <row r="1420">
      <c r="B1420" s="130" t="n"/>
      <c r="C1420" s="129" t="n"/>
      <c r="D1420" s="129" t="n"/>
      <c r="E1420" s="129" t="n"/>
      <c r="F1420" s="145" t="n"/>
      <c r="G1420" s="129" t="n"/>
      <c r="H1420" s="129" t="n"/>
      <c r="I1420" s="129" t="n"/>
      <c r="J1420" s="138" t="str">
        <f>IF(C1420&lt;&gt;"Despesa","",IFERROR(INDEX('Config'!$J$6:$J$40,MATCH(D1420,'Config'!$I$6:$I$40,0)),"—"))</f>
        <v/>
      </c>
      <c r="K1420" s="138" t="str">
        <f>IF(COUNTA(B1420:F1420)=0,"",IF(OR(B1420="",C1420="",D1420="",F1420=""),"▲ Completar","✔"))</f>
        <v/>
      </c>
    </row>
    <row r="1421">
      <c r="B1421" s="130" t="n"/>
      <c r="C1421" s="129" t="n"/>
      <c r="D1421" s="129" t="n"/>
      <c r="E1421" s="129" t="n"/>
      <c r="F1421" s="145" t="n"/>
      <c r="G1421" s="129" t="n"/>
      <c r="H1421" s="129" t="n"/>
      <c r="I1421" s="129" t="n"/>
      <c r="J1421" s="138" t="str">
        <f>IF(C1421&lt;&gt;"Despesa","",IFERROR(INDEX('Config'!$J$6:$J$40,MATCH(D1421,'Config'!$I$6:$I$40,0)),"—"))</f>
        <v/>
      </c>
      <c r="K1421" s="138" t="str">
        <f>IF(COUNTA(B1421:F1421)=0,"",IF(OR(B1421="",C1421="",D1421="",F1421=""),"▲ Completar","✔"))</f>
        <v/>
      </c>
    </row>
    <row r="1422">
      <c r="B1422" s="130" t="n"/>
      <c r="C1422" s="129" t="n"/>
      <c r="D1422" s="129" t="n"/>
      <c r="E1422" s="129" t="n"/>
      <c r="F1422" s="145" t="n"/>
      <c r="G1422" s="129" t="n"/>
      <c r="H1422" s="129" t="n"/>
      <c r="I1422" s="129" t="n"/>
      <c r="J1422" s="138" t="str">
        <f>IF(C1422&lt;&gt;"Despesa","",IFERROR(INDEX('Config'!$J$6:$J$40,MATCH(D1422,'Config'!$I$6:$I$40,0)),"—"))</f>
        <v/>
      </c>
      <c r="K1422" s="138" t="str">
        <f>IF(COUNTA(B1422:F1422)=0,"",IF(OR(B1422="",C1422="",D1422="",F1422=""),"▲ Completar","✔"))</f>
        <v/>
      </c>
    </row>
    <row r="1423">
      <c r="B1423" s="130" t="n"/>
      <c r="C1423" s="129" t="n"/>
      <c r="D1423" s="129" t="n"/>
      <c r="E1423" s="129" t="n"/>
      <c r="F1423" s="145" t="n"/>
      <c r="G1423" s="129" t="n"/>
      <c r="H1423" s="129" t="n"/>
      <c r="I1423" s="129" t="n"/>
      <c r="J1423" s="138" t="str">
        <f>IF(C1423&lt;&gt;"Despesa","",IFERROR(INDEX('Config'!$J$6:$J$40,MATCH(D1423,'Config'!$I$6:$I$40,0)),"—"))</f>
        <v/>
      </c>
      <c r="K1423" s="138" t="str">
        <f>IF(COUNTA(B1423:F1423)=0,"",IF(OR(B1423="",C1423="",D1423="",F1423=""),"▲ Completar","✔"))</f>
        <v/>
      </c>
    </row>
    <row r="1424">
      <c r="B1424" s="130" t="n"/>
      <c r="C1424" s="129" t="n"/>
      <c r="D1424" s="129" t="n"/>
      <c r="E1424" s="129" t="n"/>
      <c r="F1424" s="145" t="n"/>
      <c r="G1424" s="129" t="n"/>
      <c r="H1424" s="129" t="n"/>
      <c r="I1424" s="129" t="n"/>
      <c r="J1424" s="138" t="str">
        <f>IF(C1424&lt;&gt;"Despesa","",IFERROR(INDEX('Config'!$J$6:$J$40,MATCH(D1424,'Config'!$I$6:$I$40,0)),"—"))</f>
        <v/>
      </c>
      <c r="K1424" s="138" t="str">
        <f>IF(COUNTA(B1424:F1424)=0,"",IF(OR(B1424="",C1424="",D1424="",F1424=""),"▲ Completar","✔"))</f>
        <v/>
      </c>
    </row>
    <row r="1425">
      <c r="B1425" s="130" t="n"/>
      <c r="C1425" s="129" t="n"/>
      <c r="D1425" s="129" t="n"/>
      <c r="E1425" s="129" t="n"/>
      <c r="F1425" s="145" t="n"/>
      <c r="G1425" s="129" t="n"/>
      <c r="H1425" s="129" t="n"/>
      <c r="I1425" s="129" t="n"/>
      <c r="J1425" s="138" t="str">
        <f>IF(C1425&lt;&gt;"Despesa","",IFERROR(INDEX('Config'!$J$6:$J$40,MATCH(D1425,'Config'!$I$6:$I$40,0)),"—"))</f>
        <v/>
      </c>
      <c r="K1425" s="138" t="str">
        <f>IF(COUNTA(B1425:F1425)=0,"",IF(OR(B1425="",C1425="",D1425="",F1425=""),"▲ Completar","✔"))</f>
        <v/>
      </c>
    </row>
    <row r="1426">
      <c r="B1426" s="130" t="n"/>
      <c r="C1426" s="129" t="n"/>
      <c r="D1426" s="129" t="n"/>
      <c r="E1426" s="129" t="n"/>
      <c r="F1426" s="145" t="n"/>
      <c r="G1426" s="129" t="n"/>
      <c r="H1426" s="129" t="n"/>
      <c r="I1426" s="129" t="n"/>
      <c r="J1426" s="138" t="str">
        <f>IF(C1426&lt;&gt;"Despesa","",IFERROR(INDEX('Config'!$J$6:$J$40,MATCH(D1426,'Config'!$I$6:$I$40,0)),"—"))</f>
        <v/>
      </c>
      <c r="K1426" s="138" t="str">
        <f>IF(COUNTA(B1426:F1426)=0,"",IF(OR(B1426="",C1426="",D1426="",F1426=""),"▲ Completar","✔"))</f>
        <v/>
      </c>
    </row>
    <row r="1427">
      <c r="B1427" s="130" t="n"/>
      <c r="C1427" s="129" t="n"/>
      <c r="D1427" s="129" t="n"/>
      <c r="E1427" s="129" t="n"/>
      <c r="F1427" s="145" t="n"/>
      <c r="G1427" s="129" t="n"/>
      <c r="H1427" s="129" t="n"/>
      <c r="I1427" s="129" t="n"/>
      <c r="J1427" s="138" t="str">
        <f>IF(C1427&lt;&gt;"Despesa","",IFERROR(INDEX('Config'!$J$6:$J$40,MATCH(D1427,'Config'!$I$6:$I$40,0)),"—"))</f>
        <v/>
      </c>
      <c r="K1427" s="138" t="str">
        <f>IF(COUNTA(B1427:F1427)=0,"",IF(OR(B1427="",C1427="",D1427="",F1427=""),"▲ Completar","✔"))</f>
        <v/>
      </c>
    </row>
    <row r="1428">
      <c r="B1428" s="130" t="n"/>
      <c r="C1428" s="129" t="n"/>
      <c r="D1428" s="129" t="n"/>
      <c r="E1428" s="129" t="n"/>
      <c r="F1428" s="145" t="n"/>
      <c r="G1428" s="129" t="n"/>
      <c r="H1428" s="129" t="n"/>
      <c r="I1428" s="129" t="n"/>
      <c r="J1428" s="138" t="str">
        <f>IF(C1428&lt;&gt;"Despesa","",IFERROR(INDEX('Config'!$J$6:$J$40,MATCH(D1428,'Config'!$I$6:$I$40,0)),"—"))</f>
        <v/>
      </c>
      <c r="K1428" s="138" t="str">
        <f>IF(COUNTA(B1428:F1428)=0,"",IF(OR(B1428="",C1428="",D1428="",F1428=""),"▲ Completar","✔"))</f>
        <v/>
      </c>
    </row>
    <row r="1429">
      <c r="B1429" s="130" t="n"/>
      <c r="C1429" s="129" t="n"/>
      <c r="D1429" s="129" t="n"/>
      <c r="E1429" s="129" t="n"/>
      <c r="F1429" s="145" t="n"/>
      <c r="G1429" s="129" t="n"/>
      <c r="H1429" s="129" t="n"/>
      <c r="I1429" s="129" t="n"/>
      <c r="J1429" s="138" t="str">
        <f>IF(C1429&lt;&gt;"Despesa","",IFERROR(INDEX('Config'!$J$6:$J$40,MATCH(D1429,'Config'!$I$6:$I$40,0)),"—"))</f>
        <v/>
      </c>
      <c r="K1429" s="138" t="str">
        <f>IF(COUNTA(B1429:F1429)=0,"",IF(OR(B1429="",C1429="",D1429="",F1429=""),"▲ Completar","✔"))</f>
        <v/>
      </c>
    </row>
    <row r="1430">
      <c r="B1430" s="130" t="n"/>
      <c r="C1430" s="129" t="n"/>
      <c r="D1430" s="129" t="n"/>
      <c r="E1430" s="129" t="n"/>
      <c r="F1430" s="145" t="n"/>
      <c r="G1430" s="129" t="n"/>
      <c r="H1430" s="129" t="n"/>
      <c r="I1430" s="129" t="n"/>
      <c r="J1430" s="138" t="str">
        <f>IF(C1430&lt;&gt;"Despesa","",IFERROR(INDEX('Config'!$J$6:$J$40,MATCH(D1430,'Config'!$I$6:$I$40,0)),"—"))</f>
        <v/>
      </c>
      <c r="K1430" s="138" t="str">
        <f>IF(COUNTA(B1430:F1430)=0,"",IF(OR(B1430="",C1430="",D1430="",F1430=""),"▲ Completar","✔"))</f>
        <v/>
      </c>
    </row>
    <row r="1431">
      <c r="B1431" s="130" t="n"/>
      <c r="C1431" s="129" t="n"/>
      <c r="D1431" s="129" t="n"/>
      <c r="E1431" s="129" t="n"/>
      <c r="F1431" s="145" t="n"/>
      <c r="G1431" s="129" t="n"/>
      <c r="H1431" s="129" t="n"/>
      <c r="I1431" s="129" t="n"/>
      <c r="J1431" s="138" t="str">
        <f>IF(C1431&lt;&gt;"Despesa","",IFERROR(INDEX('Config'!$J$6:$J$40,MATCH(D1431,'Config'!$I$6:$I$40,0)),"—"))</f>
        <v/>
      </c>
      <c r="K1431" s="138" t="str">
        <f>IF(COUNTA(B1431:F1431)=0,"",IF(OR(B1431="",C1431="",D1431="",F1431=""),"▲ Completar","✔"))</f>
        <v/>
      </c>
    </row>
    <row r="1432">
      <c r="B1432" s="130" t="n"/>
      <c r="C1432" s="129" t="n"/>
      <c r="D1432" s="129" t="n"/>
      <c r="E1432" s="129" t="n"/>
      <c r="F1432" s="145" t="n"/>
      <c r="G1432" s="129" t="n"/>
      <c r="H1432" s="129" t="n"/>
      <c r="I1432" s="129" t="n"/>
      <c r="J1432" s="138" t="str">
        <f>IF(C1432&lt;&gt;"Despesa","",IFERROR(INDEX('Config'!$J$6:$J$40,MATCH(D1432,'Config'!$I$6:$I$40,0)),"—"))</f>
        <v/>
      </c>
      <c r="K1432" s="138" t="str">
        <f>IF(COUNTA(B1432:F1432)=0,"",IF(OR(B1432="",C1432="",D1432="",F1432=""),"▲ Completar","✔"))</f>
        <v/>
      </c>
    </row>
    <row r="1433">
      <c r="B1433" s="130" t="n"/>
      <c r="C1433" s="129" t="n"/>
      <c r="D1433" s="129" t="n"/>
      <c r="E1433" s="129" t="n"/>
      <c r="F1433" s="145" t="n"/>
      <c r="G1433" s="129" t="n"/>
      <c r="H1433" s="129" t="n"/>
      <c r="I1433" s="129" t="n"/>
      <c r="J1433" s="138" t="str">
        <f>IF(C1433&lt;&gt;"Despesa","",IFERROR(INDEX('Config'!$J$6:$J$40,MATCH(D1433,'Config'!$I$6:$I$40,0)),"—"))</f>
        <v/>
      </c>
      <c r="K1433" s="138" t="str">
        <f>IF(COUNTA(B1433:F1433)=0,"",IF(OR(B1433="",C1433="",D1433="",F1433=""),"▲ Completar","✔"))</f>
        <v/>
      </c>
    </row>
    <row r="1434">
      <c r="B1434" s="130" t="n"/>
      <c r="C1434" s="129" t="n"/>
      <c r="D1434" s="129" t="n"/>
      <c r="E1434" s="129" t="n"/>
      <c r="F1434" s="145" t="n"/>
      <c r="G1434" s="129" t="n"/>
      <c r="H1434" s="129" t="n"/>
      <c r="I1434" s="129" t="n"/>
      <c r="J1434" s="138" t="str">
        <f>IF(C1434&lt;&gt;"Despesa","",IFERROR(INDEX('Config'!$J$6:$J$40,MATCH(D1434,'Config'!$I$6:$I$40,0)),"—"))</f>
        <v/>
      </c>
      <c r="K1434" s="138" t="str">
        <f>IF(COUNTA(B1434:F1434)=0,"",IF(OR(B1434="",C1434="",D1434="",F1434=""),"▲ Completar","✔"))</f>
        <v/>
      </c>
    </row>
    <row r="1435">
      <c r="B1435" s="130" t="n"/>
      <c r="C1435" s="129" t="n"/>
      <c r="D1435" s="129" t="n"/>
      <c r="E1435" s="129" t="n"/>
      <c r="F1435" s="145" t="n"/>
      <c r="G1435" s="129" t="n"/>
      <c r="H1435" s="129" t="n"/>
      <c r="I1435" s="129" t="n"/>
      <c r="J1435" s="138" t="str">
        <f>IF(C1435&lt;&gt;"Despesa","",IFERROR(INDEX('Config'!$J$6:$J$40,MATCH(D1435,'Config'!$I$6:$I$40,0)),"—"))</f>
        <v/>
      </c>
      <c r="K1435" s="138" t="str">
        <f>IF(COUNTA(B1435:F1435)=0,"",IF(OR(B1435="",C1435="",D1435="",F1435=""),"▲ Completar","✔"))</f>
        <v/>
      </c>
    </row>
    <row r="1436">
      <c r="B1436" s="130" t="n"/>
      <c r="C1436" s="129" t="n"/>
      <c r="D1436" s="129" t="n"/>
      <c r="E1436" s="129" t="n"/>
      <c r="F1436" s="145" t="n"/>
      <c r="G1436" s="129" t="n"/>
      <c r="H1436" s="129" t="n"/>
      <c r="I1436" s="129" t="n"/>
      <c r="J1436" s="138" t="str">
        <f>IF(C1436&lt;&gt;"Despesa","",IFERROR(INDEX('Config'!$J$6:$J$40,MATCH(D1436,'Config'!$I$6:$I$40,0)),"—"))</f>
        <v/>
      </c>
      <c r="K1436" s="138" t="str">
        <f>IF(COUNTA(B1436:F1436)=0,"",IF(OR(B1436="",C1436="",D1436="",F1436=""),"▲ Completar","✔"))</f>
        <v/>
      </c>
    </row>
    <row r="1437">
      <c r="B1437" s="130" t="n"/>
      <c r="C1437" s="129" t="n"/>
      <c r="D1437" s="129" t="n"/>
      <c r="E1437" s="129" t="n"/>
      <c r="F1437" s="145" t="n"/>
      <c r="G1437" s="129" t="n"/>
      <c r="H1437" s="129" t="n"/>
      <c r="I1437" s="129" t="n"/>
      <c r="J1437" s="138" t="str">
        <f>IF(C1437&lt;&gt;"Despesa","",IFERROR(INDEX('Config'!$J$6:$J$40,MATCH(D1437,'Config'!$I$6:$I$40,0)),"—"))</f>
        <v/>
      </c>
      <c r="K1437" s="138" t="str">
        <f>IF(COUNTA(B1437:F1437)=0,"",IF(OR(B1437="",C1437="",D1437="",F1437=""),"▲ Completar","✔"))</f>
        <v/>
      </c>
    </row>
    <row r="1438">
      <c r="B1438" s="130" t="n"/>
      <c r="C1438" s="129" t="n"/>
      <c r="D1438" s="129" t="n"/>
      <c r="E1438" s="129" t="n"/>
      <c r="F1438" s="145" t="n"/>
      <c r="G1438" s="129" t="n"/>
      <c r="H1438" s="129" t="n"/>
      <c r="I1438" s="129" t="n"/>
      <c r="J1438" s="138" t="str">
        <f>IF(C1438&lt;&gt;"Despesa","",IFERROR(INDEX('Config'!$J$6:$J$40,MATCH(D1438,'Config'!$I$6:$I$40,0)),"—"))</f>
        <v/>
      </c>
      <c r="K1438" s="138" t="str">
        <f>IF(COUNTA(B1438:F1438)=0,"",IF(OR(B1438="",C1438="",D1438="",F1438=""),"▲ Completar","✔"))</f>
        <v/>
      </c>
    </row>
    <row r="1439">
      <c r="B1439" s="130" t="n"/>
      <c r="C1439" s="129" t="n"/>
      <c r="D1439" s="129" t="n"/>
      <c r="E1439" s="129" t="n"/>
      <c r="F1439" s="145" t="n"/>
      <c r="G1439" s="129" t="n"/>
      <c r="H1439" s="129" t="n"/>
      <c r="I1439" s="129" t="n"/>
      <c r="J1439" s="138" t="str">
        <f>IF(C1439&lt;&gt;"Despesa","",IFERROR(INDEX('Config'!$J$6:$J$40,MATCH(D1439,'Config'!$I$6:$I$40,0)),"—"))</f>
        <v/>
      </c>
      <c r="K1439" s="138" t="str">
        <f>IF(COUNTA(B1439:F1439)=0,"",IF(OR(B1439="",C1439="",D1439="",F1439=""),"▲ Completar","✔"))</f>
        <v/>
      </c>
    </row>
    <row r="1440">
      <c r="B1440" s="130" t="n"/>
      <c r="C1440" s="129" t="n"/>
      <c r="D1440" s="129" t="n"/>
      <c r="E1440" s="129" t="n"/>
      <c r="F1440" s="145" t="n"/>
      <c r="G1440" s="129" t="n"/>
      <c r="H1440" s="129" t="n"/>
      <c r="I1440" s="129" t="n"/>
      <c r="J1440" s="138" t="str">
        <f>IF(C1440&lt;&gt;"Despesa","",IFERROR(INDEX('Config'!$J$6:$J$40,MATCH(D1440,'Config'!$I$6:$I$40,0)),"—"))</f>
        <v/>
      </c>
      <c r="K1440" s="138" t="str">
        <f>IF(COUNTA(B1440:F1440)=0,"",IF(OR(B1440="",C1440="",D1440="",F1440=""),"▲ Completar","✔"))</f>
        <v/>
      </c>
    </row>
    <row r="1441">
      <c r="B1441" s="130" t="n"/>
      <c r="C1441" s="129" t="n"/>
      <c r="D1441" s="129" t="n"/>
      <c r="E1441" s="129" t="n"/>
      <c r="F1441" s="145" t="n"/>
      <c r="G1441" s="129" t="n"/>
      <c r="H1441" s="129" t="n"/>
      <c r="I1441" s="129" t="n"/>
      <c r="J1441" s="138" t="str">
        <f>IF(C1441&lt;&gt;"Despesa","",IFERROR(INDEX('Config'!$J$6:$J$40,MATCH(D1441,'Config'!$I$6:$I$40,0)),"—"))</f>
        <v/>
      </c>
      <c r="K1441" s="138" t="str">
        <f>IF(COUNTA(B1441:F1441)=0,"",IF(OR(B1441="",C1441="",D1441="",F1441=""),"▲ Completar","✔"))</f>
        <v/>
      </c>
    </row>
    <row r="1442">
      <c r="B1442" s="130" t="n"/>
      <c r="C1442" s="129" t="n"/>
      <c r="D1442" s="129" t="n"/>
      <c r="E1442" s="129" t="n"/>
      <c r="F1442" s="145" t="n"/>
      <c r="G1442" s="129" t="n"/>
      <c r="H1442" s="129" t="n"/>
      <c r="I1442" s="129" t="n"/>
      <c r="J1442" s="138" t="str">
        <f>IF(C1442&lt;&gt;"Despesa","",IFERROR(INDEX('Config'!$J$6:$J$40,MATCH(D1442,'Config'!$I$6:$I$40,0)),"—"))</f>
        <v/>
      </c>
      <c r="K1442" s="138" t="str">
        <f>IF(COUNTA(B1442:F1442)=0,"",IF(OR(B1442="",C1442="",D1442="",F1442=""),"▲ Completar","✔"))</f>
        <v/>
      </c>
    </row>
    <row r="1443">
      <c r="B1443" s="130" t="n"/>
      <c r="C1443" s="129" t="n"/>
      <c r="D1443" s="129" t="n"/>
      <c r="E1443" s="129" t="n"/>
      <c r="F1443" s="145" t="n"/>
      <c r="G1443" s="129" t="n"/>
      <c r="H1443" s="129" t="n"/>
      <c r="I1443" s="129" t="n"/>
      <c r="J1443" s="138" t="str">
        <f>IF(C1443&lt;&gt;"Despesa","",IFERROR(INDEX('Config'!$J$6:$J$40,MATCH(D1443,'Config'!$I$6:$I$40,0)),"—"))</f>
        <v/>
      </c>
      <c r="K1443" s="138" t="str">
        <f>IF(COUNTA(B1443:F1443)=0,"",IF(OR(B1443="",C1443="",D1443="",F1443=""),"▲ Completar","✔"))</f>
        <v/>
      </c>
    </row>
    <row r="1444">
      <c r="B1444" s="130" t="n"/>
      <c r="C1444" s="129" t="n"/>
      <c r="D1444" s="129" t="n"/>
      <c r="E1444" s="129" t="n"/>
      <c r="F1444" s="145" t="n"/>
      <c r="G1444" s="129" t="n"/>
      <c r="H1444" s="129" t="n"/>
      <c r="I1444" s="129" t="n"/>
      <c r="J1444" s="138" t="str">
        <f>IF(C1444&lt;&gt;"Despesa","",IFERROR(INDEX('Config'!$J$6:$J$40,MATCH(D1444,'Config'!$I$6:$I$40,0)),"—"))</f>
        <v/>
      </c>
      <c r="K1444" s="138" t="str">
        <f>IF(COUNTA(B1444:F1444)=0,"",IF(OR(B1444="",C1444="",D1444="",F1444=""),"▲ Completar","✔"))</f>
        <v/>
      </c>
    </row>
    <row r="1445">
      <c r="B1445" s="130" t="n"/>
      <c r="C1445" s="129" t="n"/>
      <c r="D1445" s="129" t="n"/>
      <c r="E1445" s="129" t="n"/>
      <c r="F1445" s="145" t="n"/>
      <c r="G1445" s="129" t="n"/>
      <c r="H1445" s="129" t="n"/>
      <c r="I1445" s="129" t="n"/>
      <c r="J1445" s="138" t="str">
        <f>IF(C1445&lt;&gt;"Despesa","",IFERROR(INDEX('Config'!$J$6:$J$40,MATCH(D1445,'Config'!$I$6:$I$40,0)),"—"))</f>
        <v/>
      </c>
      <c r="K1445" s="138" t="str">
        <f>IF(COUNTA(B1445:F1445)=0,"",IF(OR(B1445="",C1445="",D1445="",F1445=""),"▲ Completar","✔"))</f>
        <v/>
      </c>
    </row>
    <row r="1446">
      <c r="B1446" s="130" t="n"/>
      <c r="C1446" s="129" t="n"/>
      <c r="D1446" s="129" t="n"/>
      <c r="E1446" s="129" t="n"/>
      <c r="F1446" s="145" t="n"/>
      <c r="G1446" s="129" t="n"/>
      <c r="H1446" s="129" t="n"/>
      <c r="I1446" s="129" t="n"/>
      <c r="J1446" s="138" t="str">
        <f>IF(C1446&lt;&gt;"Despesa","",IFERROR(INDEX('Config'!$J$6:$J$40,MATCH(D1446,'Config'!$I$6:$I$40,0)),"—"))</f>
        <v/>
      </c>
      <c r="K1446" s="138" t="str">
        <f>IF(COUNTA(B1446:F1446)=0,"",IF(OR(B1446="",C1446="",D1446="",F1446=""),"▲ Completar","✔"))</f>
        <v/>
      </c>
    </row>
    <row r="1447">
      <c r="B1447" s="130" t="n"/>
      <c r="C1447" s="129" t="n"/>
      <c r="D1447" s="129" t="n"/>
      <c r="E1447" s="129" t="n"/>
      <c r="F1447" s="145" t="n"/>
      <c r="G1447" s="129" t="n"/>
      <c r="H1447" s="129" t="n"/>
      <c r="I1447" s="129" t="n"/>
      <c r="J1447" s="138" t="str">
        <f>IF(C1447&lt;&gt;"Despesa","",IFERROR(INDEX('Config'!$J$6:$J$40,MATCH(D1447,'Config'!$I$6:$I$40,0)),"—"))</f>
        <v/>
      </c>
      <c r="K1447" s="138" t="str">
        <f>IF(COUNTA(B1447:F1447)=0,"",IF(OR(B1447="",C1447="",D1447="",F1447=""),"▲ Completar","✔"))</f>
        <v/>
      </c>
    </row>
    <row r="1448">
      <c r="B1448" s="130" t="n"/>
      <c r="C1448" s="129" t="n"/>
      <c r="D1448" s="129" t="n"/>
      <c r="E1448" s="129" t="n"/>
      <c r="F1448" s="145" t="n"/>
      <c r="G1448" s="129" t="n"/>
      <c r="H1448" s="129" t="n"/>
      <c r="I1448" s="129" t="n"/>
      <c r="J1448" s="138" t="str">
        <f>IF(C1448&lt;&gt;"Despesa","",IFERROR(INDEX('Config'!$J$6:$J$40,MATCH(D1448,'Config'!$I$6:$I$40,0)),"—"))</f>
        <v/>
      </c>
      <c r="K1448" s="138" t="str">
        <f>IF(COUNTA(B1448:F1448)=0,"",IF(OR(B1448="",C1448="",D1448="",F1448=""),"▲ Completar","✔"))</f>
        <v/>
      </c>
    </row>
    <row r="1449">
      <c r="B1449" s="130" t="n"/>
      <c r="C1449" s="129" t="n"/>
      <c r="D1449" s="129" t="n"/>
      <c r="E1449" s="129" t="n"/>
      <c r="F1449" s="145" t="n"/>
      <c r="G1449" s="129" t="n"/>
      <c r="H1449" s="129" t="n"/>
      <c r="I1449" s="129" t="n"/>
      <c r="J1449" s="138" t="str">
        <f>IF(C1449&lt;&gt;"Despesa","",IFERROR(INDEX('Config'!$J$6:$J$40,MATCH(D1449,'Config'!$I$6:$I$40,0)),"—"))</f>
        <v/>
      </c>
      <c r="K1449" s="138" t="str">
        <f>IF(COUNTA(B1449:F1449)=0,"",IF(OR(B1449="",C1449="",D1449="",F1449=""),"▲ Completar","✔"))</f>
        <v/>
      </c>
    </row>
    <row r="1450">
      <c r="B1450" s="130" t="n"/>
      <c r="C1450" s="129" t="n"/>
      <c r="D1450" s="129" t="n"/>
      <c r="E1450" s="129" t="n"/>
      <c r="F1450" s="145" t="n"/>
      <c r="G1450" s="129" t="n"/>
      <c r="H1450" s="129" t="n"/>
      <c r="I1450" s="129" t="n"/>
      <c r="J1450" s="138" t="str">
        <f>IF(C1450&lt;&gt;"Despesa","",IFERROR(INDEX('Config'!$J$6:$J$40,MATCH(D1450,'Config'!$I$6:$I$40,0)),"—"))</f>
        <v/>
      </c>
      <c r="K1450" s="138" t="str">
        <f>IF(COUNTA(B1450:F1450)=0,"",IF(OR(B1450="",C1450="",D1450="",F1450=""),"▲ Completar","✔"))</f>
        <v/>
      </c>
    </row>
    <row r="1451">
      <c r="B1451" s="130" t="n"/>
      <c r="C1451" s="129" t="n"/>
      <c r="D1451" s="129" t="n"/>
      <c r="E1451" s="129" t="n"/>
      <c r="F1451" s="145" t="n"/>
      <c r="G1451" s="129" t="n"/>
      <c r="H1451" s="129" t="n"/>
      <c r="I1451" s="129" t="n"/>
      <c r="J1451" s="138" t="str">
        <f>IF(C1451&lt;&gt;"Despesa","",IFERROR(INDEX('Config'!$J$6:$J$40,MATCH(D1451,'Config'!$I$6:$I$40,0)),"—"))</f>
        <v/>
      </c>
      <c r="K1451" s="138" t="str">
        <f>IF(COUNTA(B1451:F1451)=0,"",IF(OR(B1451="",C1451="",D1451="",F1451=""),"▲ Completar","✔"))</f>
        <v/>
      </c>
    </row>
    <row r="1452">
      <c r="B1452" s="130" t="n"/>
      <c r="C1452" s="129" t="n"/>
      <c r="D1452" s="129" t="n"/>
      <c r="E1452" s="129" t="n"/>
      <c r="F1452" s="145" t="n"/>
      <c r="G1452" s="129" t="n"/>
      <c r="H1452" s="129" t="n"/>
      <c r="I1452" s="129" t="n"/>
      <c r="J1452" s="138" t="str">
        <f>IF(C1452&lt;&gt;"Despesa","",IFERROR(INDEX('Config'!$J$6:$J$40,MATCH(D1452,'Config'!$I$6:$I$40,0)),"—"))</f>
        <v/>
      </c>
      <c r="K1452" s="138" t="str">
        <f>IF(COUNTA(B1452:F1452)=0,"",IF(OR(B1452="",C1452="",D1452="",F1452=""),"▲ Completar","✔"))</f>
        <v/>
      </c>
    </row>
    <row r="1453">
      <c r="B1453" s="130" t="n"/>
      <c r="C1453" s="129" t="n"/>
      <c r="D1453" s="129" t="n"/>
      <c r="E1453" s="129" t="n"/>
      <c r="F1453" s="145" t="n"/>
      <c r="G1453" s="129" t="n"/>
      <c r="H1453" s="129" t="n"/>
      <c r="I1453" s="129" t="n"/>
      <c r="J1453" s="138" t="str">
        <f>IF(C1453&lt;&gt;"Despesa","",IFERROR(INDEX('Config'!$J$6:$J$40,MATCH(D1453,'Config'!$I$6:$I$40,0)),"—"))</f>
        <v/>
      </c>
      <c r="K1453" s="138" t="str">
        <f>IF(COUNTA(B1453:F1453)=0,"",IF(OR(B1453="",C1453="",D1453="",F1453=""),"▲ Completar","✔"))</f>
        <v/>
      </c>
    </row>
    <row r="1454">
      <c r="B1454" s="130" t="n"/>
      <c r="C1454" s="129" t="n"/>
      <c r="D1454" s="129" t="n"/>
      <c r="E1454" s="129" t="n"/>
      <c r="F1454" s="145" t="n"/>
      <c r="G1454" s="129" t="n"/>
      <c r="H1454" s="129" t="n"/>
      <c r="I1454" s="129" t="n"/>
      <c r="J1454" s="138" t="str">
        <f>IF(C1454&lt;&gt;"Despesa","",IFERROR(INDEX('Config'!$J$6:$J$40,MATCH(D1454,'Config'!$I$6:$I$40,0)),"—"))</f>
        <v/>
      </c>
      <c r="K1454" s="138" t="str">
        <f>IF(COUNTA(B1454:F1454)=0,"",IF(OR(B1454="",C1454="",D1454="",F1454=""),"▲ Completar","✔"))</f>
        <v/>
      </c>
    </row>
    <row r="1455">
      <c r="B1455" s="130" t="n"/>
      <c r="C1455" s="129" t="n"/>
      <c r="D1455" s="129" t="n"/>
      <c r="E1455" s="129" t="n"/>
      <c r="F1455" s="145" t="n"/>
      <c r="G1455" s="129" t="n"/>
      <c r="H1455" s="129" t="n"/>
      <c r="I1455" s="129" t="n"/>
      <c r="J1455" s="138" t="str">
        <f>IF(C1455&lt;&gt;"Despesa","",IFERROR(INDEX('Config'!$J$6:$J$40,MATCH(D1455,'Config'!$I$6:$I$40,0)),"—"))</f>
        <v/>
      </c>
      <c r="K1455" s="138" t="str">
        <f>IF(COUNTA(B1455:F1455)=0,"",IF(OR(B1455="",C1455="",D1455="",F1455=""),"▲ Completar","✔"))</f>
        <v/>
      </c>
    </row>
    <row r="1456">
      <c r="B1456" s="130" t="n"/>
      <c r="C1456" s="129" t="n"/>
      <c r="D1456" s="129" t="n"/>
      <c r="E1456" s="129" t="n"/>
      <c r="F1456" s="145" t="n"/>
      <c r="G1456" s="129" t="n"/>
      <c r="H1456" s="129" t="n"/>
      <c r="I1456" s="129" t="n"/>
      <c r="J1456" s="138" t="str">
        <f>IF(C1456&lt;&gt;"Despesa","",IFERROR(INDEX('Config'!$J$6:$J$40,MATCH(D1456,'Config'!$I$6:$I$40,0)),"—"))</f>
        <v/>
      </c>
      <c r="K1456" s="138" t="str">
        <f>IF(COUNTA(B1456:F1456)=0,"",IF(OR(B1456="",C1456="",D1456="",F1456=""),"▲ Completar","✔"))</f>
        <v/>
      </c>
    </row>
    <row r="1457">
      <c r="B1457" s="130" t="n"/>
      <c r="C1457" s="129" t="n"/>
      <c r="D1457" s="129" t="n"/>
      <c r="E1457" s="129" t="n"/>
      <c r="F1457" s="145" t="n"/>
      <c r="G1457" s="129" t="n"/>
      <c r="H1457" s="129" t="n"/>
      <c r="I1457" s="129" t="n"/>
      <c r="J1457" s="138" t="str">
        <f>IF(C1457&lt;&gt;"Despesa","",IFERROR(INDEX('Config'!$J$6:$J$40,MATCH(D1457,'Config'!$I$6:$I$40,0)),"—"))</f>
        <v/>
      </c>
      <c r="K1457" s="138" t="str">
        <f>IF(COUNTA(B1457:F1457)=0,"",IF(OR(B1457="",C1457="",D1457="",F1457=""),"▲ Completar","✔"))</f>
        <v/>
      </c>
    </row>
    <row r="1458">
      <c r="B1458" s="130" t="n"/>
      <c r="C1458" s="129" t="n"/>
      <c r="D1458" s="129" t="n"/>
      <c r="E1458" s="129" t="n"/>
      <c r="F1458" s="145" t="n"/>
      <c r="G1458" s="129" t="n"/>
      <c r="H1458" s="129" t="n"/>
      <c r="I1458" s="129" t="n"/>
      <c r="J1458" s="138" t="str">
        <f>IF(C1458&lt;&gt;"Despesa","",IFERROR(INDEX('Config'!$J$6:$J$40,MATCH(D1458,'Config'!$I$6:$I$40,0)),"—"))</f>
        <v/>
      </c>
      <c r="K1458" s="138" t="str">
        <f>IF(COUNTA(B1458:F1458)=0,"",IF(OR(B1458="",C1458="",D1458="",F1458=""),"▲ Completar","✔"))</f>
        <v/>
      </c>
    </row>
    <row r="1459">
      <c r="B1459" s="130" t="n"/>
      <c r="C1459" s="129" t="n"/>
      <c r="D1459" s="129" t="n"/>
      <c r="E1459" s="129" t="n"/>
      <c r="F1459" s="145" t="n"/>
      <c r="G1459" s="129" t="n"/>
      <c r="H1459" s="129" t="n"/>
      <c r="I1459" s="129" t="n"/>
      <c r="J1459" s="138" t="str">
        <f>IF(C1459&lt;&gt;"Despesa","",IFERROR(INDEX('Config'!$J$6:$J$40,MATCH(D1459,'Config'!$I$6:$I$40,0)),"—"))</f>
        <v/>
      </c>
      <c r="K1459" s="138" t="str">
        <f>IF(COUNTA(B1459:F1459)=0,"",IF(OR(B1459="",C1459="",D1459="",F1459=""),"▲ Completar","✔"))</f>
        <v/>
      </c>
    </row>
    <row r="1460">
      <c r="B1460" s="130" t="n"/>
      <c r="C1460" s="129" t="n"/>
      <c r="D1460" s="129" t="n"/>
      <c r="E1460" s="129" t="n"/>
      <c r="F1460" s="145" t="n"/>
      <c r="G1460" s="129" t="n"/>
      <c r="H1460" s="129" t="n"/>
      <c r="I1460" s="129" t="n"/>
      <c r="J1460" s="138" t="str">
        <f>IF(C1460&lt;&gt;"Despesa","",IFERROR(INDEX('Config'!$J$6:$J$40,MATCH(D1460,'Config'!$I$6:$I$40,0)),"—"))</f>
        <v/>
      </c>
      <c r="K1460" s="138" t="str">
        <f>IF(COUNTA(B1460:F1460)=0,"",IF(OR(B1460="",C1460="",D1460="",F1460=""),"▲ Completar","✔"))</f>
        <v/>
      </c>
    </row>
    <row r="1461">
      <c r="B1461" s="130" t="n"/>
      <c r="C1461" s="129" t="n"/>
      <c r="D1461" s="129" t="n"/>
      <c r="E1461" s="129" t="n"/>
      <c r="F1461" s="145" t="n"/>
      <c r="G1461" s="129" t="n"/>
      <c r="H1461" s="129" t="n"/>
      <c r="I1461" s="129" t="n"/>
      <c r="J1461" s="138" t="str">
        <f>IF(C1461&lt;&gt;"Despesa","",IFERROR(INDEX('Config'!$J$6:$J$40,MATCH(D1461,'Config'!$I$6:$I$40,0)),"—"))</f>
        <v/>
      </c>
      <c r="K1461" s="138" t="str">
        <f>IF(COUNTA(B1461:F1461)=0,"",IF(OR(B1461="",C1461="",D1461="",F1461=""),"▲ Completar","✔"))</f>
        <v/>
      </c>
    </row>
    <row r="1462">
      <c r="B1462" s="130" t="n"/>
      <c r="C1462" s="129" t="n"/>
      <c r="D1462" s="129" t="n"/>
      <c r="E1462" s="129" t="n"/>
      <c r="F1462" s="145" t="n"/>
      <c r="G1462" s="129" t="n"/>
      <c r="H1462" s="129" t="n"/>
      <c r="I1462" s="129" t="n"/>
      <c r="J1462" s="138" t="str">
        <f>IF(C1462&lt;&gt;"Despesa","",IFERROR(INDEX('Config'!$J$6:$J$40,MATCH(D1462,'Config'!$I$6:$I$40,0)),"—"))</f>
        <v/>
      </c>
      <c r="K1462" s="138" t="str">
        <f>IF(COUNTA(B1462:F1462)=0,"",IF(OR(B1462="",C1462="",D1462="",F1462=""),"▲ Completar","✔"))</f>
        <v/>
      </c>
    </row>
    <row r="1463">
      <c r="B1463" s="130" t="n"/>
      <c r="C1463" s="129" t="n"/>
      <c r="D1463" s="129" t="n"/>
      <c r="E1463" s="129" t="n"/>
      <c r="F1463" s="145" t="n"/>
      <c r="G1463" s="129" t="n"/>
      <c r="H1463" s="129" t="n"/>
      <c r="I1463" s="129" t="n"/>
      <c r="J1463" s="138" t="str">
        <f>IF(C1463&lt;&gt;"Despesa","",IFERROR(INDEX('Config'!$J$6:$J$40,MATCH(D1463,'Config'!$I$6:$I$40,0)),"—"))</f>
        <v/>
      </c>
      <c r="K1463" s="138" t="str">
        <f>IF(COUNTA(B1463:F1463)=0,"",IF(OR(B1463="",C1463="",D1463="",F1463=""),"▲ Completar","✔"))</f>
        <v/>
      </c>
    </row>
    <row r="1464">
      <c r="B1464" s="130" t="n"/>
      <c r="C1464" s="129" t="n"/>
      <c r="D1464" s="129" t="n"/>
      <c r="E1464" s="129" t="n"/>
      <c r="F1464" s="145" t="n"/>
      <c r="G1464" s="129" t="n"/>
      <c r="H1464" s="129" t="n"/>
      <c r="I1464" s="129" t="n"/>
      <c r="J1464" s="138" t="str">
        <f>IF(C1464&lt;&gt;"Despesa","",IFERROR(INDEX('Config'!$J$6:$J$40,MATCH(D1464,'Config'!$I$6:$I$40,0)),"—"))</f>
        <v/>
      </c>
      <c r="K1464" s="138" t="str">
        <f>IF(COUNTA(B1464:F1464)=0,"",IF(OR(B1464="",C1464="",D1464="",F1464=""),"▲ Completar","✔"))</f>
        <v/>
      </c>
    </row>
    <row r="1465">
      <c r="B1465" s="130" t="n"/>
      <c r="C1465" s="129" t="n"/>
      <c r="D1465" s="129" t="n"/>
      <c r="E1465" s="129" t="n"/>
      <c r="F1465" s="145" t="n"/>
      <c r="G1465" s="129" t="n"/>
      <c r="H1465" s="129" t="n"/>
      <c r="I1465" s="129" t="n"/>
      <c r="J1465" s="138" t="str">
        <f>IF(C1465&lt;&gt;"Despesa","",IFERROR(INDEX('Config'!$J$6:$J$40,MATCH(D1465,'Config'!$I$6:$I$40,0)),"—"))</f>
        <v/>
      </c>
      <c r="K1465" s="138" t="str">
        <f>IF(COUNTA(B1465:F1465)=0,"",IF(OR(B1465="",C1465="",D1465="",F1465=""),"▲ Completar","✔"))</f>
        <v/>
      </c>
    </row>
    <row r="1466">
      <c r="B1466" s="130" t="n"/>
      <c r="C1466" s="129" t="n"/>
      <c r="D1466" s="129" t="n"/>
      <c r="E1466" s="129" t="n"/>
      <c r="F1466" s="145" t="n"/>
      <c r="G1466" s="129" t="n"/>
      <c r="H1466" s="129" t="n"/>
      <c r="I1466" s="129" t="n"/>
      <c r="J1466" s="138" t="str">
        <f>IF(C1466&lt;&gt;"Despesa","",IFERROR(INDEX('Config'!$J$6:$J$40,MATCH(D1466,'Config'!$I$6:$I$40,0)),"—"))</f>
        <v/>
      </c>
      <c r="K1466" s="138" t="str">
        <f>IF(COUNTA(B1466:F1466)=0,"",IF(OR(B1466="",C1466="",D1466="",F1466=""),"▲ Completar","✔"))</f>
        <v/>
      </c>
    </row>
    <row r="1467">
      <c r="B1467" s="130" t="n"/>
      <c r="C1467" s="129" t="n"/>
      <c r="D1467" s="129" t="n"/>
      <c r="E1467" s="129" t="n"/>
      <c r="F1467" s="145" t="n"/>
      <c r="G1467" s="129" t="n"/>
      <c r="H1467" s="129" t="n"/>
      <c r="I1467" s="129" t="n"/>
      <c r="J1467" s="138" t="str">
        <f>IF(C1467&lt;&gt;"Despesa","",IFERROR(INDEX('Config'!$J$6:$J$40,MATCH(D1467,'Config'!$I$6:$I$40,0)),"—"))</f>
        <v/>
      </c>
      <c r="K1467" s="138" t="str">
        <f>IF(COUNTA(B1467:F1467)=0,"",IF(OR(B1467="",C1467="",D1467="",F1467=""),"▲ Completar","✔"))</f>
        <v/>
      </c>
    </row>
    <row r="1468">
      <c r="B1468" s="130" t="n"/>
      <c r="C1468" s="129" t="n"/>
      <c r="D1468" s="129" t="n"/>
      <c r="E1468" s="129" t="n"/>
      <c r="F1468" s="145" t="n"/>
      <c r="G1468" s="129" t="n"/>
      <c r="H1468" s="129" t="n"/>
      <c r="I1468" s="129" t="n"/>
      <c r="J1468" s="138" t="str">
        <f>IF(C1468&lt;&gt;"Despesa","",IFERROR(INDEX('Config'!$J$6:$J$40,MATCH(D1468,'Config'!$I$6:$I$40,0)),"—"))</f>
        <v/>
      </c>
      <c r="K1468" s="138" t="str">
        <f>IF(COUNTA(B1468:F1468)=0,"",IF(OR(B1468="",C1468="",D1468="",F1468=""),"▲ Completar","✔"))</f>
        <v/>
      </c>
    </row>
    <row r="1469">
      <c r="B1469" s="130" t="n"/>
      <c r="C1469" s="129" t="n"/>
      <c r="D1469" s="129" t="n"/>
      <c r="E1469" s="129" t="n"/>
      <c r="F1469" s="145" t="n"/>
      <c r="G1469" s="129" t="n"/>
      <c r="H1469" s="129" t="n"/>
      <c r="I1469" s="129" t="n"/>
      <c r="J1469" s="138" t="str">
        <f>IF(C1469&lt;&gt;"Despesa","",IFERROR(INDEX('Config'!$J$6:$J$40,MATCH(D1469,'Config'!$I$6:$I$40,0)),"—"))</f>
        <v/>
      </c>
      <c r="K1469" s="138" t="str">
        <f>IF(COUNTA(B1469:F1469)=0,"",IF(OR(B1469="",C1469="",D1469="",F1469=""),"▲ Completar","✔"))</f>
        <v/>
      </c>
    </row>
    <row r="1470">
      <c r="B1470" s="130" t="n"/>
      <c r="C1470" s="129" t="n"/>
      <c r="D1470" s="129" t="n"/>
      <c r="E1470" s="129" t="n"/>
      <c r="F1470" s="145" t="n"/>
      <c r="G1470" s="129" t="n"/>
      <c r="H1470" s="129" t="n"/>
      <c r="I1470" s="129" t="n"/>
      <c r="J1470" s="138" t="str">
        <f>IF(C1470&lt;&gt;"Despesa","",IFERROR(INDEX('Config'!$J$6:$J$40,MATCH(D1470,'Config'!$I$6:$I$40,0)),"—"))</f>
        <v/>
      </c>
      <c r="K1470" s="138" t="str">
        <f>IF(COUNTA(B1470:F1470)=0,"",IF(OR(B1470="",C1470="",D1470="",F1470=""),"▲ Completar","✔"))</f>
        <v/>
      </c>
    </row>
    <row r="1471">
      <c r="B1471" s="130" t="n"/>
      <c r="C1471" s="129" t="n"/>
      <c r="D1471" s="129" t="n"/>
      <c r="E1471" s="129" t="n"/>
      <c r="F1471" s="145" t="n"/>
      <c r="G1471" s="129" t="n"/>
      <c r="H1471" s="129" t="n"/>
      <c r="I1471" s="129" t="n"/>
      <c r="J1471" s="138" t="str">
        <f>IF(C1471&lt;&gt;"Despesa","",IFERROR(INDEX('Config'!$J$6:$J$40,MATCH(D1471,'Config'!$I$6:$I$40,0)),"—"))</f>
        <v/>
      </c>
      <c r="K1471" s="138" t="str">
        <f>IF(COUNTA(B1471:F1471)=0,"",IF(OR(B1471="",C1471="",D1471="",F1471=""),"▲ Completar","✔"))</f>
        <v/>
      </c>
    </row>
    <row r="1472">
      <c r="B1472" s="130" t="n"/>
      <c r="C1472" s="129" t="n"/>
      <c r="D1472" s="129" t="n"/>
      <c r="E1472" s="129" t="n"/>
      <c r="F1472" s="145" t="n"/>
      <c r="G1472" s="129" t="n"/>
      <c r="H1472" s="129" t="n"/>
      <c r="I1472" s="129" t="n"/>
      <c r="J1472" s="138" t="str">
        <f>IF(C1472&lt;&gt;"Despesa","",IFERROR(INDEX('Config'!$J$6:$J$40,MATCH(D1472,'Config'!$I$6:$I$40,0)),"—"))</f>
        <v/>
      </c>
      <c r="K1472" s="138" t="str">
        <f>IF(COUNTA(B1472:F1472)=0,"",IF(OR(B1472="",C1472="",D1472="",F1472=""),"▲ Completar","✔"))</f>
        <v/>
      </c>
    </row>
    <row r="1473">
      <c r="B1473" s="130" t="n"/>
      <c r="C1473" s="129" t="n"/>
      <c r="D1473" s="129" t="n"/>
      <c r="E1473" s="129" t="n"/>
      <c r="F1473" s="145" t="n"/>
      <c r="G1473" s="129" t="n"/>
      <c r="H1473" s="129" t="n"/>
      <c r="I1473" s="129" t="n"/>
      <c r="J1473" s="138" t="str">
        <f>IF(C1473&lt;&gt;"Despesa","",IFERROR(INDEX('Config'!$J$6:$J$40,MATCH(D1473,'Config'!$I$6:$I$40,0)),"—"))</f>
        <v/>
      </c>
      <c r="K1473" s="138" t="str">
        <f>IF(COUNTA(B1473:F1473)=0,"",IF(OR(B1473="",C1473="",D1473="",F1473=""),"▲ Completar","✔"))</f>
        <v/>
      </c>
    </row>
    <row r="1474">
      <c r="B1474" s="130" t="n"/>
      <c r="C1474" s="129" t="n"/>
      <c r="D1474" s="129" t="n"/>
      <c r="E1474" s="129" t="n"/>
      <c r="F1474" s="145" t="n"/>
      <c r="G1474" s="129" t="n"/>
      <c r="H1474" s="129" t="n"/>
      <c r="I1474" s="129" t="n"/>
      <c r="J1474" s="138" t="str">
        <f>IF(C1474&lt;&gt;"Despesa","",IFERROR(INDEX('Config'!$J$6:$J$40,MATCH(D1474,'Config'!$I$6:$I$40,0)),"—"))</f>
        <v/>
      </c>
      <c r="K1474" s="138" t="str">
        <f>IF(COUNTA(B1474:F1474)=0,"",IF(OR(B1474="",C1474="",D1474="",F1474=""),"▲ Completar","✔"))</f>
        <v/>
      </c>
    </row>
    <row r="1475">
      <c r="B1475" s="130" t="n"/>
      <c r="C1475" s="129" t="n"/>
      <c r="D1475" s="129" t="n"/>
      <c r="E1475" s="129" t="n"/>
      <c r="F1475" s="145" t="n"/>
      <c r="G1475" s="129" t="n"/>
      <c r="H1475" s="129" t="n"/>
      <c r="I1475" s="129" t="n"/>
      <c r="J1475" s="138" t="str">
        <f>IF(C1475&lt;&gt;"Despesa","",IFERROR(INDEX('Config'!$J$6:$J$40,MATCH(D1475,'Config'!$I$6:$I$40,0)),"—"))</f>
        <v/>
      </c>
      <c r="K1475" s="138" t="str">
        <f>IF(COUNTA(B1475:F1475)=0,"",IF(OR(B1475="",C1475="",D1475="",F1475=""),"▲ Completar","✔"))</f>
        <v/>
      </c>
    </row>
    <row r="1476">
      <c r="B1476" s="130" t="n"/>
      <c r="C1476" s="129" t="n"/>
      <c r="D1476" s="129" t="n"/>
      <c r="E1476" s="129" t="n"/>
      <c r="F1476" s="145" t="n"/>
      <c r="G1476" s="129" t="n"/>
      <c r="H1476" s="129" t="n"/>
      <c r="I1476" s="129" t="n"/>
      <c r="J1476" s="138" t="str">
        <f>IF(C1476&lt;&gt;"Despesa","",IFERROR(INDEX('Config'!$J$6:$J$40,MATCH(D1476,'Config'!$I$6:$I$40,0)),"—"))</f>
        <v/>
      </c>
      <c r="K1476" s="138" t="str">
        <f>IF(COUNTA(B1476:F1476)=0,"",IF(OR(B1476="",C1476="",D1476="",F1476=""),"▲ Completar","✔"))</f>
        <v/>
      </c>
    </row>
    <row r="1477">
      <c r="B1477" s="130" t="n"/>
      <c r="C1477" s="129" t="n"/>
      <c r="D1477" s="129" t="n"/>
      <c r="E1477" s="129" t="n"/>
      <c r="F1477" s="145" t="n"/>
      <c r="G1477" s="129" t="n"/>
      <c r="H1477" s="129" t="n"/>
      <c r="I1477" s="129" t="n"/>
      <c r="J1477" s="138" t="str">
        <f>IF(C1477&lt;&gt;"Despesa","",IFERROR(INDEX('Config'!$J$6:$J$40,MATCH(D1477,'Config'!$I$6:$I$40,0)),"—"))</f>
        <v/>
      </c>
      <c r="K1477" s="138" t="str">
        <f>IF(COUNTA(B1477:F1477)=0,"",IF(OR(B1477="",C1477="",D1477="",F1477=""),"▲ Completar","✔"))</f>
        <v/>
      </c>
    </row>
    <row r="1478">
      <c r="B1478" s="130" t="n"/>
      <c r="C1478" s="129" t="n"/>
      <c r="D1478" s="129" t="n"/>
      <c r="E1478" s="129" t="n"/>
      <c r="F1478" s="145" t="n"/>
      <c r="G1478" s="129" t="n"/>
      <c r="H1478" s="129" t="n"/>
      <c r="I1478" s="129" t="n"/>
      <c r="J1478" s="138" t="str">
        <f>IF(C1478&lt;&gt;"Despesa","",IFERROR(INDEX('Config'!$J$6:$J$40,MATCH(D1478,'Config'!$I$6:$I$40,0)),"—"))</f>
        <v/>
      </c>
      <c r="K1478" s="138" t="str">
        <f>IF(COUNTA(B1478:F1478)=0,"",IF(OR(B1478="",C1478="",D1478="",F1478=""),"▲ Completar","✔"))</f>
        <v/>
      </c>
    </row>
    <row r="1479">
      <c r="B1479" s="130" t="n"/>
      <c r="C1479" s="129" t="n"/>
      <c r="D1479" s="129" t="n"/>
      <c r="E1479" s="129" t="n"/>
      <c r="F1479" s="145" t="n"/>
      <c r="G1479" s="129" t="n"/>
      <c r="H1479" s="129" t="n"/>
      <c r="I1479" s="129" t="n"/>
      <c r="J1479" s="138" t="str">
        <f>IF(C1479&lt;&gt;"Despesa","",IFERROR(INDEX('Config'!$J$6:$J$40,MATCH(D1479,'Config'!$I$6:$I$40,0)),"—"))</f>
        <v/>
      </c>
      <c r="K1479" s="138" t="str">
        <f>IF(COUNTA(B1479:F1479)=0,"",IF(OR(B1479="",C1479="",D1479="",F1479=""),"▲ Completar","✔"))</f>
        <v/>
      </c>
    </row>
    <row r="1480">
      <c r="B1480" s="130" t="n"/>
      <c r="C1480" s="129" t="n"/>
      <c r="D1480" s="129" t="n"/>
      <c r="E1480" s="129" t="n"/>
      <c r="F1480" s="145" t="n"/>
      <c r="G1480" s="129" t="n"/>
      <c r="H1480" s="129" t="n"/>
      <c r="I1480" s="129" t="n"/>
      <c r="J1480" s="138" t="str">
        <f>IF(C1480&lt;&gt;"Despesa","",IFERROR(INDEX('Config'!$J$6:$J$40,MATCH(D1480,'Config'!$I$6:$I$40,0)),"—"))</f>
        <v/>
      </c>
      <c r="K1480" s="138" t="str">
        <f>IF(COUNTA(B1480:F1480)=0,"",IF(OR(B1480="",C1480="",D1480="",F1480=""),"▲ Completar","✔"))</f>
        <v/>
      </c>
    </row>
    <row r="1481">
      <c r="B1481" s="130" t="n"/>
      <c r="C1481" s="129" t="n"/>
      <c r="D1481" s="129" t="n"/>
      <c r="E1481" s="129" t="n"/>
      <c r="F1481" s="145" t="n"/>
      <c r="G1481" s="129" t="n"/>
      <c r="H1481" s="129" t="n"/>
      <c r="I1481" s="129" t="n"/>
      <c r="J1481" s="138" t="str">
        <f>IF(C1481&lt;&gt;"Despesa","",IFERROR(INDEX('Config'!$J$6:$J$40,MATCH(D1481,'Config'!$I$6:$I$40,0)),"—"))</f>
        <v/>
      </c>
      <c r="K1481" s="138" t="str">
        <f>IF(COUNTA(B1481:F1481)=0,"",IF(OR(B1481="",C1481="",D1481="",F1481=""),"▲ Completar","✔"))</f>
        <v/>
      </c>
    </row>
    <row r="1482">
      <c r="B1482" s="130" t="n"/>
      <c r="C1482" s="129" t="n"/>
      <c r="D1482" s="129" t="n"/>
      <c r="E1482" s="129" t="n"/>
      <c r="F1482" s="145" t="n"/>
      <c r="G1482" s="129" t="n"/>
      <c r="H1482" s="129" t="n"/>
      <c r="I1482" s="129" t="n"/>
      <c r="J1482" s="138" t="str">
        <f>IF(C1482&lt;&gt;"Despesa","",IFERROR(INDEX('Config'!$J$6:$J$40,MATCH(D1482,'Config'!$I$6:$I$40,0)),"—"))</f>
        <v/>
      </c>
      <c r="K1482" s="138" t="str">
        <f>IF(COUNTA(B1482:F1482)=0,"",IF(OR(B1482="",C1482="",D1482="",F1482=""),"▲ Completar","✔"))</f>
        <v/>
      </c>
    </row>
    <row r="1483">
      <c r="B1483" s="130" t="n"/>
      <c r="C1483" s="129" t="n"/>
      <c r="D1483" s="129" t="n"/>
      <c r="E1483" s="129" t="n"/>
      <c r="F1483" s="145" t="n"/>
      <c r="G1483" s="129" t="n"/>
      <c r="H1483" s="129" t="n"/>
      <c r="I1483" s="129" t="n"/>
      <c r="J1483" s="138" t="str">
        <f>IF(C1483&lt;&gt;"Despesa","",IFERROR(INDEX('Config'!$J$6:$J$40,MATCH(D1483,'Config'!$I$6:$I$40,0)),"—"))</f>
        <v/>
      </c>
      <c r="K1483" s="138" t="str">
        <f>IF(COUNTA(B1483:F1483)=0,"",IF(OR(B1483="",C1483="",D1483="",F1483=""),"▲ Completar","✔"))</f>
        <v/>
      </c>
    </row>
    <row r="1484">
      <c r="B1484" s="130" t="n"/>
      <c r="C1484" s="129" t="n"/>
      <c r="D1484" s="129" t="n"/>
      <c r="E1484" s="129" t="n"/>
      <c r="F1484" s="145" t="n"/>
      <c r="G1484" s="129" t="n"/>
      <c r="H1484" s="129" t="n"/>
      <c r="I1484" s="129" t="n"/>
      <c r="J1484" s="138" t="str">
        <f>IF(C1484&lt;&gt;"Despesa","",IFERROR(INDEX('Config'!$J$6:$J$40,MATCH(D1484,'Config'!$I$6:$I$40,0)),"—"))</f>
        <v/>
      </c>
      <c r="K1484" s="138" t="str">
        <f>IF(COUNTA(B1484:F1484)=0,"",IF(OR(B1484="",C1484="",D1484="",F1484=""),"▲ Completar","✔"))</f>
        <v/>
      </c>
    </row>
    <row r="1485">
      <c r="B1485" s="130" t="n"/>
      <c r="C1485" s="129" t="n"/>
      <c r="D1485" s="129" t="n"/>
      <c r="E1485" s="129" t="n"/>
      <c r="F1485" s="145" t="n"/>
      <c r="G1485" s="129" t="n"/>
      <c r="H1485" s="129" t="n"/>
      <c r="I1485" s="129" t="n"/>
      <c r="J1485" s="138" t="str">
        <f>IF(C1485&lt;&gt;"Despesa","",IFERROR(INDEX('Config'!$J$6:$J$40,MATCH(D1485,'Config'!$I$6:$I$40,0)),"—"))</f>
        <v/>
      </c>
      <c r="K1485" s="138" t="str">
        <f>IF(COUNTA(B1485:F1485)=0,"",IF(OR(B1485="",C1485="",D1485="",F1485=""),"▲ Completar","✔"))</f>
        <v/>
      </c>
    </row>
    <row r="1486">
      <c r="B1486" s="130" t="n"/>
      <c r="C1486" s="129" t="n"/>
      <c r="D1486" s="129" t="n"/>
      <c r="E1486" s="129" t="n"/>
      <c r="F1486" s="145" t="n"/>
      <c r="G1486" s="129" t="n"/>
      <c r="H1486" s="129" t="n"/>
      <c r="I1486" s="129" t="n"/>
      <c r="J1486" s="138" t="str">
        <f>IF(C1486&lt;&gt;"Despesa","",IFERROR(INDEX('Config'!$J$6:$J$40,MATCH(D1486,'Config'!$I$6:$I$40,0)),"—"))</f>
        <v/>
      </c>
      <c r="K1486" s="138" t="str">
        <f>IF(COUNTA(B1486:F1486)=0,"",IF(OR(B1486="",C1486="",D1486="",F1486=""),"▲ Completar","✔"))</f>
        <v/>
      </c>
    </row>
    <row r="1487">
      <c r="B1487" s="130" t="n"/>
      <c r="C1487" s="129" t="n"/>
      <c r="D1487" s="129" t="n"/>
      <c r="E1487" s="129" t="n"/>
      <c r="F1487" s="145" t="n"/>
      <c r="G1487" s="129" t="n"/>
      <c r="H1487" s="129" t="n"/>
      <c r="I1487" s="129" t="n"/>
      <c r="J1487" s="138" t="str">
        <f>IF(C1487&lt;&gt;"Despesa","",IFERROR(INDEX('Config'!$J$6:$J$40,MATCH(D1487,'Config'!$I$6:$I$40,0)),"—"))</f>
        <v/>
      </c>
      <c r="K1487" s="138" t="str">
        <f>IF(COUNTA(B1487:F1487)=0,"",IF(OR(B1487="",C1487="",D1487="",F1487=""),"▲ Completar","✔"))</f>
        <v/>
      </c>
    </row>
    <row r="1488">
      <c r="B1488" s="130" t="n"/>
      <c r="C1488" s="129" t="n"/>
      <c r="D1488" s="129" t="n"/>
      <c r="E1488" s="129" t="n"/>
      <c r="F1488" s="145" t="n"/>
      <c r="G1488" s="129" t="n"/>
      <c r="H1488" s="129" t="n"/>
      <c r="I1488" s="129" t="n"/>
      <c r="J1488" s="138" t="str">
        <f>IF(C1488&lt;&gt;"Despesa","",IFERROR(INDEX('Config'!$J$6:$J$40,MATCH(D1488,'Config'!$I$6:$I$40,0)),"—"))</f>
        <v/>
      </c>
      <c r="K1488" s="138" t="str">
        <f>IF(COUNTA(B1488:F1488)=0,"",IF(OR(B1488="",C1488="",D1488="",F1488=""),"▲ Completar","✔"))</f>
        <v/>
      </c>
    </row>
    <row r="1489">
      <c r="B1489" s="130" t="n"/>
      <c r="C1489" s="129" t="n"/>
      <c r="D1489" s="129" t="n"/>
      <c r="E1489" s="129" t="n"/>
      <c r="F1489" s="145" t="n"/>
      <c r="G1489" s="129" t="n"/>
      <c r="H1489" s="129" t="n"/>
      <c r="I1489" s="129" t="n"/>
      <c r="J1489" s="138" t="str">
        <f>IF(C1489&lt;&gt;"Despesa","",IFERROR(INDEX('Config'!$J$6:$J$40,MATCH(D1489,'Config'!$I$6:$I$40,0)),"—"))</f>
        <v/>
      </c>
      <c r="K1489" s="138" t="str">
        <f>IF(COUNTA(B1489:F1489)=0,"",IF(OR(B1489="",C1489="",D1489="",F1489=""),"▲ Completar","✔"))</f>
        <v/>
      </c>
    </row>
    <row r="1490">
      <c r="B1490" s="130" t="n"/>
      <c r="C1490" s="129" t="n"/>
      <c r="D1490" s="129" t="n"/>
      <c r="E1490" s="129" t="n"/>
      <c r="F1490" s="145" t="n"/>
      <c r="G1490" s="129" t="n"/>
      <c r="H1490" s="129" t="n"/>
      <c r="I1490" s="129" t="n"/>
      <c r="J1490" s="138" t="str">
        <f>IF(C1490&lt;&gt;"Despesa","",IFERROR(INDEX('Config'!$J$6:$J$40,MATCH(D1490,'Config'!$I$6:$I$40,0)),"—"))</f>
        <v/>
      </c>
      <c r="K1490" s="138" t="str">
        <f>IF(COUNTA(B1490:F1490)=0,"",IF(OR(B1490="",C1490="",D1490="",F1490=""),"▲ Completar","✔"))</f>
        <v/>
      </c>
    </row>
    <row r="1491">
      <c r="B1491" s="130" t="n"/>
      <c r="C1491" s="129" t="n"/>
      <c r="D1491" s="129" t="n"/>
      <c r="E1491" s="129" t="n"/>
      <c r="F1491" s="145" t="n"/>
      <c r="G1491" s="129" t="n"/>
      <c r="H1491" s="129" t="n"/>
      <c r="I1491" s="129" t="n"/>
      <c r="J1491" s="138" t="str">
        <f>IF(C1491&lt;&gt;"Despesa","",IFERROR(INDEX('Config'!$J$6:$J$40,MATCH(D1491,'Config'!$I$6:$I$40,0)),"—"))</f>
        <v/>
      </c>
      <c r="K1491" s="138" t="str">
        <f>IF(COUNTA(B1491:F1491)=0,"",IF(OR(B1491="",C1491="",D1491="",F1491=""),"▲ Completar","✔"))</f>
        <v/>
      </c>
    </row>
    <row r="1492">
      <c r="B1492" s="130" t="n"/>
      <c r="C1492" s="129" t="n"/>
      <c r="D1492" s="129" t="n"/>
      <c r="E1492" s="129" t="n"/>
      <c r="F1492" s="145" t="n"/>
      <c r="G1492" s="129" t="n"/>
      <c r="H1492" s="129" t="n"/>
      <c r="I1492" s="129" t="n"/>
      <c r="J1492" s="138" t="str">
        <f>IF(C1492&lt;&gt;"Despesa","",IFERROR(INDEX('Config'!$J$6:$J$40,MATCH(D1492,'Config'!$I$6:$I$40,0)),"—"))</f>
        <v/>
      </c>
      <c r="K1492" s="138" t="str">
        <f>IF(COUNTA(B1492:F1492)=0,"",IF(OR(B1492="",C1492="",D1492="",F1492=""),"▲ Completar","✔"))</f>
        <v/>
      </c>
    </row>
    <row r="1493">
      <c r="B1493" s="130" t="n"/>
      <c r="C1493" s="129" t="n"/>
      <c r="D1493" s="129" t="n"/>
      <c r="E1493" s="129" t="n"/>
      <c r="F1493" s="145" t="n"/>
      <c r="G1493" s="129" t="n"/>
      <c r="H1493" s="129" t="n"/>
      <c r="I1493" s="129" t="n"/>
      <c r="J1493" s="138" t="str">
        <f>IF(C1493&lt;&gt;"Despesa","",IFERROR(INDEX('Config'!$J$6:$J$40,MATCH(D1493,'Config'!$I$6:$I$40,0)),"—"))</f>
        <v/>
      </c>
      <c r="K1493" s="138" t="str">
        <f>IF(COUNTA(B1493:F1493)=0,"",IF(OR(B1493="",C1493="",D1493="",F1493=""),"▲ Completar","✔"))</f>
        <v/>
      </c>
    </row>
    <row r="1494">
      <c r="B1494" s="130" t="n"/>
      <c r="C1494" s="129" t="n"/>
      <c r="D1494" s="129" t="n"/>
      <c r="E1494" s="129" t="n"/>
      <c r="F1494" s="145" t="n"/>
      <c r="G1494" s="129" t="n"/>
      <c r="H1494" s="129" t="n"/>
      <c r="I1494" s="129" t="n"/>
      <c r="J1494" s="138" t="str">
        <f>IF(C1494&lt;&gt;"Despesa","",IFERROR(INDEX('Config'!$J$6:$J$40,MATCH(D1494,'Config'!$I$6:$I$40,0)),"—"))</f>
        <v/>
      </c>
      <c r="K1494" s="138" t="str">
        <f>IF(COUNTA(B1494:F1494)=0,"",IF(OR(B1494="",C1494="",D1494="",F1494=""),"▲ Completar","✔"))</f>
        <v/>
      </c>
    </row>
    <row r="1495">
      <c r="B1495" s="130" t="n"/>
      <c r="C1495" s="129" t="n"/>
      <c r="D1495" s="129" t="n"/>
      <c r="E1495" s="129" t="n"/>
      <c r="F1495" s="145" t="n"/>
      <c r="G1495" s="129" t="n"/>
      <c r="H1495" s="129" t="n"/>
      <c r="I1495" s="129" t="n"/>
      <c r="J1495" s="138" t="str">
        <f>IF(C1495&lt;&gt;"Despesa","",IFERROR(INDEX('Config'!$J$6:$J$40,MATCH(D1495,'Config'!$I$6:$I$40,0)),"—"))</f>
        <v/>
      </c>
      <c r="K1495" s="138" t="str">
        <f>IF(COUNTA(B1495:F1495)=0,"",IF(OR(B1495="",C1495="",D1495="",F1495=""),"▲ Completar","✔"))</f>
        <v/>
      </c>
    </row>
    <row r="1496">
      <c r="B1496" s="130" t="n"/>
      <c r="C1496" s="129" t="n"/>
      <c r="D1496" s="129" t="n"/>
      <c r="E1496" s="129" t="n"/>
      <c r="F1496" s="145" t="n"/>
      <c r="G1496" s="129" t="n"/>
      <c r="H1496" s="129" t="n"/>
      <c r="I1496" s="129" t="n"/>
      <c r="J1496" s="138" t="str">
        <f>IF(C1496&lt;&gt;"Despesa","",IFERROR(INDEX('Config'!$J$6:$J$40,MATCH(D1496,'Config'!$I$6:$I$40,0)),"—"))</f>
        <v/>
      </c>
      <c r="K1496" s="138" t="str">
        <f>IF(COUNTA(B1496:F1496)=0,"",IF(OR(B1496="",C1496="",D1496="",F1496=""),"▲ Completar","✔"))</f>
        <v/>
      </c>
    </row>
    <row r="1497">
      <c r="B1497" s="130" t="n"/>
      <c r="C1497" s="129" t="n"/>
      <c r="D1497" s="129" t="n"/>
      <c r="E1497" s="129" t="n"/>
      <c r="F1497" s="145" t="n"/>
      <c r="G1497" s="129" t="n"/>
      <c r="H1497" s="129" t="n"/>
      <c r="I1497" s="129" t="n"/>
      <c r="J1497" s="138" t="str">
        <f>IF(C1497&lt;&gt;"Despesa","",IFERROR(INDEX('Config'!$J$6:$J$40,MATCH(D1497,'Config'!$I$6:$I$40,0)),"—"))</f>
        <v/>
      </c>
      <c r="K1497" s="138" t="str">
        <f>IF(COUNTA(B1497:F1497)=0,"",IF(OR(B1497="",C1497="",D1497="",F1497=""),"▲ Completar","✔"))</f>
        <v/>
      </c>
    </row>
    <row r="1498">
      <c r="B1498" s="130" t="n"/>
      <c r="C1498" s="129" t="n"/>
      <c r="D1498" s="129" t="n"/>
      <c r="E1498" s="129" t="n"/>
      <c r="F1498" s="145" t="n"/>
      <c r="G1498" s="129" t="n"/>
      <c r="H1498" s="129" t="n"/>
      <c r="I1498" s="129" t="n"/>
      <c r="J1498" s="138" t="str">
        <f>IF(C1498&lt;&gt;"Despesa","",IFERROR(INDEX('Config'!$J$6:$J$40,MATCH(D1498,'Config'!$I$6:$I$40,0)),"—"))</f>
        <v/>
      </c>
      <c r="K1498" s="138" t="str">
        <f>IF(COUNTA(B1498:F1498)=0,"",IF(OR(B1498="",C1498="",D1498="",F1498=""),"▲ Completar","✔"))</f>
        <v/>
      </c>
    </row>
    <row r="1499">
      <c r="B1499" s="130" t="n"/>
      <c r="C1499" s="129" t="n"/>
      <c r="D1499" s="129" t="n"/>
      <c r="E1499" s="129" t="n"/>
      <c r="F1499" s="145" t="n"/>
      <c r="G1499" s="129" t="n"/>
      <c r="H1499" s="129" t="n"/>
      <c r="I1499" s="129" t="n"/>
      <c r="J1499" s="138" t="str">
        <f>IF(C1499&lt;&gt;"Despesa","",IFERROR(INDEX('Config'!$J$6:$J$40,MATCH(D1499,'Config'!$I$6:$I$40,0)),"—"))</f>
        <v/>
      </c>
      <c r="K1499" s="138" t="str">
        <f>IF(COUNTA(B1499:F1499)=0,"",IF(OR(B1499="",C1499="",D1499="",F1499=""),"▲ Completar","✔"))</f>
        <v/>
      </c>
    </row>
    <row r="1500">
      <c r="B1500" s="130" t="n"/>
      <c r="C1500" s="129" t="n"/>
      <c r="D1500" s="129" t="n"/>
      <c r="E1500" s="129" t="n"/>
      <c r="F1500" s="145" t="n"/>
      <c r="G1500" s="129" t="n"/>
      <c r="H1500" s="129" t="n"/>
      <c r="I1500" s="129" t="n"/>
      <c r="J1500" s="138" t="str">
        <f>IF(C1500&lt;&gt;"Despesa","",IFERROR(INDEX('Config'!$J$6:$J$40,MATCH(D1500,'Config'!$I$6:$I$40,0)),"—"))</f>
        <v/>
      </c>
      <c r="K1500" s="138" t="str">
        <f>IF(COUNTA(B1500:F1500)=0,"",IF(OR(B1500="",C1500="",D1500="",F1500=""),"▲ Completar","✔"))</f>
        <v/>
      </c>
    </row>
    <row r="1501">
      <c r="B1501" s="130" t="n"/>
      <c r="C1501" s="129" t="n"/>
      <c r="D1501" s="129" t="n"/>
      <c r="E1501" s="129" t="n"/>
      <c r="F1501" s="145" t="n"/>
      <c r="G1501" s="129" t="n"/>
      <c r="H1501" s="129" t="n"/>
      <c r="I1501" s="129" t="n"/>
      <c r="J1501" s="138" t="str">
        <f>IF(C1501&lt;&gt;"Despesa","",IFERROR(INDEX('Config'!$J$6:$J$40,MATCH(D1501,'Config'!$I$6:$I$40,0)),"—"))</f>
        <v/>
      </c>
      <c r="K1501" s="138" t="str">
        <f>IF(COUNTA(B1501:F1501)=0,"",IF(OR(B1501="",C1501="",D1501="",F1501=""),"▲ Completar","✔"))</f>
        <v/>
      </c>
    </row>
    <row r="1502">
      <c r="B1502" s="130" t="n"/>
      <c r="C1502" s="129" t="n"/>
      <c r="D1502" s="129" t="n"/>
      <c r="E1502" s="129" t="n"/>
      <c r="F1502" s="145" t="n"/>
      <c r="G1502" s="129" t="n"/>
      <c r="H1502" s="129" t="n"/>
      <c r="I1502" s="129" t="n"/>
      <c r="J1502" s="138" t="str">
        <f>IF(C1502&lt;&gt;"Despesa","",IFERROR(INDEX('Config'!$J$6:$J$40,MATCH(D1502,'Config'!$I$6:$I$40,0)),"—"))</f>
        <v/>
      </c>
      <c r="K1502" s="138" t="str">
        <f>IF(COUNTA(B1502:F1502)=0,"",IF(OR(B1502="",C1502="",D1502="",F1502=""),"▲ Completar","✔"))</f>
        <v/>
      </c>
    </row>
    <row r="1503">
      <c r="B1503" s="130" t="n"/>
      <c r="C1503" s="129" t="n"/>
      <c r="D1503" s="129" t="n"/>
      <c r="E1503" s="129" t="n"/>
      <c r="F1503" s="145" t="n"/>
      <c r="G1503" s="129" t="n"/>
      <c r="H1503" s="129" t="n"/>
      <c r="I1503" s="129" t="n"/>
      <c r="J1503" s="138" t="str">
        <f>IF(C1503&lt;&gt;"Despesa","",IFERROR(INDEX('Config'!$J$6:$J$40,MATCH(D1503,'Config'!$I$6:$I$40,0)),"—"))</f>
        <v/>
      </c>
      <c r="K1503" s="138" t="str">
        <f>IF(COUNTA(B1503:F1503)=0,"",IF(OR(B1503="",C1503="",D1503="",F1503=""),"▲ Completar","✔"))</f>
        <v/>
      </c>
    </row>
    <row r="1504">
      <c r="B1504" s="130" t="n"/>
      <c r="C1504" s="129" t="n"/>
      <c r="D1504" s="129" t="n"/>
      <c r="E1504" s="129" t="n"/>
      <c r="F1504" s="145" t="n"/>
      <c r="G1504" s="129" t="n"/>
      <c r="H1504" s="129" t="n"/>
      <c r="I1504" s="129" t="n"/>
      <c r="J1504" s="138" t="str">
        <f>IF(C1504&lt;&gt;"Despesa","",IFERROR(INDEX('Config'!$J$6:$J$40,MATCH(D1504,'Config'!$I$6:$I$40,0)),"—"))</f>
        <v/>
      </c>
      <c r="K1504" s="138" t="str">
        <f>IF(COUNTA(B1504:F1504)=0,"",IF(OR(B1504="",C1504="",D1504="",F1504=""),"▲ Completar","✔"))</f>
        <v/>
      </c>
    </row>
    <row r="1505">
      <c r="B1505" s="130" t="n"/>
      <c r="C1505" s="129" t="n"/>
      <c r="D1505" s="129" t="n"/>
      <c r="E1505" s="129" t="n"/>
      <c r="F1505" s="145" t="n"/>
      <c r="G1505" s="129" t="n"/>
      <c r="H1505" s="129" t="n"/>
      <c r="I1505" s="129" t="n"/>
      <c r="J1505" s="138" t="str">
        <f>IF(C1505&lt;&gt;"Despesa","",IFERROR(INDEX('Config'!$J$6:$J$40,MATCH(D1505,'Config'!$I$6:$I$40,0)),"—"))</f>
        <v/>
      </c>
      <c r="K1505" s="138" t="str">
        <f>IF(COUNTA(B1505:F1505)=0,"",IF(OR(B1505="",C1505="",D1505="",F1505=""),"▲ Completar","✔"))</f>
        <v/>
      </c>
    </row>
    <row r="1506">
      <c r="B1506" s="130" t="n"/>
      <c r="C1506" s="129" t="n"/>
      <c r="D1506" s="129" t="n"/>
      <c r="E1506" s="129" t="n"/>
      <c r="F1506" s="145" t="n"/>
      <c r="G1506" s="129" t="n"/>
      <c r="H1506" s="129" t="n"/>
      <c r="I1506" s="129" t="n"/>
      <c r="J1506" s="138" t="str">
        <f>IF(C1506&lt;&gt;"Despesa","",IFERROR(INDEX('Config'!$J$6:$J$40,MATCH(D1506,'Config'!$I$6:$I$40,0)),"—"))</f>
        <v/>
      </c>
      <c r="K1506" s="138" t="str">
        <f>IF(COUNTA(B1506:F1506)=0,"",IF(OR(B1506="",C1506="",D1506="",F1506=""),"▲ Completar","✔"))</f>
        <v/>
      </c>
    </row>
    <row r="1507">
      <c r="B1507" s="130" t="n"/>
      <c r="C1507" s="129" t="n"/>
      <c r="D1507" s="129" t="n"/>
      <c r="E1507" s="129" t="n"/>
      <c r="F1507" s="145" t="n"/>
      <c r="G1507" s="129" t="n"/>
      <c r="H1507" s="129" t="n"/>
      <c r="I1507" s="129" t="n"/>
      <c r="J1507" s="138" t="str">
        <f>IF(C1507&lt;&gt;"Despesa","",IFERROR(INDEX('Config'!$J$6:$J$40,MATCH(D1507,'Config'!$I$6:$I$40,0)),"—"))</f>
        <v/>
      </c>
      <c r="K1507" s="138" t="str">
        <f>IF(COUNTA(B1507:F1507)=0,"",IF(OR(B1507="",C1507="",D1507="",F1507=""),"▲ Completar","✔"))</f>
        <v/>
      </c>
    </row>
    <row r="1508">
      <c r="B1508" s="130" t="n"/>
      <c r="C1508" s="129" t="n"/>
      <c r="D1508" s="129" t="n"/>
      <c r="E1508" s="129" t="n"/>
      <c r="F1508" s="145" t="n"/>
      <c r="G1508" s="129" t="n"/>
      <c r="H1508" s="129" t="n"/>
      <c r="I1508" s="129" t="n"/>
      <c r="J1508" s="138" t="str">
        <f>IF(C1508&lt;&gt;"Despesa","",IFERROR(INDEX('Config'!$J$6:$J$40,MATCH(D1508,'Config'!$I$6:$I$40,0)),"—"))</f>
        <v/>
      </c>
      <c r="K1508" s="138" t="str">
        <f>IF(COUNTA(B1508:F1508)=0,"",IF(OR(B1508="",C1508="",D1508="",F1508=""),"▲ Completar","✔"))</f>
        <v/>
      </c>
    </row>
    <row r="1509">
      <c r="B1509" s="130" t="n"/>
      <c r="C1509" s="129" t="n"/>
      <c r="D1509" s="129" t="n"/>
      <c r="E1509" s="129" t="n"/>
      <c r="F1509" s="145" t="n"/>
      <c r="G1509" s="129" t="n"/>
      <c r="H1509" s="129" t="n"/>
      <c r="I1509" s="129" t="n"/>
      <c r="J1509" s="138" t="str">
        <f>IF(C1509&lt;&gt;"Despesa","",IFERROR(INDEX('Config'!$J$6:$J$40,MATCH(D1509,'Config'!$I$6:$I$40,0)),"—"))</f>
        <v/>
      </c>
      <c r="K1509" s="138" t="str">
        <f>IF(COUNTA(B1509:F1509)=0,"",IF(OR(B1509="",C1509="",D1509="",F1509=""),"▲ Completar","✔"))</f>
        <v/>
      </c>
    </row>
  </sheetData>
  <autoFilter ref="B9:K1509"/>
  <mergeCells count="12">
    <mergeCell ref="B6:C6"/>
    <mergeCell ref="H6:I6"/>
    <mergeCell ref="B7:C7"/>
    <mergeCell ref="J5:K5"/>
    <mergeCell ref="J6:K6"/>
    <mergeCell ref="B5:C5"/>
    <mergeCell ref="H7:I7"/>
    <mergeCell ref="F5:G5"/>
    <mergeCell ref="J7:K7"/>
    <mergeCell ref="F6:G6"/>
    <mergeCell ref="H5:I5"/>
    <mergeCell ref="F7:G7"/>
  </mergeCells>
  <conditionalFormatting sqref="B7:K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B10:K1509">
    <cfRule type="expression" priority="7" dxfId="16">
      <formula>AND($B10&lt;&gt;"",MOD(ROW(),2)=0)</formula>
    </cfRule>
  </conditionalFormatting>
  <conditionalFormatting sqref="C10:C1509">
    <cfRule type="expression" priority="8" dxfId="5">
      <formula>$C10="Receita"</formula>
    </cfRule>
    <cfRule type="expression" priority="10" dxfId="17">
      <formula>$C10="Aporte"</formula>
    </cfRule>
  </conditionalFormatting>
  <conditionalFormatting sqref="F10:F1509">
    <cfRule type="expression" priority="9" dxfId="5">
      <formula>$C10="Receita"</formula>
    </cfRule>
    <cfRule type="expression" priority="11" dxfId="17">
      <formula>$C10="Aporte"</formula>
    </cfRule>
  </conditionalFormatting>
  <conditionalFormatting sqref="K10:K1509">
    <cfRule type="expression" priority="12" dxfId="5">
      <formula>LEFT(K10,1)="✔"</formula>
    </cfRule>
    <cfRule type="expression" priority="13" dxfId="6">
      <formula>LEFT(K10,1)="▲"</formula>
    </cfRule>
    <cfRule type="expression" priority="14" dxfId="7">
      <formula>LEFT(K10,1)="✖"</formula>
    </cfRule>
    <cfRule type="expression" priority="15" dxfId="8">
      <formula>LEFT(K10,1)="○"</formula>
    </cfRule>
    <cfRule type="expression" priority="16" dxfId="8">
      <formula>LEFT(K10,1)="‖"</formula>
    </cfRule>
    <cfRule type="expression" priority="17" dxfId="8">
      <formula>LEFT(K10,1)="–"</formula>
    </cfRule>
  </conditionalFormatting>
  <dataValidations count="6">
    <dataValidation sqref="B10:B15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10:C1509" showDropDown="0" showInputMessage="1" showErrorMessage="1" allowBlank="1" errorTitle="Valor fora da lista" error="Escolha um item da lista (as listas ficam na aba Config)." prompt="Receita, Despesa ou Aporte (dinheiro guardado/investido)" type="list" errorStyle="stop">
      <formula1>lst_TipoLanc</formula1>
    </dataValidation>
    <dataValidation sqref="D10:D1509" showDropDown="0" showInputMessage="1" showErrorMessage="1" allowBlank="1" errorTitle="Valor fora da lista" error="Escolha um item da lista (as listas ficam na aba Config)." prompt="A lista muda conforme o Tipo" type="list" errorStyle="stop">
      <formula1>IF($C10="Receita",lst_CatRec,IF($C10="Aporte",lst_CatAporte,lst_CatDesp))</formula1>
    </dataValidation>
    <dataValidation sqref="F10:F1509" showDropDown="0" showInputMessage="1" showErrorMessage="1" allowBlank="1" errorTitle="Valor inválido" error="Use um número entre 0 e 10000000." promptTitle="" prompt="Valor sempre positivo; o Tipo define se entra ou sai." type="decimal" operator="between">
      <formula1>0</formula1>
      <formula2>10000000</formula2>
    </dataValidation>
    <dataValidation sqref="G10:G1509" showDropDown="0" showInputMessage="0" showErrorMessage="1" allowBlank="1" errorTitle="Valor fora da lista" error="Escolha um item da lista (as listas ficam na aba Config)." type="list" errorStyle="stop">
      <formula1>lst_Contas</formula1>
    </dataValidation>
    <dataValidation sqref="H10:H1509" showDropDown="0" showInputMessage="0" showErrorMessage="1" allowBlank="1" errorTitle="Valor fora da lista" error="Escolha um item da lista (as listas ficam na aba Config)." type="list" errorStyle="stop">
      <formula1>lst_FixVar</formula1>
    </dataValidation>
  </dataValidations>
  <hyperlinks>
    <hyperlink ref="K1" location="'Dashboard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AF7A"/>
    <outlinePr summaryBelow="1" summaryRight="1"/>
    <pageSetUpPr/>
  </sheetPr>
  <dimension ref="A1:V93"/>
  <sheetViews>
    <sheetView showGridLines="0" tabSelected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4" customWidth="1" min="3" max="3"/>
    <col width="13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2" customWidth="1" min="17" max="17"/>
    <col width="11" customWidth="1" min="18" max="18"/>
    <col width="12" customWidth="1" min="19" max="19"/>
    <col width="10" customWidth="1" min="20" max="20"/>
    <col width="24" customWidth="1" min="21" max="21"/>
    <col hidden="1" width="4" customWidth="1" min="22" max="22"/>
  </cols>
  <sheetData>
    <row r="1" ht="34" customHeight="1">
      <c r="A1" s="139" t="n"/>
      <c r="B1" s="97" t="inlineStr">
        <is>
          <t>Orçamento · planejado × realizado e patrimônio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98" t="inlineStr">
        <is>
          <t>◀ Dashboard</t>
        </is>
      </c>
    </row>
    <row r="2" ht="18" customHeight="1">
      <c r="A2" s="139" t="n"/>
      <c r="B2" s="99" t="inlineStr">
        <is>
          <t>Defina quanto quer gastar por categoria. O realizado vem de Finanças. No fim de cada mês, atualize o patrimônio.</t>
        </is>
      </c>
    </row>
    <row r="3" ht="16" customHeight="1">
      <c r="A3" s="13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46" t="inlineStr">
        <is>
          <t>RESUMO MENSAL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</row>
    <row r="6" ht="30" customHeight="1">
      <c r="B6" s="103" t="inlineStr">
        <is>
          <t>Indicador</t>
        </is>
      </c>
      <c r="C6" s="103" t="inlineStr"/>
      <c r="D6" s="103" t="inlineStr">
        <is>
          <t>Plano / mês</t>
        </is>
      </c>
      <c r="E6" s="104" t="inlineStr">
        <is>
          <t>Jan</t>
        </is>
      </c>
      <c r="F6" s="104" t="inlineStr">
        <is>
          <t>Fev</t>
        </is>
      </c>
      <c r="G6" s="104" t="inlineStr">
        <is>
          <t>Mar</t>
        </is>
      </c>
      <c r="H6" s="104" t="inlineStr">
        <is>
          <t>Abr</t>
        </is>
      </c>
      <c r="I6" s="104" t="inlineStr">
        <is>
          <t>Mai</t>
        </is>
      </c>
      <c r="J6" s="104" t="inlineStr">
        <is>
          <t>Jun</t>
        </is>
      </c>
      <c r="K6" s="104" t="inlineStr">
        <is>
          <t>Jul</t>
        </is>
      </c>
      <c r="L6" s="104" t="inlineStr">
        <is>
          <t>Ago</t>
        </is>
      </c>
      <c r="M6" s="104" t="inlineStr">
        <is>
          <t>Set</t>
        </is>
      </c>
      <c r="N6" s="104" t="inlineStr">
        <is>
          <t>Out</t>
        </is>
      </c>
      <c r="O6" s="104" t="inlineStr">
        <is>
          <t>Nov</t>
        </is>
      </c>
      <c r="P6" s="104" t="inlineStr">
        <is>
          <t>Dez</t>
        </is>
      </c>
      <c r="Q6" s="104" t="inlineStr">
        <is>
          <t>Total ano</t>
        </is>
      </c>
      <c r="R6" s="104" t="inlineStr">
        <is>
          <t>Média/mês até a ref.</t>
        </is>
      </c>
      <c r="S6" s="104" t="inlineStr">
        <is>
          <t>Mês de referência</t>
        </is>
      </c>
      <c r="T6" s="104" t="inlineStr">
        <is>
          <t>% do plano</t>
        </is>
      </c>
      <c r="U6" s="104" t="inlineStr">
        <is>
          <t>Status no mês</t>
        </is>
      </c>
    </row>
    <row r="7">
      <c r="B7" s="148" t="inlineStr">
        <is>
          <t>Receitas</t>
        </is>
      </c>
      <c r="C7" s="129" t="n"/>
      <c r="D7" s="149">
        <f>D63</f>
        <v>0</v>
      </c>
      <c r="E7" s="149">
        <f>SUMIFS('Finanças'!$F$10:$F$1509,'Finanças'!$C$10:$C$1509,"Receita",'Finanças'!$B$10:$B$1509,"&gt;="&amp;DATE(Ano,1,1),'Finanças'!$B$10:$B$1509,"&lt;="&amp;DATE(Ano,1+1,0))</f>
        <v>0</v>
      </c>
      <c r="F7" s="149">
        <f>SUMIFS('Finanças'!$F$10:$F$1509,'Finanças'!$C$10:$C$1509,"Receita",'Finanças'!$B$10:$B$1509,"&gt;="&amp;DATE(Ano,2,1),'Finanças'!$B$10:$B$1509,"&lt;="&amp;DATE(Ano,2+1,0))</f>
        <v>0</v>
      </c>
      <c r="G7" s="149">
        <f>SUMIFS('Finanças'!$F$10:$F$1509,'Finanças'!$C$10:$C$1509,"Receita",'Finanças'!$B$10:$B$1509,"&gt;="&amp;DATE(Ano,3,1),'Finanças'!$B$10:$B$1509,"&lt;="&amp;DATE(Ano,3+1,0))</f>
        <v>0</v>
      </c>
      <c r="H7" s="149">
        <f>SUMIFS('Finanças'!$F$10:$F$1509,'Finanças'!$C$10:$C$1509,"Receita",'Finanças'!$B$10:$B$1509,"&gt;="&amp;DATE(Ano,4,1),'Finanças'!$B$10:$B$1509,"&lt;="&amp;DATE(Ano,4+1,0))</f>
        <v>0</v>
      </c>
      <c r="I7" s="149">
        <f>SUMIFS('Finanças'!$F$10:$F$1509,'Finanças'!$C$10:$C$1509,"Receita",'Finanças'!$B$10:$B$1509,"&gt;="&amp;DATE(Ano,5,1),'Finanças'!$B$10:$B$1509,"&lt;="&amp;DATE(Ano,5+1,0))</f>
        <v>0</v>
      </c>
      <c r="J7" s="149">
        <f>SUMIFS('Finanças'!$F$10:$F$1509,'Finanças'!$C$10:$C$1509,"Receita",'Finanças'!$B$10:$B$1509,"&gt;="&amp;DATE(Ano,6,1),'Finanças'!$B$10:$B$1509,"&lt;="&amp;DATE(Ano,6+1,0))</f>
        <v>0</v>
      </c>
      <c r="K7" s="149">
        <f>SUMIFS('Finanças'!$F$10:$F$1509,'Finanças'!$C$10:$C$1509,"Receita",'Finanças'!$B$10:$B$1509,"&gt;="&amp;DATE(Ano,7,1),'Finanças'!$B$10:$B$1509,"&lt;="&amp;DATE(Ano,7+1,0))</f>
        <v>0</v>
      </c>
      <c r="L7" s="149">
        <f>SUMIFS('Finanças'!$F$10:$F$1509,'Finanças'!$C$10:$C$1509,"Receita",'Finanças'!$B$10:$B$1509,"&gt;="&amp;DATE(Ano,8,1),'Finanças'!$B$10:$B$1509,"&lt;="&amp;DATE(Ano,8+1,0))</f>
        <v>0</v>
      </c>
      <c r="M7" s="149">
        <f>SUMIFS('Finanças'!$F$10:$F$1509,'Finanças'!$C$10:$C$1509,"Receita",'Finanças'!$B$10:$B$1509,"&gt;="&amp;DATE(Ano,9,1),'Finanças'!$B$10:$B$1509,"&lt;="&amp;DATE(Ano,9+1,0))</f>
        <v>0</v>
      </c>
      <c r="N7" s="149">
        <f>SUMIFS('Finanças'!$F$10:$F$1509,'Finanças'!$C$10:$C$1509,"Receita",'Finanças'!$B$10:$B$1509,"&gt;="&amp;DATE(Ano,10,1),'Finanças'!$B$10:$B$1509,"&lt;="&amp;DATE(Ano,10+1,0))</f>
        <v>0</v>
      </c>
      <c r="O7" s="149">
        <f>SUMIFS('Finanças'!$F$10:$F$1509,'Finanças'!$C$10:$C$1509,"Receita",'Finanças'!$B$10:$B$1509,"&gt;="&amp;DATE(Ano,11,1),'Finanças'!$B$10:$B$1509,"&lt;="&amp;DATE(Ano,11+1,0))</f>
        <v>0</v>
      </c>
      <c r="P7" s="149">
        <f>SUMIFS('Finanças'!$F$10:$F$1509,'Finanças'!$C$10:$C$1509,"Receita",'Finanças'!$B$10:$B$1509,"&gt;="&amp;DATE(Ano,12,1),'Finanças'!$B$10:$B$1509,"&lt;="&amp;DATE(Ano,12+1,0))</f>
        <v>0</v>
      </c>
      <c r="Q7" s="149">
        <f>SUM(E7:P7)</f>
        <v>0</v>
      </c>
      <c r="R7" s="149">
        <f>SUMPRODUCT((COLUMN($E7:$P7)-COLUMN($E7)+1&lt;=RefMes)*$E7:$P7)/RefMes</f>
        <v>0</v>
      </c>
      <c r="S7" s="149">
        <f>INDEX(E7:P7,RefMes)</f>
        <v>0</v>
      </c>
      <c r="T7" s="150" t="str">
        <f>IF(D7&gt;0,S7/D7,"")</f>
        <v/>
      </c>
      <c r="U7" s="149" t="str">
        <f>IF(T7="","",IF(T7&gt;=1,"✔ Receita prevista atingida","▲ "&amp;ROUND(T7*100,0)&amp;"% do previsto"))</f>
        <v/>
      </c>
    </row>
    <row r="8">
      <c r="B8" s="148" t="inlineStr">
        <is>
          <t>Despesas</t>
        </is>
      </c>
      <c r="C8" s="129" t="n"/>
      <c r="D8" s="149">
        <f>D43</f>
        <v>0</v>
      </c>
      <c r="E8" s="149">
        <f>SUMIFS('Finanças'!$F$10:$F$1509,'Finanças'!$C$10:$C$1509,"Despesa",'Finanças'!$B$10:$B$1509,"&gt;="&amp;DATE(Ano,1,1),'Finanças'!$B$10:$B$1509,"&lt;="&amp;DATE(Ano,1+1,0))</f>
        <v>0</v>
      </c>
      <c r="F8" s="149">
        <f>SUMIFS('Finanças'!$F$10:$F$1509,'Finanças'!$C$10:$C$1509,"Despesa",'Finanças'!$B$10:$B$1509,"&gt;="&amp;DATE(Ano,2,1),'Finanças'!$B$10:$B$1509,"&lt;="&amp;DATE(Ano,2+1,0))</f>
        <v>0</v>
      </c>
      <c r="G8" s="149">
        <f>SUMIFS('Finanças'!$F$10:$F$1509,'Finanças'!$C$10:$C$1509,"Despesa",'Finanças'!$B$10:$B$1509,"&gt;="&amp;DATE(Ano,3,1),'Finanças'!$B$10:$B$1509,"&lt;="&amp;DATE(Ano,3+1,0))</f>
        <v>0</v>
      </c>
      <c r="H8" s="149">
        <f>SUMIFS('Finanças'!$F$10:$F$1509,'Finanças'!$C$10:$C$1509,"Despesa",'Finanças'!$B$10:$B$1509,"&gt;="&amp;DATE(Ano,4,1),'Finanças'!$B$10:$B$1509,"&lt;="&amp;DATE(Ano,4+1,0))</f>
        <v>0</v>
      </c>
      <c r="I8" s="149">
        <f>SUMIFS('Finanças'!$F$10:$F$1509,'Finanças'!$C$10:$C$1509,"Despesa",'Finanças'!$B$10:$B$1509,"&gt;="&amp;DATE(Ano,5,1),'Finanças'!$B$10:$B$1509,"&lt;="&amp;DATE(Ano,5+1,0))</f>
        <v>0</v>
      </c>
      <c r="J8" s="149">
        <f>SUMIFS('Finanças'!$F$10:$F$1509,'Finanças'!$C$10:$C$1509,"Despesa",'Finanças'!$B$10:$B$1509,"&gt;="&amp;DATE(Ano,6,1),'Finanças'!$B$10:$B$1509,"&lt;="&amp;DATE(Ano,6+1,0))</f>
        <v>0</v>
      </c>
      <c r="K8" s="149">
        <f>SUMIFS('Finanças'!$F$10:$F$1509,'Finanças'!$C$10:$C$1509,"Despesa",'Finanças'!$B$10:$B$1509,"&gt;="&amp;DATE(Ano,7,1),'Finanças'!$B$10:$B$1509,"&lt;="&amp;DATE(Ano,7+1,0))</f>
        <v>0</v>
      </c>
      <c r="L8" s="149">
        <f>SUMIFS('Finanças'!$F$10:$F$1509,'Finanças'!$C$10:$C$1509,"Despesa",'Finanças'!$B$10:$B$1509,"&gt;="&amp;DATE(Ano,8,1),'Finanças'!$B$10:$B$1509,"&lt;="&amp;DATE(Ano,8+1,0))</f>
        <v>0</v>
      </c>
      <c r="M8" s="149">
        <f>SUMIFS('Finanças'!$F$10:$F$1509,'Finanças'!$C$10:$C$1509,"Despesa",'Finanças'!$B$10:$B$1509,"&gt;="&amp;DATE(Ano,9,1),'Finanças'!$B$10:$B$1509,"&lt;="&amp;DATE(Ano,9+1,0))</f>
        <v>0</v>
      </c>
      <c r="N8" s="149">
        <f>SUMIFS('Finanças'!$F$10:$F$1509,'Finanças'!$C$10:$C$1509,"Despesa",'Finanças'!$B$10:$B$1509,"&gt;="&amp;DATE(Ano,10,1),'Finanças'!$B$10:$B$1509,"&lt;="&amp;DATE(Ano,10+1,0))</f>
        <v>0</v>
      </c>
      <c r="O8" s="149">
        <f>SUMIFS('Finanças'!$F$10:$F$1509,'Finanças'!$C$10:$C$1509,"Despesa",'Finanças'!$B$10:$B$1509,"&gt;="&amp;DATE(Ano,11,1),'Finanças'!$B$10:$B$1509,"&lt;="&amp;DATE(Ano,11+1,0))</f>
        <v>0</v>
      </c>
      <c r="P8" s="149">
        <f>SUMIFS('Finanças'!$F$10:$F$1509,'Finanças'!$C$10:$C$1509,"Despesa",'Finanças'!$B$10:$B$1509,"&gt;="&amp;DATE(Ano,12,1),'Finanças'!$B$10:$B$1509,"&lt;="&amp;DATE(Ano,12+1,0))</f>
        <v>0</v>
      </c>
      <c r="Q8" s="149">
        <f>SUM(E8:P8)</f>
        <v>0</v>
      </c>
      <c r="R8" s="149">
        <f>SUMPRODUCT((COLUMN($E8:$P8)-COLUMN($E8)+1&lt;=RefMes)*$E8:$P8)/RefMes</f>
        <v>0</v>
      </c>
      <c r="S8" s="149">
        <f>INDEX(E8:P8,RefMes)</f>
        <v>0</v>
      </c>
      <c r="T8" s="150" t="str">
        <f>IF(D8&gt;0,S8/D8,"")</f>
        <v/>
      </c>
      <c r="U8" s="149" t="str">
        <f>IF(T8="","",IF(T8&gt;1,"✖ Acima do orçamento",IF(T8&gt;DiasRef/DiasMes+0.1,"▲ Gastando rápido","✔ Dentro do orçamento")))</f>
        <v/>
      </c>
    </row>
    <row r="9">
      <c r="B9" s="148" t="inlineStr">
        <is>
          <t>Resultado (receitas − despesas)</t>
        </is>
      </c>
      <c r="C9" s="129" t="n"/>
      <c r="D9" s="149">
        <f>D7-D8</f>
        <v>0</v>
      </c>
      <c r="E9" s="149">
        <f>E7-E8</f>
        <v>0</v>
      </c>
      <c r="F9" s="149">
        <f>F7-F8</f>
        <v>0</v>
      </c>
      <c r="G9" s="149">
        <f>G7-G8</f>
        <v>0</v>
      </c>
      <c r="H9" s="149">
        <f>H7-H8</f>
        <v>0</v>
      </c>
      <c r="I9" s="149">
        <f>I7-I8</f>
        <v>0</v>
      </c>
      <c r="J9" s="149">
        <f>J7-J8</f>
        <v>0</v>
      </c>
      <c r="K9" s="149">
        <f>K7-K8</f>
        <v>0</v>
      </c>
      <c r="L9" s="149">
        <f>L7-L8</f>
        <v>0</v>
      </c>
      <c r="M9" s="149">
        <f>M7-M8</f>
        <v>0</v>
      </c>
      <c r="N9" s="149">
        <f>N7-N8</f>
        <v>0</v>
      </c>
      <c r="O9" s="149">
        <f>O7-O8</f>
        <v>0</v>
      </c>
      <c r="P9" s="149">
        <f>P7-P8</f>
        <v>0</v>
      </c>
      <c r="Q9" s="149">
        <f>SUM(E9:P9)</f>
        <v>0</v>
      </c>
      <c r="R9" s="149">
        <f>SUMPRODUCT((COLUMN($E9:$P9)-COLUMN($E9)+1&lt;=RefMes)*$E9:$P9)/RefMes</f>
        <v>0</v>
      </c>
      <c r="S9" s="149">
        <f>INDEX(E9:P9,RefMes)</f>
        <v>0</v>
      </c>
      <c r="T9" s="149" t="n"/>
      <c r="U9" s="149" t="n"/>
    </row>
    <row r="10">
      <c r="B10" s="148" t="inlineStr">
        <is>
          <t>Aportes (poupança / invest.)</t>
        </is>
      </c>
      <c r="C10" s="129" t="n"/>
      <c r="D10" s="149" t="n"/>
      <c r="E10" s="149">
        <f>SUMIFS('Finanças'!$F$10:$F$1509,'Finanças'!$C$10:$C$1509,"Aporte",'Finanças'!$B$10:$B$1509,"&gt;="&amp;DATE(Ano,1,1),'Finanças'!$B$10:$B$1509,"&lt;="&amp;DATE(Ano,1+1,0))</f>
        <v>0</v>
      </c>
      <c r="F10" s="149">
        <f>SUMIFS('Finanças'!$F$10:$F$1509,'Finanças'!$C$10:$C$1509,"Aporte",'Finanças'!$B$10:$B$1509,"&gt;="&amp;DATE(Ano,2,1),'Finanças'!$B$10:$B$1509,"&lt;="&amp;DATE(Ano,2+1,0))</f>
        <v>0</v>
      </c>
      <c r="G10" s="149">
        <f>SUMIFS('Finanças'!$F$10:$F$1509,'Finanças'!$C$10:$C$1509,"Aporte",'Finanças'!$B$10:$B$1509,"&gt;="&amp;DATE(Ano,3,1),'Finanças'!$B$10:$B$1509,"&lt;="&amp;DATE(Ano,3+1,0))</f>
        <v>0</v>
      </c>
      <c r="H10" s="149">
        <f>SUMIFS('Finanças'!$F$10:$F$1509,'Finanças'!$C$10:$C$1509,"Aporte",'Finanças'!$B$10:$B$1509,"&gt;="&amp;DATE(Ano,4,1),'Finanças'!$B$10:$B$1509,"&lt;="&amp;DATE(Ano,4+1,0))</f>
        <v>0</v>
      </c>
      <c r="I10" s="149">
        <f>SUMIFS('Finanças'!$F$10:$F$1509,'Finanças'!$C$10:$C$1509,"Aporte",'Finanças'!$B$10:$B$1509,"&gt;="&amp;DATE(Ano,5,1),'Finanças'!$B$10:$B$1509,"&lt;="&amp;DATE(Ano,5+1,0))</f>
        <v>0</v>
      </c>
      <c r="J10" s="149">
        <f>SUMIFS('Finanças'!$F$10:$F$1509,'Finanças'!$C$10:$C$1509,"Aporte",'Finanças'!$B$10:$B$1509,"&gt;="&amp;DATE(Ano,6,1),'Finanças'!$B$10:$B$1509,"&lt;="&amp;DATE(Ano,6+1,0))</f>
        <v>0</v>
      </c>
      <c r="K10" s="149">
        <f>SUMIFS('Finanças'!$F$10:$F$1509,'Finanças'!$C$10:$C$1509,"Aporte",'Finanças'!$B$10:$B$1509,"&gt;="&amp;DATE(Ano,7,1),'Finanças'!$B$10:$B$1509,"&lt;="&amp;DATE(Ano,7+1,0))</f>
        <v>0</v>
      </c>
      <c r="L10" s="149">
        <f>SUMIFS('Finanças'!$F$10:$F$1509,'Finanças'!$C$10:$C$1509,"Aporte",'Finanças'!$B$10:$B$1509,"&gt;="&amp;DATE(Ano,8,1),'Finanças'!$B$10:$B$1509,"&lt;="&amp;DATE(Ano,8+1,0))</f>
        <v>0</v>
      </c>
      <c r="M10" s="149">
        <f>SUMIFS('Finanças'!$F$10:$F$1509,'Finanças'!$C$10:$C$1509,"Aporte",'Finanças'!$B$10:$B$1509,"&gt;="&amp;DATE(Ano,9,1),'Finanças'!$B$10:$B$1509,"&lt;="&amp;DATE(Ano,9+1,0))</f>
        <v>0</v>
      </c>
      <c r="N10" s="149">
        <f>SUMIFS('Finanças'!$F$10:$F$1509,'Finanças'!$C$10:$C$1509,"Aporte",'Finanças'!$B$10:$B$1509,"&gt;="&amp;DATE(Ano,10,1),'Finanças'!$B$10:$B$1509,"&lt;="&amp;DATE(Ano,10+1,0))</f>
        <v>0</v>
      </c>
      <c r="O10" s="149">
        <f>SUMIFS('Finanças'!$F$10:$F$1509,'Finanças'!$C$10:$C$1509,"Aporte",'Finanças'!$B$10:$B$1509,"&gt;="&amp;DATE(Ano,11,1),'Finanças'!$B$10:$B$1509,"&lt;="&amp;DATE(Ano,11+1,0))</f>
        <v>0</v>
      </c>
      <c r="P10" s="149">
        <f>SUMIFS('Finanças'!$F$10:$F$1509,'Finanças'!$C$10:$C$1509,"Aporte",'Finanças'!$B$10:$B$1509,"&gt;="&amp;DATE(Ano,12,1),'Finanças'!$B$10:$B$1509,"&lt;="&amp;DATE(Ano,12+1,0))</f>
        <v>0</v>
      </c>
      <c r="Q10" s="149">
        <f>SUM(E10:P10)</f>
        <v>0</v>
      </c>
      <c r="R10" s="149">
        <f>SUMPRODUCT((COLUMN($E10:$P10)-COLUMN($E10)+1&lt;=RefMes)*$E10:$P10)/RefMes</f>
        <v>0</v>
      </c>
      <c r="S10" s="149">
        <f>INDEX(E10:P10,RefMes)</f>
        <v>0</v>
      </c>
      <c r="T10" s="149" t="n"/>
      <c r="U10" s="149" t="n"/>
    </row>
    <row r="11">
      <c r="B11" s="148" t="inlineStr">
        <is>
          <t>Saldo em caixa (resultado − aportes)</t>
        </is>
      </c>
      <c r="C11" s="129" t="n"/>
      <c r="D11" s="149" t="n"/>
      <c r="E11" s="149">
        <f>E9-E10</f>
        <v>0</v>
      </c>
      <c r="F11" s="149">
        <f>F9-F10</f>
        <v>0</v>
      </c>
      <c r="G11" s="149">
        <f>G9-G10</f>
        <v>0</v>
      </c>
      <c r="H11" s="149">
        <f>H9-H10</f>
        <v>0</v>
      </c>
      <c r="I11" s="149">
        <f>I9-I10</f>
        <v>0</v>
      </c>
      <c r="J11" s="149">
        <f>J9-J10</f>
        <v>0</v>
      </c>
      <c r="K11" s="149">
        <f>K9-K10</f>
        <v>0</v>
      </c>
      <c r="L11" s="149">
        <f>L9-L10</f>
        <v>0</v>
      </c>
      <c r="M11" s="149">
        <f>M9-M10</f>
        <v>0</v>
      </c>
      <c r="N11" s="149">
        <f>N9-N10</f>
        <v>0</v>
      </c>
      <c r="O11" s="149">
        <f>O9-O10</f>
        <v>0</v>
      </c>
      <c r="P11" s="149">
        <f>P9-P10</f>
        <v>0</v>
      </c>
      <c r="Q11" s="149">
        <f>SUM(E11:P11)</f>
        <v>0</v>
      </c>
      <c r="R11" s="149">
        <f>SUMPRODUCT((COLUMN($E11:$P11)-COLUMN($E11)+1&lt;=RefMes)*$E11:$P11)/RefMes</f>
        <v>0</v>
      </c>
      <c r="S11" s="149">
        <f>INDEX(E11:P11,RefMes)</f>
        <v>0</v>
      </c>
      <c r="T11" s="149" t="n"/>
      <c r="U11" s="149" t="n"/>
    </row>
    <row r="12">
      <c r="B12" s="148" t="inlineStr">
        <is>
          <t>Taxa de poupança</t>
        </is>
      </c>
      <c r="C12" s="129" t="n"/>
      <c r="D12" s="151" t="str">
        <f>IF(D7&gt;0,D9/D7,"")</f>
        <v/>
      </c>
      <c r="E12" s="151" t="str">
        <f>IF(E7&gt;0,E9/E7,"")</f>
        <v/>
      </c>
      <c r="F12" s="151" t="str">
        <f>IF(F7&gt;0,F9/F7,"")</f>
        <v/>
      </c>
      <c r="G12" s="151" t="str">
        <f>IF(G7&gt;0,G9/G7,"")</f>
        <v/>
      </c>
      <c r="H12" s="151" t="str">
        <f>IF(H7&gt;0,H9/H7,"")</f>
        <v/>
      </c>
      <c r="I12" s="151" t="str">
        <f>IF(I7&gt;0,I9/I7,"")</f>
        <v/>
      </c>
      <c r="J12" s="151" t="str">
        <f>IF(J7&gt;0,J9/J7,"")</f>
        <v/>
      </c>
      <c r="K12" s="151" t="str">
        <f>IF(K7&gt;0,K9/K7,"")</f>
        <v/>
      </c>
      <c r="L12" s="151" t="str">
        <f>IF(L7&gt;0,L9/L7,"")</f>
        <v/>
      </c>
      <c r="M12" s="151" t="str">
        <f>IF(M7&gt;0,M9/M7,"")</f>
        <v/>
      </c>
      <c r="N12" s="151" t="str">
        <f>IF(N7&gt;0,N9/N7,"")</f>
        <v/>
      </c>
      <c r="O12" s="151" t="str">
        <f>IF(O7&gt;0,O9/O7,"")</f>
        <v/>
      </c>
      <c r="P12" s="151" t="str">
        <f>IF(P7&gt;0,P9/P7,"")</f>
        <v/>
      </c>
      <c r="Q12" s="151" t="str">
        <f>IF(Q7&gt;0,Q9/Q7,"")</f>
        <v/>
      </c>
      <c r="R12" s="151" t="str">
        <f>IF(R7&gt;0,R9/R7,"")</f>
        <v/>
      </c>
      <c r="S12" s="151" t="str">
        <f>INDEX(E12:P12,RefMes)</f>
        <v/>
      </c>
      <c r="T12" s="149" t="n"/>
      <c r="U12" s="149" t="str">
        <f>IF(S12="","",IF(S12&gt;=MetaPoup,"✔ Meta de poupança atingida","▲ Abaixo da meta de "&amp;ROUND(MetaPoup*100,0)&amp;"%"))</f>
        <v/>
      </c>
    </row>
    <row r="13">
      <c r="B13" s="148" t="inlineStr">
        <is>
          <t>Orçamento de despesas</t>
        </is>
      </c>
      <c r="C13" s="129" t="n"/>
      <c r="D13" s="149" t="n"/>
      <c r="E13" s="149">
        <f>$D$43</f>
        <v>0</v>
      </c>
      <c r="F13" s="149">
        <f>$D$43</f>
        <v>0</v>
      </c>
      <c r="G13" s="149">
        <f>$D$43</f>
        <v>0</v>
      </c>
      <c r="H13" s="149">
        <f>$D$43</f>
        <v>0</v>
      </c>
      <c r="I13" s="149">
        <f>$D$43</f>
        <v>0</v>
      </c>
      <c r="J13" s="149">
        <f>$D$43</f>
        <v>0</v>
      </c>
      <c r="K13" s="149">
        <f>$D$43</f>
        <v>0</v>
      </c>
      <c r="L13" s="149">
        <f>$D$43</f>
        <v>0</v>
      </c>
      <c r="M13" s="149">
        <f>$D$43</f>
        <v>0</v>
      </c>
      <c r="N13" s="149">
        <f>$D$43</f>
        <v>0</v>
      </c>
      <c r="O13" s="149">
        <f>$D$43</f>
        <v>0</v>
      </c>
      <c r="P13" s="149">
        <f>$D$43</f>
        <v>0</v>
      </c>
      <c r="Q13" s="149">
        <f>D8*12</f>
        <v>0</v>
      </c>
      <c r="R13" s="149" t="n"/>
      <c r="S13" s="149">
        <f>D8</f>
        <v>0</v>
      </c>
      <c r="T13" s="149" t="n"/>
      <c r="U13" s="149" t="n"/>
    </row>
    <row r="14">
      <c r="B14" s="148" t="inlineStr">
        <is>
          <t>Desvio (real − orçado)</t>
        </is>
      </c>
      <c r="C14" s="129" t="n"/>
      <c r="D14" s="149" t="n"/>
      <c r="E14" s="149" t="str">
        <f>IF(E8=0,"",E8-E13)</f>
        <v/>
      </c>
      <c r="F14" s="149" t="str">
        <f>IF(F8=0,"",F8-F13)</f>
        <v/>
      </c>
      <c r="G14" s="149" t="str">
        <f>IF(G8=0,"",G8-G13)</f>
        <v/>
      </c>
      <c r="H14" s="149" t="str">
        <f>IF(H8=0,"",H8-H13)</f>
        <v/>
      </c>
      <c r="I14" s="149" t="str">
        <f>IF(I8=0,"",I8-I13)</f>
        <v/>
      </c>
      <c r="J14" s="149" t="str">
        <f>IF(J8=0,"",J8-J13)</f>
        <v/>
      </c>
      <c r="K14" s="149" t="str">
        <f>IF(K8=0,"",K8-K13)</f>
        <v/>
      </c>
      <c r="L14" s="149" t="str">
        <f>IF(L8=0,"",L8-L13)</f>
        <v/>
      </c>
      <c r="M14" s="149" t="str">
        <f>IF(M8=0,"",M8-M13)</f>
        <v/>
      </c>
      <c r="N14" s="149" t="str">
        <f>IF(N8=0,"",N8-N13)</f>
        <v/>
      </c>
      <c r="O14" s="149" t="str">
        <f>IF(O8=0,"",O8-O13)</f>
        <v/>
      </c>
      <c r="P14" s="149" t="str">
        <f>IF(P8=0,"",P8-P13)</f>
        <v/>
      </c>
      <c r="Q14" s="149">
        <f>SUM(E14:P14)</f>
        <v>0</v>
      </c>
      <c r="R14" s="149" t="n"/>
      <c r="S14" s="149" t="str">
        <f>INDEX(E14:P14,RefMes)</f>
        <v/>
      </c>
      <c r="T14" s="149" t="n"/>
      <c r="U14" s="149" t="n"/>
    </row>
    <row r="16" ht="22" customHeight="1">
      <c r="B16" s="146" t="inlineStr">
        <is>
          <t>DESPESAS POR CATEGORIA</t>
        </is>
      </c>
      <c r="C16" s="147" t="n"/>
      <c r="D16" s="147" t="n"/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</row>
    <row r="17" ht="30" customHeight="1">
      <c r="B17" s="103" t="inlineStr">
        <is>
          <t>Categoria</t>
        </is>
      </c>
      <c r="C17" s="103" t="inlineStr">
        <is>
          <t>Grupo</t>
        </is>
      </c>
      <c r="D17" s="103" t="inlineStr">
        <is>
          <t>Orçamento / mês</t>
        </is>
      </c>
      <c r="E17" s="104" t="inlineStr">
        <is>
          <t>Jan</t>
        </is>
      </c>
      <c r="F17" s="104" t="inlineStr">
        <is>
          <t>Fev</t>
        </is>
      </c>
      <c r="G17" s="104" t="inlineStr">
        <is>
          <t>Mar</t>
        </is>
      </c>
      <c r="H17" s="104" t="inlineStr">
        <is>
          <t>Abr</t>
        </is>
      </c>
      <c r="I17" s="104" t="inlineStr">
        <is>
          <t>Mai</t>
        </is>
      </c>
      <c r="J17" s="104" t="inlineStr">
        <is>
          <t>Jun</t>
        </is>
      </c>
      <c r="K17" s="104" t="inlineStr">
        <is>
          <t>Jul</t>
        </is>
      </c>
      <c r="L17" s="104" t="inlineStr">
        <is>
          <t>Ago</t>
        </is>
      </c>
      <c r="M17" s="104" t="inlineStr">
        <is>
          <t>Set</t>
        </is>
      </c>
      <c r="N17" s="104" t="inlineStr">
        <is>
          <t>Out</t>
        </is>
      </c>
      <c r="O17" s="104" t="inlineStr">
        <is>
          <t>Nov</t>
        </is>
      </c>
      <c r="P17" s="104" t="inlineStr">
        <is>
          <t>Dez</t>
        </is>
      </c>
      <c r="Q17" s="104" t="inlineStr">
        <is>
          <t>Total ano</t>
        </is>
      </c>
      <c r="R17" s="104" t="inlineStr">
        <is>
          <t>Média/mês até a ref.</t>
        </is>
      </c>
      <c r="S17" s="104" t="inlineStr">
        <is>
          <t>Mês de referência</t>
        </is>
      </c>
      <c r="T17" s="104" t="inlineStr">
        <is>
          <t>% do plano</t>
        </is>
      </c>
      <c r="U17" s="104" t="inlineStr">
        <is>
          <t>Status no mês</t>
        </is>
      </c>
    </row>
    <row r="18">
      <c r="B18" s="138" t="str">
        <f>IF('Config'!$I$6="","",'Config'!$I$6)</f>
        <v>Moradia</v>
      </c>
      <c r="C18" s="138" t="str">
        <f>IF(B18="","",'Config'!$J$6&amp;"")</f>
        <v>Essencial</v>
      </c>
      <c r="D18" s="152" t="n"/>
      <c r="E18" s="149">
        <f>IF($B18="","",SUMIFS('Finanças'!$F$10:$F$1509,'Finanças'!$C$10:$C$1509,"Despesa",'Finanças'!$D$10:$D$1509,$B18,'Finanças'!$B$10:$B$1509,"&gt;="&amp;DATE(Ano,1,1),'Finanças'!$B$10:$B$1509,"&lt;="&amp;DATE(Ano,1+1,0)))</f>
        <v>0</v>
      </c>
      <c r="F18" s="149">
        <f>IF($B18="","",SUMIFS('Finanças'!$F$10:$F$1509,'Finanças'!$C$10:$C$1509,"Despesa",'Finanças'!$D$10:$D$1509,$B18,'Finanças'!$B$10:$B$1509,"&gt;="&amp;DATE(Ano,2,1),'Finanças'!$B$10:$B$1509,"&lt;="&amp;DATE(Ano,2+1,0)))</f>
        <v>0</v>
      </c>
      <c r="G18" s="149">
        <f>IF($B18="","",SUMIFS('Finanças'!$F$10:$F$1509,'Finanças'!$C$10:$C$1509,"Despesa",'Finanças'!$D$10:$D$1509,$B18,'Finanças'!$B$10:$B$1509,"&gt;="&amp;DATE(Ano,3,1),'Finanças'!$B$10:$B$1509,"&lt;="&amp;DATE(Ano,3+1,0)))</f>
        <v>0</v>
      </c>
      <c r="H18" s="149">
        <f>IF($B18="","",SUMIFS('Finanças'!$F$10:$F$1509,'Finanças'!$C$10:$C$1509,"Despesa",'Finanças'!$D$10:$D$1509,$B18,'Finanças'!$B$10:$B$1509,"&gt;="&amp;DATE(Ano,4,1),'Finanças'!$B$10:$B$1509,"&lt;="&amp;DATE(Ano,4+1,0)))</f>
        <v>0</v>
      </c>
      <c r="I18" s="149">
        <f>IF($B18="","",SUMIFS('Finanças'!$F$10:$F$1509,'Finanças'!$C$10:$C$1509,"Despesa",'Finanças'!$D$10:$D$1509,$B18,'Finanças'!$B$10:$B$1509,"&gt;="&amp;DATE(Ano,5,1),'Finanças'!$B$10:$B$1509,"&lt;="&amp;DATE(Ano,5+1,0)))</f>
        <v>0</v>
      </c>
      <c r="J18" s="149">
        <f>IF($B18="","",SUMIFS('Finanças'!$F$10:$F$1509,'Finanças'!$C$10:$C$1509,"Despesa",'Finanças'!$D$10:$D$1509,$B18,'Finanças'!$B$10:$B$1509,"&gt;="&amp;DATE(Ano,6,1),'Finanças'!$B$10:$B$1509,"&lt;="&amp;DATE(Ano,6+1,0)))</f>
        <v>0</v>
      </c>
      <c r="K18" s="149">
        <f>IF($B18="","",SUMIFS('Finanças'!$F$10:$F$1509,'Finanças'!$C$10:$C$1509,"Despesa",'Finanças'!$D$10:$D$1509,$B18,'Finanças'!$B$10:$B$1509,"&gt;="&amp;DATE(Ano,7,1),'Finanças'!$B$10:$B$1509,"&lt;="&amp;DATE(Ano,7+1,0)))</f>
        <v>0</v>
      </c>
      <c r="L18" s="149">
        <f>IF($B18="","",SUMIFS('Finanças'!$F$10:$F$1509,'Finanças'!$C$10:$C$1509,"Despesa",'Finanças'!$D$10:$D$1509,$B18,'Finanças'!$B$10:$B$1509,"&gt;="&amp;DATE(Ano,8,1),'Finanças'!$B$10:$B$1509,"&lt;="&amp;DATE(Ano,8+1,0)))</f>
        <v>0</v>
      </c>
      <c r="M18" s="149">
        <f>IF($B18="","",SUMIFS('Finanças'!$F$10:$F$1509,'Finanças'!$C$10:$C$1509,"Despesa",'Finanças'!$D$10:$D$1509,$B18,'Finanças'!$B$10:$B$1509,"&gt;="&amp;DATE(Ano,9,1),'Finanças'!$B$10:$B$1509,"&lt;="&amp;DATE(Ano,9+1,0)))</f>
        <v>0</v>
      </c>
      <c r="N18" s="149">
        <f>IF($B18="","",SUMIFS('Finanças'!$F$10:$F$1509,'Finanças'!$C$10:$C$1509,"Despesa",'Finanças'!$D$10:$D$1509,$B18,'Finanças'!$B$10:$B$1509,"&gt;="&amp;DATE(Ano,10,1),'Finanças'!$B$10:$B$1509,"&lt;="&amp;DATE(Ano,10+1,0)))</f>
        <v>0</v>
      </c>
      <c r="O18" s="149">
        <f>IF($B18="","",SUMIFS('Finanças'!$F$10:$F$1509,'Finanças'!$C$10:$C$1509,"Despesa",'Finanças'!$D$10:$D$1509,$B18,'Finanças'!$B$10:$B$1509,"&gt;="&amp;DATE(Ano,11,1),'Finanças'!$B$10:$B$1509,"&lt;="&amp;DATE(Ano,11+1,0)))</f>
        <v>0</v>
      </c>
      <c r="P18" s="149">
        <f>IF($B18="","",SUMIFS('Finanças'!$F$10:$F$1509,'Finanças'!$C$10:$C$1509,"Despesa",'Finanças'!$D$10:$D$1509,$B18,'Finanças'!$B$10:$B$1509,"&gt;="&amp;DATE(Ano,12,1),'Finanças'!$B$10:$B$1509,"&lt;="&amp;DATE(Ano,12+1,0)))</f>
        <v>0</v>
      </c>
      <c r="Q18" s="149">
        <f>IF(B18="","",SUM(E18:P18))</f>
        <v>0</v>
      </c>
      <c r="R18" s="149">
        <f>IF(B18="","",SUMPRODUCT((COLUMN($E18:$P18)-COLUMN($E18)+1&lt;=RefMes)*$E18:$P18)/RefMes)</f>
        <v>0</v>
      </c>
      <c r="S18" s="149">
        <f>IF(B18="","",INDEX(E18:P18,RefMes))</f>
        <v>0</v>
      </c>
      <c r="T18" s="150" t="str">
        <f>IF(OR(B18="",N(D18)=0),"",S18/D18)</f>
        <v/>
      </c>
      <c r="U18" s="138" t="str">
        <f>IF(T18="",IF(AND(B18&lt;&gt;"",N(S18)&gt;0),"○ Sem orçamento",""),IF(T18&gt;1,"✖ Estourou",IF(T18&gt;DiasRef/DiasMes+0.15,"▲ Ritmo alto","✔ OK")))</f>
        <v/>
      </c>
    </row>
    <row r="19">
      <c r="B19" s="138" t="str">
        <f>IF('Config'!$I$7="","",'Config'!$I$7)</f>
        <v>Contas da casa</v>
      </c>
      <c r="C19" s="138" t="str">
        <f>IF(B19="","",'Config'!$J$7&amp;"")</f>
        <v>Essencial</v>
      </c>
      <c r="D19" s="152" t="n"/>
      <c r="E19" s="149">
        <f>IF($B19="","",SUMIFS('Finanças'!$F$10:$F$1509,'Finanças'!$C$10:$C$1509,"Despesa",'Finanças'!$D$10:$D$1509,$B19,'Finanças'!$B$10:$B$1509,"&gt;="&amp;DATE(Ano,1,1),'Finanças'!$B$10:$B$1509,"&lt;="&amp;DATE(Ano,1+1,0)))</f>
        <v>0</v>
      </c>
      <c r="F19" s="149">
        <f>IF($B19="","",SUMIFS('Finanças'!$F$10:$F$1509,'Finanças'!$C$10:$C$1509,"Despesa",'Finanças'!$D$10:$D$1509,$B19,'Finanças'!$B$10:$B$1509,"&gt;="&amp;DATE(Ano,2,1),'Finanças'!$B$10:$B$1509,"&lt;="&amp;DATE(Ano,2+1,0)))</f>
        <v>0</v>
      </c>
      <c r="G19" s="149">
        <f>IF($B19="","",SUMIFS('Finanças'!$F$10:$F$1509,'Finanças'!$C$10:$C$1509,"Despesa",'Finanças'!$D$10:$D$1509,$B19,'Finanças'!$B$10:$B$1509,"&gt;="&amp;DATE(Ano,3,1),'Finanças'!$B$10:$B$1509,"&lt;="&amp;DATE(Ano,3+1,0)))</f>
        <v>0</v>
      </c>
      <c r="H19" s="149">
        <f>IF($B19="","",SUMIFS('Finanças'!$F$10:$F$1509,'Finanças'!$C$10:$C$1509,"Despesa",'Finanças'!$D$10:$D$1509,$B19,'Finanças'!$B$10:$B$1509,"&gt;="&amp;DATE(Ano,4,1),'Finanças'!$B$10:$B$1509,"&lt;="&amp;DATE(Ano,4+1,0)))</f>
        <v>0</v>
      </c>
      <c r="I19" s="149">
        <f>IF($B19="","",SUMIFS('Finanças'!$F$10:$F$1509,'Finanças'!$C$10:$C$1509,"Despesa",'Finanças'!$D$10:$D$1509,$B19,'Finanças'!$B$10:$B$1509,"&gt;="&amp;DATE(Ano,5,1),'Finanças'!$B$10:$B$1509,"&lt;="&amp;DATE(Ano,5+1,0)))</f>
        <v>0</v>
      </c>
      <c r="J19" s="149">
        <f>IF($B19="","",SUMIFS('Finanças'!$F$10:$F$1509,'Finanças'!$C$10:$C$1509,"Despesa",'Finanças'!$D$10:$D$1509,$B19,'Finanças'!$B$10:$B$1509,"&gt;="&amp;DATE(Ano,6,1),'Finanças'!$B$10:$B$1509,"&lt;="&amp;DATE(Ano,6+1,0)))</f>
        <v>0</v>
      </c>
      <c r="K19" s="149">
        <f>IF($B19="","",SUMIFS('Finanças'!$F$10:$F$1509,'Finanças'!$C$10:$C$1509,"Despesa",'Finanças'!$D$10:$D$1509,$B19,'Finanças'!$B$10:$B$1509,"&gt;="&amp;DATE(Ano,7,1),'Finanças'!$B$10:$B$1509,"&lt;="&amp;DATE(Ano,7+1,0)))</f>
        <v>0</v>
      </c>
      <c r="L19" s="149">
        <f>IF($B19="","",SUMIFS('Finanças'!$F$10:$F$1509,'Finanças'!$C$10:$C$1509,"Despesa",'Finanças'!$D$10:$D$1509,$B19,'Finanças'!$B$10:$B$1509,"&gt;="&amp;DATE(Ano,8,1),'Finanças'!$B$10:$B$1509,"&lt;="&amp;DATE(Ano,8+1,0)))</f>
        <v>0</v>
      </c>
      <c r="M19" s="149">
        <f>IF($B19="","",SUMIFS('Finanças'!$F$10:$F$1509,'Finanças'!$C$10:$C$1509,"Despesa",'Finanças'!$D$10:$D$1509,$B19,'Finanças'!$B$10:$B$1509,"&gt;="&amp;DATE(Ano,9,1),'Finanças'!$B$10:$B$1509,"&lt;="&amp;DATE(Ano,9+1,0)))</f>
        <v>0</v>
      </c>
      <c r="N19" s="149">
        <f>IF($B19="","",SUMIFS('Finanças'!$F$10:$F$1509,'Finanças'!$C$10:$C$1509,"Despesa",'Finanças'!$D$10:$D$1509,$B19,'Finanças'!$B$10:$B$1509,"&gt;="&amp;DATE(Ano,10,1),'Finanças'!$B$10:$B$1509,"&lt;="&amp;DATE(Ano,10+1,0)))</f>
        <v>0</v>
      </c>
      <c r="O19" s="149">
        <f>IF($B19="","",SUMIFS('Finanças'!$F$10:$F$1509,'Finanças'!$C$10:$C$1509,"Despesa",'Finanças'!$D$10:$D$1509,$B19,'Finanças'!$B$10:$B$1509,"&gt;="&amp;DATE(Ano,11,1),'Finanças'!$B$10:$B$1509,"&lt;="&amp;DATE(Ano,11+1,0)))</f>
        <v>0</v>
      </c>
      <c r="P19" s="149">
        <f>IF($B19="","",SUMIFS('Finanças'!$F$10:$F$1509,'Finanças'!$C$10:$C$1509,"Despesa",'Finanças'!$D$10:$D$1509,$B19,'Finanças'!$B$10:$B$1509,"&gt;="&amp;DATE(Ano,12,1),'Finanças'!$B$10:$B$1509,"&lt;="&amp;DATE(Ano,12+1,0)))</f>
        <v>0</v>
      </c>
      <c r="Q19" s="149">
        <f>IF(B19="","",SUM(E19:P19))</f>
        <v>0</v>
      </c>
      <c r="R19" s="149">
        <f>IF(B19="","",SUMPRODUCT((COLUMN($E19:$P19)-COLUMN($E19)+1&lt;=RefMes)*$E19:$P19)/RefMes)</f>
        <v>0</v>
      </c>
      <c r="S19" s="149">
        <f>IF(B19="","",INDEX(E19:P19,RefMes))</f>
        <v>0</v>
      </c>
      <c r="T19" s="150" t="str">
        <f>IF(OR(B19="",N(D19)=0),"",S19/D19)</f>
        <v/>
      </c>
      <c r="U19" s="138" t="str">
        <f>IF(T19="",IF(AND(B19&lt;&gt;"",N(S19)&gt;0),"○ Sem orçamento",""),IF(T19&gt;1,"✖ Estourou",IF(T19&gt;DiasRef/DiasMes+0.15,"▲ Ritmo alto","✔ OK")))</f>
        <v/>
      </c>
    </row>
    <row r="20">
      <c r="B20" s="138" t="str">
        <f>IF('Config'!$I$8="","",'Config'!$I$8)</f>
        <v>Mercado</v>
      </c>
      <c r="C20" s="138" t="str">
        <f>IF(B20="","",'Config'!$J$8&amp;"")</f>
        <v>Essencial</v>
      </c>
      <c r="D20" s="152" t="n"/>
      <c r="E20" s="149">
        <f>IF($B20="","",SUMIFS('Finanças'!$F$10:$F$1509,'Finanças'!$C$10:$C$1509,"Despesa",'Finanças'!$D$10:$D$1509,$B20,'Finanças'!$B$10:$B$1509,"&gt;="&amp;DATE(Ano,1,1),'Finanças'!$B$10:$B$1509,"&lt;="&amp;DATE(Ano,1+1,0)))</f>
        <v>0</v>
      </c>
      <c r="F20" s="149">
        <f>IF($B20="","",SUMIFS('Finanças'!$F$10:$F$1509,'Finanças'!$C$10:$C$1509,"Despesa",'Finanças'!$D$10:$D$1509,$B20,'Finanças'!$B$10:$B$1509,"&gt;="&amp;DATE(Ano,2,1),'Finanças'!$B$10:$B$1509,"&lt;="&amp;DATE(Ano,2+1,0)))</f>
        <v>0</v>
      </c>
      <c r="G20" s="149">
        <f>IF($B20="","",SUMIFS('Finanças'!$F$10:$F$1509,'Finanças'!$C$10:$C$1509,"Despesa",'Finanças'!$D$10:$D$1509,$B20,'Finanças'!$B$10:$B$1509,"&gt;="&amp;DATE(Ano,3,1),'Finanças'!$B$10:$B$1509,"&lt;="&amp;DATE(Ano,3+1,0)))</f>
        <v>0</v>
      </c>
      <c r="H20" s="149">
        <f>IF($B20="","",SUMIFS('Finanças'!$F$10:$F$1509,'Finanças'!$C$10:$C$1509,"Despesa",'Finanças'!$D$10:$D$1509,$B20,'Finanças'!$B$10:$B$1509,"&gt;="&amp;DATE(Ano,4,1),'Finanças'!$B$10:$B$1509,"&lt;="&amp;DATE(Ano,4+1,0)))</f>
        <v>0</v>
      </c>
      <c r="I20" s="149">
        <f>IF($B20="","",SUMIFS('Finanças'!$F$10:$F$1509,'Finanças'!$C$10:$C$1509,"Despesa",'Finanças'!$D$10:$D$1509,$B20,'Finanças'!$B$10:$B$1509,"&gt;="&amp;DATE(Ano,5,1),'Finanças'!$B$10:$B$1509,"&lt;="&amp;DATE(Ano,5+1,0)))</f>
        <v>0</v>
      </c>
      <c r="J20" s="149">
        <f>IF($B20="","",SUMIFS('Finanças'!$F$10:$F$1509,'Finanças'!$C$10:$C$1509,"Despesa",'Finanças'!$D$10:$D$1509,$B20,'Finanças'!$B$10:$B$1509,"&gt;="&amp;DATE(Ano,6,1),'Finanças'!$B$10:$B$1509,"&lt;="&amp;DATE(Ano,6+1,0)))</f>
        <v>0</v>
      </c>
      <c r="K20" s="149">
        <f>IF($B20="","",SUMIFS('Finanças'!$F$10:$F$1509,'Finanças'!$C$10:$C$1509,"Despesa",'Finanças'!$D$10:$D$1509,$B20,'Finanças'!$B$10:$B$1509,"&gt;="&amp;DATE(Ano,7,1),'Finanças'!$B$10:$B$1509,"&lt;="&amp;DATE(Ano,7+1,0)))</f>
        <v>0</v>
      </c>
      <c r="L20" s="149">
        <f>IF($B20="","",SUMIFS('Finanças'!$F$10:$F$1509,'Finanças'!$C$10:$C$1509,"Despesa",'Finanças'!$D$10:$D$1509,$B20,'Finanças'!$B$10:$B$1509,"&gt;="&amp;DATE(Ano,8,1),'Finanças'!$B$10:$B$1509,"&lt;="&amp;DATE(Ano,8+1,0)))</f>
        <v>0</v>
      </c>
      <c r="M20" s="149">
        <f>IF($B20="","",SUMIFS('Finanças'!$F$10:$F$1509,'Finanças'!$C$10:$C$1509,"Despesa",'Finanças'!$D$10:$D$1509,$B20,'Finanças'!$B$10:$B$1509,"&gt;="&amp;DATE(Ano,9,1),'Finanças'!$B$10:$B$1509,"&lt;="&amp;DATE(Ano,9+1,0)))</f>
        <v>0</v>
      </c>
      <c r="N20" s="149">
        <f>IF($B20="","",SUMIFS('Finanças'!$F$10:$F$1509,'Finanças'!$C$10:$C$1509,"Despesa",'Finanças'!$D$10:$D$1509,$B20,'Finanças'!$B$10:$B$1509,"&gt;="&amp;DATE(Ano,10,1),'Finanças'!$B$10:$B$1509,"&lt;="&amp;DATE(Ano,10+1,0)))</f>
        <v>0</v>
      </c>
      <c r="O20" s="149">
        <f>IF($B20="","",SUMIFS('Finanças'!$F$10:$F$1509,'Finanças'!$C$10:$C$1509,"Despesa",'Finanças'!$D$10:$D$1509,$B20,'Finanças'!$B$10:$B$1509,"&gt;="&amp;DATE(Ano,11,1),'Finanças'!$B$10:$B$1509,"&lt;="&amp;DATE(Ano,11+1,0)))</f>
        <v>0</v>
      </c>
      <c r="P20" s="149">
        <f>IF($B20="","",SUMIFS('Finanças'!$F$10:$F$1509,'Finanças'!$C$10:$C$1509,"Despesa",'Finanças'!$D$10:$D$1509,$B20,'Finanças'!$B$10:$B$1509,"&gt;="&amp;DATE(Ano,12,1),'Finanças'!$B$10:$B$1509,"&lt;="&amp;DATE(Ano,12+1,0)))</f>
        <v>0</v>
      </c>
      <c r="Q20" s="149">
        <f>IF(B20="","",SUM(E20:P20))</f>
        <v>0</v>
      </c>
      <c r="R20" s="149">
        <f>IF(B20="","",SUMPRODUCT((COLUMN($E20:$P20)-COLUMN($E20)+1&lt;=RefMes)*$E20:$P20)/RefMes)</f>
        <v>0</v>
      </c>
      <c r="S20" s="149">
        <f>IF(B20="","",INDEX(E20:P20,RefMes))</f>
        <v>0</v>
      </c>
      <c r="T20" s="150" t="str">
        <f>IF(OR(B20="",N(D20)=0),"",S20/D20)</f>
        <v/>
      </c>
      <c r="U20" s="138" t="str">
        <f>IF(T20="",IF(AND(B20&lt;&gt;"",N(S20)&gt;0),"○ Sem orçamento",""),IF(T20&gt;1,"✖ Estourou",IF(T20&gt;DiasRef/DiasMes+0.15,"▲ Ritmo alto","✔ OK")))</f>
        <v/>
      </c>
    </row>
    <row r="21">
      <c r="B21" s="138" t="str">
        <f>IF('Config'!$I$9="","",'Config'!$I$9)</f>
        <v>Transporte</v>
      </c>
      <c r="C21" s="138" t="str">
        <f>IF(B21="","",'Config'!$J$9&amp;"")</f>
        <v>Essencial</v>
      </c>
      <c r="D21" s="152" t="n"/>
      <c r="E21" s="149">
        <f>IF($B21="","",SUMIFS('Finanças'!$F$10:$F$1509,'Finanças'!$C$10:$C$1509,"Despesa",'Finanças'!$D$10:$D$1509,$B21,'Finanças'!$B$10:$B$1509,"&gt;="&amp;DATE(Ano,1,1),'Finanças'!$B$10:$B$1509,"&lt;="&amp;DATE(Ano,1+1,0)))</f>
        <v>0</v>
      </c>
      <c r="F21" s="149">
        <f>IF($B21="","",SUMIFS('Finanças'!$F$10:$F$1509,'Finanças'!$C$10:$C$1509,"Despesa",'Finanças'!$D$10:$D$1509,$B21,'Finanças'!$B$10:$B$1509,"&gt;="&amp;DATE(Ano,2,1),'Finanças'!$B$10:$B$1509,"&lt;="&amp;DATE(Ano,2+1,0)))</f>
        <v>0</v>
      </c>
      <c r="G21" s="149">
        <f>IF($B21="","",SUMIFS('Finanças'!$F$10:$F$1509,'Finanças'!$C$10:$C$1509,"Despesa",'Finanças'!$D$10:$D$1509,$B21,'Finanças'!$B$10:$B$1509,"&gt;="&amp;DATE(Ano,3,1),'Finanças'!$B$10:$B$1509,"&lt;="&amp;DATE(Ano,3+1,0)))</f>
        <v>0</v>
      </c>
      <c r="H21" s="149">
        <f>IF($B21="","",SUMIFS('Finanças'!$F$10:$F$1509,'Finanças'!$C$10:$C$1509,"Despesa",'Finanças'!$D$10:$D$1509,$B21,'Finanças'!$B$10:$B$1509,"&gt;="&amp;DATE(Ano,4,1),'Finanças'!$B$10:$B$1509,"&lt;="&amp;DATE(Ano,4+1,0)))</f>
        <v>0</v>
      </c>
      <c r="I21" s="149">
        <f>IF($B21="","",SUMIFS('Finanças'!$F$10:$F$1509,'Finanças'!$C$10:$C$1509,"Despesa",'Finanças'!$D$10:$D$1509,$B21,'Finanças'!$B$10:$B$1509,"&gt;="&amp;DATE(Ano,5,1),'Finanças'!$B$10:$B$1509,"&lt;="&amp;DATE(Ano,5+1,0)))</f>
        <v>0</v>
      </c>
      <c r="J21" s="149">
        <f>IF($B21="","",SUMIFS('Finanças'!$F$10:$F$1509,'Finanças'!$C$10:$C$1509,"Despesa",'Finanças'!$D$10:$D$1509,$B21,'Finanças'!$B$10:$B$1509,"&gt;="&amp;DATE(Ano,6,1),'Finanças'!$B$10:$B$1509,"&lt;="&amp;DATE(Ano,6+1,0)))</f>
        <v>0</v>
      </c>
      <c r="K21" s="149">
        <f>IF($B21="","",SUMIFS('Finanças'!$F$10:$F$1509,'Finanças'!$C$10:$C$1509,"Despesa",'Finanças'!$D$10:$D$1509,$B21,'Finanças'!$B$10:$B$1509,"&gt;="&amp;DATE(Ano,7,1),'Finanças'!$B$10:$B$1509,"&lt;="&amp;DATE(Ano,7+1,0)))</f>
        <v>0</v>
      </c>
      <c r="L21" s="149">
        <f>IF($B21="","",SUMIFS('Finanças'!$F$10:$F$1509,'Finanças'!$C$10:$C$1509,"Despesa",'Finanças'!$D$10:$D$1509,$B21,'Finanças'!$B$10:$B$1509,"&gt;="&amp;DATE(Ano,8,1),'Finanças'!$B$10:$B$1509,"&lt;="&amp;DATE(Ano,8+1,0)))</f>
        <v>0</v>
      </c>
      <c r="M21" s="149">
        <f>IF($B21="","",SUMIFS('Finanças'!$F$10:$F$1509,'Finanças'!$C$10:$C$1509,"Despesa",'Finanças'!$D$10:$D$1509,$B21,'Finanças'!$B$10:$B$1509,"&gt;="&amp;DATE(Ano,9,1),'Finanças'!$B$10:$B$1509,"&lt;="&amp;DATE(Ano,9+1,0)))</f>
        <v>0</v>
      </c>
      <c r="N21" s="149">
        <f>IF($B21="","",SUMIFS('Finanças'!$F$10:$F$1509,'Finanças'!$C$10:$C$1509,"Despesa",'Finanças'!$D$10:$D$1509,$B21,'Finanças'!$B$10:$B$1509,"&gt;="&amp;DATE(Ano,10,1),'Finanças'!$B$10:$B$1509,"&lt;="&amp;DATE(Ano,10+1,0)))</f>
        <v>0</v>
      </c>
      <c r="O21" s="149">
        <f>IF($B21="","",SUMIFS('Finanças'!$F$10:$F$1509,'Finanças'!$C$10:$C$1509,"Despesa",'Finanças'!$D$10:$D$1509,$B21,'Finanças'!$B$10:$B$1509,"&gt;="&amp;DATE(Ano,11,1),'Finanças'!$B$10:$B$1509,"&lt;="&amp;DATE(Ano,11+1,0)))</f>
        <v>0</v>
      </c>
      <c r="P21" s="149">
        <f>IF($B21="","",SUMIFS('Finanças'!$F$10:$F$1509,'Finanças'!$C$10:$C$1509,"Despesa",'Finanças'!$D$10:$D$1509,$B21,'Finanças'!$B$10:$B$1509,"&gt;="&amp;DATE(Ano,12,1),'Finanças'!$B$10:$B$1509,"&lt;="&amp;DATE(Ano,12+1,0)))</f>
        <v>0</v>
      </c>
      <c r="Q21" s="149">
        <f>IF(B21="","",SUM(E21:P21))</f>
        <v>0</v>
      </c>
      <c r="R21" s="149">
        <f>IF(B21="","",SUMPRODUCT((COLUMN($E21:$P21)-COLUMN($E21)+1&lt;=RefMes)*$E21:$P21)/RefMes)</f>
        <v>0</v>
      </c>
      <c r="S21" s="149">
        <f>IF(B21="","",INDEX(E21:P21,RefMes))</f>
        <v>0</v>
      </c>
      <c r="T21" s="150" t="str">
        <f>IF(OR(B21="",N(D21)=0),"",S21/D21)</f>
        <v/>
      </c>
      <c r="U21" s="138" t="str">
        <f>IF(T21="",IF(AND(B21&lt;&gt;"",N(S21)&gt;0),"○ Sem orçamento",""),IF(T21&gt;1,"✖ Estourou",IF(T21&gt;DiasRef/DiasMes+0.15,"▲ Ritmo alto","✔ OK")))</f>
        <v/>
      </c>
    </row>
    <row r="22">
      <c r="B22" s="138" t="str">
        <f>IF('Config'!$I$10="","",'Config'!$I$10)</f>
        <v>Saúde &amp; bem-estar</v>
      </c>
      <c r="C22" s="138" t="str">
        <f>IF(B22="","",'Config'!$J$10&amp;"")</f>
        <v>Essencial</v>
      </c>
      <c r="D22" s="152" t="n"/>
      <c r="E22" s="149">
        <f>IF($B22="","",SUMIFS('Finanças'!$F$10:$F$1509,'Finanças'!$C$10:$C$1509,"Despesa",'Finanças'!$D$10:$D$1509,$B22,'Finanças'!$B$10:$B$1509,"&gt;="&amp;DATE(Ano,1,1),'Finanças'!$B$10:$B$1509,"&lt;="&amp;DATE(Ano,1+1,0)))</f>
        <v>0</v>
      </c>
      <c r="F22" s="149">
        <f>IF($B22="","",SUMIFS('Finanças'!$F$10:$F$1509,'Finanças'!$C$10:$C$1509,"Despesa",'Finanças'!$D$10:$D$1509,$B22,'Finanças'!$B$10:$B$1509,"&gt;="&amp;DATE(Ano,2,1),'Finanças'!$B$10:$B$1509,"&lt;="&amp;DATE(Ano,2+1,0)))</f>
        <v>0</v>
      </c>
      <c r="G22" s="149">
        <f>IF($B22="","",SUMIFS('Finanças'!$F$10:$F$1509,'Finanças'!$C$10:$C$1509,"Despesa",'Finanças'!$D$10:$D$1509,$B22,'Finanças'!$B$10:$B$1509,"&gt;="&amp;DATE(Ano,3,1),'Finanças'!$B$10:$B$1509,"&lt;="&amp;DATE(Ano,3+1,0)))</f>
        <v>0</v>
      </c>
      <c r="H22" s="149">
        <f>IF($B22="","",SUMIFS('Finanças'!$F$10:$F$1509,'Finanças'!$C$10:$C$1509,"Despesa",'Finanças'!$D$10:$D$1509,$B22,'Finanças'!$B$10:$B$1509,"&gt;="&amp;DATE(Ano,4,1),'Finanças'!$B$10:$B$1509,"&lt;="&amp;DATE(Ano,4+1,0)))</f>
        <v>0</v>
      </c>
      <c r="I22" s="149">
        <f>IF($B22="","",SUMIFS('Finanças'!$F$10:$F$1509,'Finanças'!$C$10:$C$1509,"Despesa",'Finanças'!$D$10:$D$1509,$B22,'Finanças'!$B$10:$B$1509,"&gt;="&amp;DATE(Ano,5,1),'Finanças'!$B$10:$B$1509,"&lt;="&amp;DATE(Ano,5+1,0)))</f>
        <v>0</v>
      </c>
      <c r="J22" s="149">
        <f>IF($B22="","",SUMIFS('Finanças'!$F$10:$F$1509,'Finanças'!$C$10:$C$1509,"Despesa",'Finanças'!$D$10:$D$1509,$B22,'Finanças'!$B$10:$B$1509,"&gt;="&amp;DATE(Ano,6,1),'Finanças'!$B$10:$B$1509,"&lt;="&amp;DATE(Ano,6+1,0)))</f>
        <v>0</v>
      </c>
      <c r="K22" s="149">
        <f>IF($B22="","",SUMIFS('Finanças'!$F$10:$F$1509,'Finanças'!$C$10:$C$1509,"Despesa",'Finanças'!$D$10:$D$1509,$B22,'Finanças'!$B$10:$B$1509,"&gt;="&amp;DATE(Ano,7,1),'Finanças'!$B$10:$B$1509,"&lt;="&amp;DATE(Ano,7+1,0)))</f>
        <v>0</v>
      </c>
      <c r="L22" s="149">
        <f>IF($B22="","",SUMIFS('Finanças'!$F$10:$F$1509,'Finanças'!$C$10:$C$1509,"Despesa",'Finanças'!$D$10:$D$1509,$B22,'Finanças'!$B$10:$B$1509,"&gt;="&amp;DATE(Ano,8,1),'Finanças'!$B$10:$B$1509,"&lt;="&amp;DATE(Ano,8+1,0)))</f>
        <v>0</v>
      </c>
      <c r="M22" s="149">
        <f>IF($B22="","",SUMIFS('Finanças'!$F$10:$F$1509,'Finanças'!$C$10:$C$1509,"Despesa",'Finanças'!$D$10:$D$1509,$B22,'Finanças'!$B$10:$B$1509,"&gt;="&amp;DATE(Ano,9,1),'Finanças'!$B$10:$B$1509,"&lt;="&amp;DATE(Ano,9+1,0)))</f>
        <v>0</v>
      </c>
      <c r="N22" s="149">
        <f>IF($B22="","",SUMIFS('Finanças'!$F$10:$F$1509,'Finanças'!$C$10:$C$1509,"Despesa",'Finanças'!$D$10:$D$1509,$B22,'Finanças'!$B$10:$B$1509,"&gt;="&amp;DATE(Ano,10,1),'Finanças'!$B$10:$B$1509,"&lt;="&amp;DATE(Ano,10+1,0)))</f>
        <v>0</v>
      </c>
      <c r="O22" s="149">
        <f>IF($B22="","",SUMIFS('Finanças'!$F$10:$F$1509,'Finanças'!$C$10:$C$1509,"Despesa",'Finanças'!$D$10:$D$1509,$B22,'Finanças'!$B$10:$B$1509,"&gt;="&amp;DATE(Ano,11,1),'Finanças'!$B$10:$B$1509,"&lt;="&amp;DATE(Ano,11+1,0)))</f>
        <v>0</v>
      </c>
      <c r="P22" s="149">
        <f>IF($B22="","",SUMIFS('Finanças'!$F$10:$F$1509,'Finanças'!$C$10:$C$1509,"Despesa",'Finanças'!$D$10:$D$1509,$B22,'Finanças'!$B$10:$B$1509,"&gt;="&amp;DATE(Ano,12,1),'Finanças'!$B$10:$B$1509,"&lt;="&amp;DATE(Ano,12+1,0)))</f>
        <v>0</v>
      </c>
      <c r="Q22" s="149">
        <f>IF(B22="","",SUM(E22:P22))</f>
        <v>0</v>
      </c>
      <c r="R22" s="149">
        <f>IF(B22="","",SUMPRODUCT((COLUMN($E22:$P22)-COLUMN($E22)+1&lt;=RefMes)*$E22:$P22)/RefMes)</f>
        <v>0</v>
      </c>
      <c r="S22" s="149">
        <f>IF(B22="","",INDEX(E22:P22,RefMes))</f>
        <v>0</v>
      </c>
      <c r="T22" s="150" t="str">
        <f>IF(OR(B22="",N(D22)=0),"",S22/D22)</f>
        <v/>
      </c>
      <c r="U22" s="138" t="str">
        <f>IF(T22="",IF(AND(B22&lt;&gt;"",N(S22)&gt;0),"○ Sem orçamento",""),IF(T22&gt;1,"✖ Estourou",IF(T22&gt;DiasRef/DiasMes+0.15,"▲ Ritmo alto","✔ OK")))</f>
        <v/>
      </c>
    </row>
    <row r="23">
      <c r="B23" s="138" t="str">
        <f>IF('Config'!$I$11="","",'Config'!$I$11)</f>
        <v>Dívidas &amp; financiamentos</v>
      </c>
      <c r="C23" s="138" t="str">
        <f>IF(B23="","",'Config'!$J$11&amp;"")</f>
        <v>Essencial</v>
      </c>
      <c r="D23" s="152" t="n"/>
      <c r="E23" s="149">
        <f>IF($B23="","",SUMIFS('Finanças'!$F$10:$F$1509,'Finanças'!$C$10:$C$1509,"Despesa",'Finanças'!$D$10:$D$1509,$B23,'Finanças'!$B$10:$B$1509,"&gt;="&amp;DATE(Ano,1,1),'Finanças'!$B$10:$B$1509,"&lt;="&amp;DATE(Ano,1+1,0)))</f>
        <v>0</v>
      </c>
      <c r="F23" s="149">
        <f>IF($B23="","",SUMIFS('Finanças'!$F$10:$F$1509,'Finanças'!$C$10:$C$1509,"Despesa",'Finanças'!$D$10:$D$1509,$B23,'Finanças'!$B$10:$B$1509,"&gt;="&amp;DATE(Ano,2,1),'Finanças'!$B$10:$B$1509,"&lt;="&amp;DATE(Ano,2+1,0)))</f>
        <v>0</v>
      </c>
      <c r="G23" s="149">
        <f>IF($B23="","",SUMIFS('Finanças'!$F$10:$F$1509,'Finanças'!$C$10:$C$1509,"Despesa",'Finanças'!$D$10:$D$1509,$B23,'Finanças'!$B$10:$B$1509,"&gt;="&amp;DATE(Ano,3,1),'Finanças'!$B$10:$B$1509,"&lt;="&amp;DATE(Ano,3+1,0)))</f>
        <v>0</v>
      </c>
      <c r="H23" s="149">
        <f>IF($B23="","",SUMIFS('Finanças'!$F$10:$F$1509,'Finanças'!$C$10:$C$1509,"Despesa",'Finanças'!$D$10:$D$1509,$B23,'Finanças'!$B$10:$B$1509,"&gt;="&amp;DATE(Ano,4,1),'Finanças'!$B$10:$B$1509,"&lt;="&amp;DATE(Ano,4+1,0)))</f>
        <v>0</v>
      </c>
      <c r="I23" s="149">
        <f>IF($B23="","",SUMIFS('Finanças'!$F$10:$F$1509,'Finanças'!$C$10:$C$1509,"Despesa",'Finanças'!$D$10:$D$1509,$B23,'Finanças'!$B$10:$B$1509,"&gt;="&amp;DATE(Ano,5,1),'Finanças'!$B$10:$B$1509,"&lt;="&amp;DATE(Ano,5+1,0)))</f>
        <v>0</v>
      </c>
      <c r="J23" s="149">
        <f>IF($B23="","",SUMIFS('Finanças'!$F$10:$F$1509,'Finanças'!$C$10:$C$1509,"Despesa",'Finanças'!$D$10:$D$1509,$B23,'Finanças'!$B$10:$B$1509,"&gt;="&amp;DATE(Ano,6,1),'Finanças'!$B$10:$B$1509,"&lt;="&amp;DATE(Ano,6+1,0)))</f>
        <v>0</v>
      </c>
      <c r="K23" s="149">
        <f>IF($B23="","",SUMIFS('Finanças'!$F$10:$F$1509,'Finanças'!$C$10:$C$1509,"Despesa",'Finanças'!$D$10:$D$1509,$B23,'Finanças'!$B$10:$B$1509,"&gt;="&amp;DATE(Ano,7,1),'Finanças'!$B$10:$B$1509,"&lt;="&amp;DATE(Ano,7+1,0)))</f>
        <v>0</v>
      </c>
      <c r="L23" s="149">
        <f>IF($B23="","",SUMIFS('Finanças'!$F$10:$F$1509,'Finanças'!$C$10:$C$1509,"Despesa",'Finanças'!$D$10:$D$1509,$B23,'Finanças'!$B$10:$B$1509,"&gt;="&amp;DATE(Ano,8,1),'Finanças'!$B$10:$B$1509,"&lt;="&amp;DATE(Ano,8+1,0)))</f>
        <v>0</v>
      </c>
      <c r="M23" s="149">
        <f>IF($B23="","",SUMIFS('Finanças'!$F$10:$F$1509,'Finanças'!$C$10:$C$1509,"Despesa",'Finanças'!$D$10:$D$1509,$B23,'Finanças'!$B$10:$B$1509,"&gt;="&amp;DATE(Ano,9,1),'Finanças'!$B$10:$B$1509,"&lt;="&amp;DATE(Ano,9+1,0)))</f>
        <v>0</v>
      </c>
      <c r="N23" s="149">
        <f>IF($B23="","",SUMIFS('Finanças'!$F$10:$F$1509,'Finanças'!$C$10:$C$1509,"Despesa",'Finanças'!$D$10:$D$1509,$B23,'Finanças'!$B$10:$B$1509,"&gt;="&amp;DATE(Ano,10,1),'Finanças'!$B$10:$B$1509,"&lt;="&amp;DATE(Ano,10+1,0)))</f>
        <v>0</v>
      </c>
      <c r="O23" s="149">
        <f>IF($B23="","",SUMIFS('Finanças'!$F$10:$F$1509,'Finanças'!$C$10:$C$1509,"Despesa",'Finanças'!$D$10:$D$1509,$B23,'Finanças'!$B$10:$B$1509,"&gt;="&amp;DATE(Ano,11,1),'Finanças'!$B$10:$B$1509,"&lt;="&amp;DATE(Ano,11+1,0)))</f>
        <v>0</v>
      </c>
      <c r="P23" s="149">
        <f>IF($B23="","",SUMIFS('Finanças'!$F$10:$F$1509,'Finanças'!$C$10:$C$1509,"Despesa",'Finanças'!$D$10:$D$1509,$B23,'Finanças'!$B$10:$B$1509,"&gt;="&amp;DATE(Ano,12,1),'Finanças'!$B$10:$B$1509,"&lt;="&amp;DATE(Ano,12+1,0)))</f>
        <v>0</v>
      </c>
      <c r="Q23" s="149">
        <f>IF(B23="","",SUM(E23:P23))</f>
        <v>0</v>
      </c>
      <c r="R23" s="149">
        <f>IF(B23="","",SUMPRODUCT((COLUMN($E23:$P23)-COLUMN($E23)+1&lt;=RefMes)*$E23:$P23)/RefMes)</f>
        <v>0</v>
      </c>
      <c r="S23" s="149">
        <f>IF(B23="","",INDEX(E23:P23,RefMes))</f>
        <v>0</v>
      </c>
      <c r="T23" s="150" t="str">
        <f>IF(OR(B23="",N(D23)=0),"",S23/D23)</f>
        <v/>
      </c>
      <c r="U23" s="138" t="str">
        <f>IF(T23="",IF(AND(B23&lt;&gt;"",N(S23)&gt;0),"○ Sem orçamento",""),IF(T23&gt;1,"✖ Estourou",IF(T23&gt;DiasRef/DiasMes+0.15,"▲ Ritmo alto","✔ OK")))</f>
        <v/>
      </c>
    </row>
    <row r="24">
      <c r="B24" s="138" t="str">
        <f>IF('Config'!$I$12="","",'Config'!$I$12)</f>
        <v>Impostos &amp; taxas</v>
      </c>
      <c r="C24" s="138" t="str">
        <f>IF(B24="","",'Config'!$J$12&amp;"")</f>
        <v>Essencial</v>
      </c>
      <c r="D24" s="152" t="n"/>
      <c r="E24" s="149">
        <f>IF($B24="","",SUMIFS('Finanças'!$F$10:$F$1509,'Finanças'!$C$10:$C$1509,"Despesa",'Finanças'!$D$10:$D$1509,$B24,'Finanças'!$B$10:$B$1509,"&gt;="&amp;DATE(Ano,1,1),'Finanças'!$B$10:$B$1509,"&lt;="&amp;DATE(Ano,1+1,0)))</f>
        <v>0</v>
      </c>
      <c r="F24" s="149">
        <f>IF($B24="","",SUMIFS('Finanças'!$F$10:$F$1509,'Finanças'!$C$10:$C$1509,"Despesa",'Finanças'!$D$10:$D$1509,$B24,'Finanças'!$B$10:$B$1509,"&gt;="&amp;DATE(Ano,2,1),'Finanças'!$B$10:$B$1509,"&lt;="&amp;DATE(Ano,2+1,0)))</f>
        <v>0</v>
      </c>
      <c r="G24" s="149">
        <f>IF($B24="","",SUMIFS('Finanças'!$F$10:$F$1509,'Finanças'!$C$10:$C$1509,"Despesa",'Finanças'!$D$10:$D$1509,$B24,'Finanças'!$B$10:$B$1509,"&gt;="&amp;DATE(Ano,3,1),'Finanças'!$B$10:$B$1509,"&lt;="&amp;DATE(Ano,3+1,0)))</f>
        <v>0</v>
      </c>
      <c r="H24" s="149">
        <f>IF($B24="","",SUMIFS('Finanças'!$F$10:$F$1509,'Finanças'!$C$10:$C$1509,"Despesa",'Finanças'!$D$10:$D$1509,$B24,'Finanças'!$B$10:$B$1509,"&gt;="&amp;DATE(Ano,4,1),'Finanças'!$B$10:$B$1509,"&lt;="&amp;DATE(Ano,4+1,0)))</f>
        <v>0</v>
      </c>
      <c r="I24" s="149">
        <f>IF($B24="","",SUMIFS('Finanças'!$F$10:$F$1509,'Finanças'!$C$10:$C$1509,"Despesa",'Finanças'!$D$10:$D$1509,$B24,'Finanças'!$B$10:$B$1509,"&gt;="&amp;DATE(Ano,5,1),'Finanças'!$B$10:$B$1509,"&lt;="&amp;DATE(Ano,5+1,0)))</f>
        <v>0</v>
      </c>
      <c r="J24" s="149">
        <f>IF($B24="","",SUMIFS('Finanças'!$F$10:$F$1509,'Finanças'!$C$10:$C$1509,"Despesa",'Finanças'!$D$10:$D$1509,$B24,'Finanças'!$B$10:$B$1509,"&gt;="&amp;DATE(Ano,6,1),'Finanças'!$B$10:$B$1509,"&lt;="&amp;DATE(Ano,6+1,0)))</f>
        <v>0</v>
      </c>
      <c r="K24" s="149">
        <f>IF($B24="","",SUMIFS('Finanças'!$F$10:$F$1509,'Finanças'!$C$10:$C$1509,"Despesa",'Finanças'!$D$10:$D$1509,$B24,'Finanças'!$B$10:$B$1509,"&gt;="&amp;DATE(Ano,7,1),'Finanças'!$B$10:$B$1509,"&lt;="&amp;DATE(Ano,7+1,0)))</f>
        <v>0</v>
      </c>
      <c r="L24" s="149">
        <f>IF($B24="","",SUMIFS('Finanças'!$F$10:$F$1509,'Finanças'!$C$10:$C$1509,"Despesa",'Finanças'!$D$10:$D$1509,$B24,'Finanças'!$B$10:$B$1509,"&gt;="&amp;DATE(Ano,8,1),'Finanças'!$B$10:$B$1509,"&lt;="&amp;DATE(Ano,8+1,0)))</f>
        <v>0</v>
      </c>
      <c r="M24" s="149">
        <f>IF($B24="","",SUMIFS('Finanças'!$F$10:$F$1509,'Finanças'!$C$10:$C$1509,"Despesa",'Finanças'!$D$10:$D$1509,$B24,'Finanças'!$B$10:$B$1509,"&gt;="&amp;DATE(Ano,9,1),'Finanças'!$B$10:$B$1509,"&lt;="&amp;DATE(Ano,9+1,0)))</f>
        <v>0</v>
      </c>
      <c r="N24" s="149">
        <f>IF($B24="","",SUMIFS('Finanças'!$F$10:$F$1509,'Finanças'!$C$10:$C$1509,"Despesa",'Finanças'!$D$10:$D$1509,$B24,'Finanças'!$B$10:$B$1509,"&gt;="&amp;DATE(Ano,10,1),'Finanças'!$B$10:$B$1509,"&lt;="&amp;DATE(Ano,10+1,0)))</f>
        <v>0</v>
      </c>
      <c r="O24" s="149">
        <f>IF($B24="","",SUMIFS('Finanças'!$F$10:$F$1509,'Finanças'!$C$10:$C$1509,"Despesa",'Finanças'!$D$10:$D$1509,$B24,'Finanças'!$B$10:$B$1509,"&gt;="&amp;DATE(Ano,11,1),'Finanças'!$B$10:$B$1509,"&lt;="&amp;DATE(Ano,11+1,0)))</f>
        <v>0</v>
      </c>
      <c r="P24" s="149">
        <f>IF($B24="","",SUMIFS('Finanças'!$F$10:$F$1509,'Finanças'!$C$10:$C$1509,"Despesa",'Finanças'!$D$10:$D$1509,$B24,'Finanças'!$B$10:$B$1509,"&gt;="&amp;DATE(Ano,12,1),'Finanças'!$B$10:$B$1509,"&lt;="&amp;DATE(Ano,12+1,0)))</f>
        <v>0</v>
      </c>
      <c r="Q24" s="149">
        <f>IF(B24="","",SUM(E24:P24))</f>
        <v>0</v>
      </c>
      <c r="R24" s="149">
        <f>IF(B24="","",SUMPRODUCT((COLUMN($E24:$P24)-COLUMN($E24)+1&lt;=RefMes)*$E24:$P24)/RefMes)</f>
        <v>0</v>
      </c>
      <c r="S24" s="149">
        <f>IF(B24="","",INDEX(E24:P24,RefMes))</f>
        <v>0</v>
      </c>
      <c r="T24" s="150" t="str">
        <f>IF(OR(B24="",N(D24)=0),"",S24/D24)</f>
        <v/>
      </c>
      <c r="U24" s="138" t="str">
        <f>IF(T24="",IF(AND(B24&lt;&gt;"",N(S24)&gt;0),"○ Sem orçamento",""),IF(T24&gt;1,"✖ Estourou",IF(T24&gt;DiasRef/DiasMes+0.15,"▲ Ritmo alto","✔ OK")))</f>
        <v/>
      </c>
    </row>
    <row r="25">
      <c r="B25" s="138" t="str">
        <f>IF('Config'!$I$13="","",'Config'!$I$13)</f>
        <v>Família &amp; ajudas</v>
      </c>
      <c r="C25" s="138" t="str">
        <f>IF(B25="","",'Config'!$J$13&amp;"")</f>
        <v>Essencial</v>
      </c>
      <c r="D25" s="152" t="n"/>
      <c r="E25" s="149">
        <f>IF($B25="","",SUMIFS('Finanças'!$F$10:$F$1509,'Finanças'!$C$10:$C$1509,"Despesa",'Finanças'!$D$10:$D$1509,$B25,'Finanças'!$B$10:$B$1509,"&gt;="&amp;DATE(Ano,1,1),'Finanças'!$B$10:$B$1509,"&lt;="&amp;DATE(Ano,1+1,0)))</f>
        <v>0</v>
      </c>
      <c r="F25" s="149">
        <f>IF($B25="","",SUMIFS('Finanças'!$F$10:$F$1509,'Finanças'!$C$10:$C$1509,"Despesa",'Finanças'!$D$10:$D$1509,$B25,'Finanças'!$B$10:$B$1509,"&gt;="&amp;DATE(Ano,2,1),'Finanças'!$B$10:$B$1509,"&lt;="&amp;DATE(Ano,2+1,0)))</f>
        <v>0</v>
      </c>
      <c r="G25" s="149">
        <f>IF($B25="","",SUMIFS('Finanças'!$F$10:$F$1509,'Finanças'!$C$10:$C$1509,"Despesa",'Finanças'!$D$10:$D$1509,$B25,'Finanças'!$B$10:$B$1509,"&gt;="&amp;DATE(Ano,3,1),'Finanças'!$B$10:$B$1509,"&lt;="&amp;DATE(Ano,3+1,0)))</f>
        <v>0</v>
      </c>
      <c r="H25" s="149">
        <f>IF($B25="","",SUMIFS('Finanças'!$F$10:$F$1509,'Finanças'!$C$10:$C$1509,"Despesa",'Finanças'!$D$10:$D$1509,$B25,'Finanças'!$B$10:$B$1509,"&gt;="&amp;DATE(Ano,4,1),'Finanças'!$B$10:$B$1509,"&lt;="&amp;DATE(Ano,4+1,0)))</f>
        <v>0</v>
      </c>
      <c r="I25" s="149">
        <f>IF($B25="","",SUMIFS('Finanças'!$F$10:$F$1509,'Finanças'!$C$10:$C$1509,"Despesa",'Finanças'!$D$10:$D$1509,$B25,'Finanças'!$B$10:$B$1509,"&gt;="&amp;DATE(Ano,5,1),'Finanças'!$B$10:$B$1509,"&lt;="&amp;DATE(Ano,5+1,0)))</f>
        <v>0</v>
      </c>
      <c r="J25" s="149">
        <f>IF($B25="","",SUMIFS('Finanças'!$F$10:$F$1509,'Finanças'!$C$10:$C$1509,"Despesa",'Finanças'!$D$10:$D$1509,$B25,'Finanças'!$B$10:$B$1509,"&gt;="&amp;DATE(Ano,6,1),'Finanças'!$B$10:$B$1509,"&lt;="&amp;DATE(Ano,6+1,0)))</f>
        <v>0</v>
      </c>
      <c r="K25" s="149">
        <f>IF($B25="","",SUMIFS('Finanças'!$F$10:$F$1509,'Finanças'!$C$10:$C$1509,"Despesa",'Finanças'!$D$10:$D$1509,$B25,'Finanças'!$B$10:$B$1509,"&gt;="&amp;DATE(Ano,7,1),'Finanças'!$B$10:$B$1509,"&lt;="&amp;DATE(Ano,7+1,0)))</f>
        <v>0</v>
      </c>
      <c r="L25" s="149">
        <f>IF($B25="","",SUMIFS('Finanças'!$F$10:$F$1509,'Finanças'!$C$10:$C$1509,"Despesa",'Finanças'!$D$10:$D$1509,$B25,'Finanças'!$B$10:$B$1509,"&gt;="&amp;DATE(Ano,8,1),'Finanças'!$B$10:$B$1509,"&lt;="&amp;DATE(Ano,8+1,0)))</f>
        <v>0</v>
      </c>
      <c r="M25" s="149">
        <f>IF($B25="","",SUMIFS('Finanças'!$F$10:$F$1509,'Finanças'!$C$10:$C$1509,"Despesa",'Finanças'!$D$10:$D$1509,$B25,'Finanças'!$B$10:$B$1509,"&gt;="&amp;DATE(Ano,9,1),'Finanças'!$B$10:$B$1509,"&lt;="&amp;DATE(Ano,9+1,0)))</f>
        <v>0</v>
      </c>
      <c r="N25" s="149">
        <f>IF($B25="","",SUMIFS('Finanças'!$F$10:$F$1509,'Finanças'!$C$10:$C$1509,"Despesa",'Finanças'!$D$10:$D$1509,$B25,'Finanças'!$B$10:$B$1509,"&gt;="&amp;DATE(Ano,10,1),'Finanças'!$B$10:$B$1509,"&lt;="&amp;DATE(Ano,10+1,0)))</f>
        <v>0</v>
      </c>
      <c r="O25" s="149">
        <f>IF($B25="","",SUMIFS('Finanças'!$F$10:$F$1509,'Finanças'!$C$10:$C$1509,"Despesa",'Finanças'!$D$10:$D$1509,$B25,'Finanças'!$B$10:$B$1509,"&gt;="&amp;DATE(Ano,11,1),'Finanças'!$B$10:$B$1509,"&lt;="&amp;DATE(Ano,11+1,0)))</f>
        <v>0</v>
      </c>
      <c r="P25" s="149">
        <f>IF($B25="","",SUMIFS('Finanças'!$F$10:$F$1509,'Finanças'!$C$10:$C$1509,"Despesa",'Finanças'!$D$10:$D$1509,$B25,'Finanças'!$B$10:$B$1509,"&gt;="&amp;DATE(Ano,12,1),'Finanças'!$B$10:$B$1509,"&lt;="&amp;DATE(Ano,12+1,0)))</f>
        <v>0</v>
      </c>
      <c r="Q25" s="149">
        <f>IF(B25="","",SUM(E25:P25))</f>
        <v>0</v>
      </c>
      <c r="R25" s="149">
        <f>IF(B25="","",SUMPRODUCT((COLUMN($E25:$P25)-COLUMN($E25)+1&lt;=RefMes)*$E25:$P25)/RefMes)</f>
        <v>0</v>
      </c>
      <c r="S25" s="149">
        <f>IF(B25="","",INDEX(E25:P25,RefMes))</f>
        <v>0</v>
      </c>
      <c r="T25" s="150" t="str">
        <f>IF(OR(B25="",N(D25)=0),"",S25/D25)</f>
        <v/>
      </c>
      <c r="U25" s="138" t="str">
        <f>IF(T25="",IF(AND(B25&lt;&gt;"",N(S25)&gt;0),"○ Sem orçamento",""),IF(T25&gt;1,"✖ Estourou",IF(T25&gt;DiasRef/DiasMes+0.15,"▲ Ritmo alto","✔ OK")))</f>
        <v/>
      </c>
    </row>
    <row r="26">
      <c r="B26" s="138" t="str">
        <f>IF('Config'!$I$14="","",'Config'!$I$14)</f>
        <v>Restaurantes &amp; cafés</v>
      </c>
      <c r="C26" s="138" t="str">
        <f>IF(B26="","",'Config'!$J$14&amp;"")</f>
        <v>Estilo de vida</v>
      </c>
      <c r="D26" s="152" t="n"/>
      <c r="E26" s="149">
        <f>IF($B26="","",SUMIFS('Finanças'!$F$10:$F$1509,'Finanças'!$C$10:$C$1509,"Despesa",'Finanças'!$D$10:$D$1509,$B26,'Finanças'!$B$10:$B$1509,"&gt;="&amp;DATE(Ano,1,1),'Finanças'!$B$10:$B$1509,"&lt;="&amp;DATE(Ano,1+1,0)))</f>
        <v>0</v>
      </c>
      <c r="F26" s="149">
        <f>IF($B26="","",SUMIFS('Finanças'!$F$10:$F$1509,'Finanças'!$C$10:$C$1509,"Despesa",'Finanças'!$D$10:$D$1509,$B26,'Finanças'!$B$10:$B$1509,"&gt;="&amp;DATE(Ano,2,1),'Finanças'!$B$10:$B$1509,"&lt;="&amp;DATE(Ano,2+1,0)))</f>
        <v>0</v>
      </c>
      <c r="G26" s="149">
        <f>IF($B26="","",SUMIFS('Finanças'!$F$10:$F$1509,'Finanças'!$C$10:$C$1509,"Despesa",'Finanças'!$D$10:$D$1509,$B26,'Finanças'!$B$10:$B$1509,"&gt;="&amp;DATE(Ano,3,1),'Finanças'!$B$10:$B$1509,"&lt;="&amp;DATE(Ano,3+1,0)))</f>
        <v>0</v>
      </c>
      <c r="H26" s="149">
        <f>IF($B26="","",SUMIFS('Finanças'!$F$10:$F$1509,'Finanças'!$C$10:$C$1509,"Despesa",'Finanças'!$D$10:$D$1509,$B26,'Finanças'!$B$10:$B$1509,"&gt;="&amp;DATE(Ano,4,1),'Finanças'!$B$10:$B$1509,"&lt;="&amp;DATE(Ano,4+1,0)))</f>
        <v>0</v>
      </c>
      <c r="I26" s="149">
        <f>IF($B26="","",SUMIFS('Finanças'!$F$10:$F$1509,'Finanças'!$C$10:$C$1509,"Despesa",'Finanças'!$D$10:$D$1509,$B26,'Finanças'!$B$10:$B$1509,"&gt;="&amp;DATE(Ano,5,1),'Finanças'!$B$10:$B$1509,"&lt;="&amp;DATE(Ano,5+1,0)))</f>
        <v>0</v>
      </c>
      <c r="J26" s="149">
        <f>IF($B26="","",SUMIFS('Finanças'!$F$10:$F$1509,'Finanças'!$C$10:$C$1509,"Despesa",'Finanças'!$D$10:$D$1509,$B26,'Finanças'!$B$10:$B$1509,"&gt;="&amp;DATE(Ano,6,1),'Finanças'!$B$10:$B$1509,"&lt;="&amp;DATE(Ano,6+1,0)))</f>
        <v>0</v>
      </c>
      <c r="K26" s="149">
        <f>IF($B26="","",SUMIFS('Finanças'!$F$10:$F$1509,'Finanças'!$C$10:$C$1509,"Despesa",'Finanças'!$D$10:$D$1509,$B26,'Finanças'!$B$10:$B$1509,"&gt;="&amp;DATE(Ano,7,1),'Finanças'!$B$10:$B$1509,"&lt;="&amp;DATE(Ano,7+1,0)))</f>
        <v>0</v>
      </c>
      <c r="L26" s="149">
        <f>IF($B26="","",SUMIFS('Finanças'!$F$10:$F$1509,'Finanças'!$C$10:$C$1509,"Despesa",'Finanças'!$D$10:$D$1509,$B26,'Finanças'!$B$10:$B$1509,"&gt;="&amp;DATE(Ano,8,1),'Finanças'!$B$10:$B$1509,"&lt;="&amp;DATE(Ano,8+1,0)))</f>
        <v>0</v>
      </c>
      <c r="M26" s="149">
        <f>IF($B26="","",SUMIFS('Finanças'!$F$10:$F$1509,'Finanças'!$C$10:$C$1509,"Despesa",'Finanças'!$D$10:$D$1509,$B26,'Finanças'!$B$10:$B$1509,"&gt;="&amp;DATE(Ano,9,1),'Finanças'!$B$10:$B$1509,"&lt;="&amp;DATE(Ano,9+1,0)))</f>
        <v>0</v>
      </c>
      <c r="N26" s="149">
        <f>IF($B26="","",SUMIFS('Finanças'!$F$10:$F$1509,'Finanças'!$C$10:$C$1509,"Despesa",'Finanças'!$D$10:$D$1509,$B26,'Finanças'!$B$10:$B$1509,"&gt;="&amp;DATE(Ano,10,1),'Finanças'!$B$10:$B$1509,"&lt;="&amp;DATE(Ano,10+1,0)))</f>
        <v>0</v>
      </c>
      <c r="O26" s="149">
        <f>IF($B26="","",SUMIFS('Finanças'!$F$10:$F$1509,'Finanças'!$C$10:$C$1509,"Despesa",'Finanças'!$D$10:$D$1509,$B26,'Finanças'!$B$10:$B$1509,"&gt;="&amp;DATE(Ano,11,1),'Finanças'!$B$10:$B$1509,"&lt;="&amp;DATE(Ano,11+1,0)))</f>
        <v>0</v>
      </c>
      <c r="P26" s="149">
        <f>IF($B26="","",SUMIFS('Finanças'!$F$10:$F$1509,'Finanças'!$C$10:$C$1509,"Despesa",'Finanças'!$D$10:$D$1509,$B26,'Finanças'!$B$10:$B$1509,"&gt;="&amp;DATE(Ano,12,1),'Finanças'!$B$10:$B$1509,"&lt;="&amp;DATE(Ano,12+1,0)))</f>
        <v>0</v>
      </c>
      <c r="Q26" s="149">
        <f>IF(B26="","",SUM(E26:P26))</f>
        <v>0</v>
      </c>
      <c r="R26" s="149">
        <f>IF(B26="","",SUMPRODUCT((COLUMN($E26:$P26)-COLUMN($E26)+1&lt;=RefMes)*$E26:$P26)/RefMes)</f>
        <v>0</v>
      </c>
      <c r="S26" s="149">
        <f>IF(B26="","",INDEX(E26:P26,RefMes))</f>
        <v>0</v>
      </c>
      <c r="T26" s="150" t="str">
        <f>IF(OR(B26="",N(D26)=0),"",S26/D26)</f>
        <v/>
      </c>
      <c r="U26" s="138" t="str">
        <f>IF(T26="",IF(AND(B26&lt;&gt;"",N(S26)&gt;0),"○ Sem orçamento",""),IF(T26&gt;1,"✖ Estourou",IF(T26&gt;DiasRef/DiasMes+0.15,"▲ Ritmo alto","✔ OK")))</f>
        <v/>
      </c>
    </row>
    <row r="27">
      <c r="B27" s="138" t="str">
        <f>IF('Config'!$I$15="","",'Config'!$I$15)</f>
        <v>Assinaturas</v>
      </c>
      <c r="C27" s="138" t="str">
        <f>IF(B27="","",'Config'!$J$15&amp;"")</f>
        <v>Estilo de vida</v>
      </c>
      <c r="D27" s="152" t="n"/>
      <c r="E27" s="149">
        <f>IF($B27="","",SUMIFS('Finanças'!$F$10:$F$1509,'Finanças'!$C$10:$C$1509,"Despesa",'Finanças'!$D$10:$D$1509,$B27,'Finanças'!$B$10:$B$1509,"&gt;="&amp;DATE(Ano,1,1),'Finanças'!$B$10:$B$1509,"&lt;="&amp;DATE(Ano,1+1,0)))</f>
        <v>0</v>
      </c>
      <c r="F27" s="149">
        <f>IF($B27="","",SUMIFS('Finanças'!$F$10:$F$1509,'Finanças'!$C$10:$C$1509,"Despesa",'Finanças'!$D$10:$D$1509,$B27,'Finanças'!$B$10:$B$1509,"&gt;="&amp;DATE(Ano,2,1),'Finanças'!$B$10:$B$1509,"&lt;="&amp;DATE(Ano,2+1,0)))</f>
        <v>0</v>
      </c>
      <c r="G27" s="149">
        <f>IF($B27="","",SUMIFS('Finanças'!$F$10:$F$1509,'Finanças'!$C$10:$C$1509,"Despesa",'Finanças'!$D$10:$D$1509,$B27,'Finanças'!$B$10:$B$1509,"&gt;="&amp;DATE(Ano,3,1),'Finanças'!$B$10:$B$1509,"&lt;="&amp;DATE(Ano,3+1,0)))</f>
        <v>0</v>
      </c>
      <c r="H27" s="149">
        <f>IF($B27="","",SUMIFS('Finanças'!$F$10:$F$1509,'Finanças'!$C$10:$C$1509,"Despesa",'Finanças'!$D$10:$D$1509,$B27,'Finanças'!$B$10:$B$1509,"&gt;="&amp;DATE(Ano,4,1),'Finanças'!$B$10:$B$1509,"&lt;="&amp;DATE(Ano,4+1,0)))</f>
        <v>0</v>
      </c>
      <c r="I27" s="149">
        <f>IF($B27="","",SUMIFS('Finanças'!$F$10:$F$1509,'Finanças'!$C$10:$C$1509,"Despesa",'Finanças'!$D$10:$D$1509,$B27,'Finanças'!$B$10:$B$1509,"&gt;="&amp;DATE(Ano,5,1),'Finanças'!$B$10:$B$1509,"&lt;="&amp;DATE(Ano,5+1,0)))</f>
        <v>0</v>
      </c>
      <c r="J27" s="149">
        <f>IF($B27="","",SUMIFS('Finanças'!$F$10:$F$1509,'Finanças'!$C$10:$C$1509,"Despesa",'Finanças'!$D$10:$D$1509,$B27,'Finanças'!$B$10:$B$1509,"&gt;="&amp;DATE(Ano,6,1),'Finanças'!$B$10:$B$1509,"&lt;="&amp;DATE(Ano,6+1,0)))</f>
        <v>0</v>
      </c>
      <c r="K27" s="149">
        <f>IF($B27="","",SUMIFS('Finanças'!$F$10:$F$1509,'Finanças'!$C$10:$C$1509,"Despesa",'Finanças'!$D$10:$D$1509,$B27,'Finanças'!$B$10:$B$1509,"&gt;="&amp;DATE(Ano,7,1),'Finanças'!$B$10:$B$1509,"&lt;="&amp;DATE(Ano,7+1,0)))</f>
        <v>0</v>
      </c>
      <c r="L27" s="149">
        <f>IF($B27="","",SUMIFS('Finanças'!$F$10:$F$1509,'Finanças'!$C$10:$C$1509,"Despesa",'Finanças'!$D$10:$D$1509,$B27,'Finanças'!$B$10:$B$1509,"&gt;="&amp;DATE(Ano,8,1),'Finanças'!$B$10:$B$1509,"&lt;="&amp;DATE(Ano,8+1,0)))</f>
        <v>0</v>
      </c>
      <c r="M27" s="149">
        <f>IF($B27="","",SUMIFS('Finanças'!$F$10:$F$1509,'Finanças'!$C$10:$C$1509,"Despesa",'Finanças'!$D$10:$D$1509,$B27,'Finanças'!$B$10:$B$1509,"&gt;="&amp;DATE(Ano,9,1),'Finanças'!$B$10:$B$1509,"&lt;="&amp;DATE(Ano,9+1,0)))</f>
        <v>0</v>
      </c>
      <c r="N27" s="149">
        <f>IF($B27="","",SUMIFS('Finanças'!$F$10:$F$1509,'Finanças'!$C$10:$C$1509,"Despesa",'Finanças'!$D$10:$D$1509,$B27,'Finanças'!$B$10:$B$1509,"&gt;="&amp;DATE(Ano,10,1),'Finanças'!$B$10:$B$1509,"&lt;="&amp;DATE(Ano,10+1,0)))</f>
        <v>0</v>
      </c>
      <c r="O27" s="149">
        <f>IF($B27="","",SUMIFS('Finanças'!$F$10:$F$1509,'Finanças'!$C$10:$C$1509,"Despesa",'Finanças'!$D$10:$D$1509,$B27,'Finanças'!$B$10:$B$1509,"&gt;="&amp;DATE(Ano,11,1),'Finanças'!$B$10:$B$1509,"&lt;="&amp;DATE(Ano,11+1,0)))</f>
        <v>0</v>
      </c>
      <c r="P27" s="149">
        <f>IF($B27="","",SUMIFS('Finanças'!$F$10:$F$1509,'Finanças'!$C$10:$C$1509,"Despesa",'Finanças'!$D$10:$D$1509,$B27,'Finanças'!$B$10:$B$1509,"&gt;="&amp;DATE(Ano,12,1),'Finanças'!$B$10:$B$1509,"&lt;="&amp;DATE(Ano,12+1,0)))</f>
        <v>0</v>
      </c>
      <c r="Q27" s="149">
        <f>IF(B27="","",SUM(E27:P27))</f>
        <v>0</v>
      </c>
      <c r="R27" s="149">
        <f>IF(B27="","",SUMPRODUCT((COLUMN($E27:$P27)-COLUMN($E27)+1&lt;=RefMes)*$E27:$P27)/RefMes)</f>
        <v>0</v>
      </c>
      <c r="S27" s="149">
        <f>IF(B27="","",INDEX(E27:P27,RefMes))</f>
        <v>0</v>
      </c>
      <c r="T27" s="150" t="str">
        <f>IF(OR(B27="",N(D27)=0),"",S27/D27)</f>
        <v/>
      </c>
      <c r="U27" s="138" t="str">
        <f>IF(T27="",IF(AND(B27&lt;&gt;"",N(S27)&gt;0),"○ Sem orçamento",""),IF(T27&gt;1,"✖ Estourou",IF(T27&gt;DiasRef/DiasMes+0.15,"▲ Ritmo alto","✔ OK")))</f>
        <v/>
      </c>
    </row>
    <row r="28">
      <c r="B28" s="138" t="str">
        <f>IF('Config'!$I$16="","",'Config'!$I$16)</f>
        <v>Cuidados pessoais</v>
      </c>
      <c r="C28" s="138" t="str">
        <f>IF(B28="","",'Config'!$J$16&amp;"")</f>
        <v>Estilo de vida</v>
      </c>
      <c r="D28" s="152" t="n"/>
      <c r="E28" s="149">
        <f>IF($B28="","",SUMIFS('Finanças'!$F$10:$F$1509,'Finanças'!$C$10:$C$1509,"Despesa",'Finanças'!$D$10:$D$1509,$B28,'Finanças'!$B$10:$B$1509,"&gt;="&amp;DATE(Ano,1,1),'Finanças'!$B$10:$B$1509,"&lt;="&amp;DATE(Ano,1+1,0)))</f>
        <v>0</v>
      </c>
      <c r="F28" s="149">
        <f>IF($B28="","",SUMIFS('Finanças'!$F$10:$F$1509,'Finanças'!$C$10:$C$1509,"Despesa",'Finanças'!$D$10:$D$1509,$B28,'Finanças'!$B$10:$B$1509,"&gt;="&amp;DATE(Ano,2,1),'Finanças'!$B$10:$B$1509,"&lt;="&amp;DATE(Ano,2+1,0)))</f>
        <v>0</v>
      </c>
      <c r="G28" s="149">
        <f>IF($B28="","",SUMIFS('Finanças'!$F$10:$F$1509,'Finanças'!$C$10:$C$1509,"Despesa",'Finanças'!$D$10:$D$1509,$B28,'Finanças'!$B$10:$B$1509,"&gt;="&amp;DATE(Ano,3,1),'Finanças'!$B$10:$B$1509,"&lt;="&amp;DATE(Ano,3+1,0)))</f>
        <v>0</v>
      </c>
      <c r="H28" s="149">
        <f>IF($B28="","",SUMIFS('Finanças'!$F$10:$F$1509,'Finanças'!$C$10:$C$1509,"Despesa",'Finanças'!$D$10:$D$1509,$B28,'Finanças'!$B$10:$B$1509,"&gt;="&amp;DATE(Ano,4,1),'Finanças'!$B$10:$B$1509,"&lt;="&amp;DATE(Ano,4+1,0)))</f>
        <v>0</v>
      </c>
      <c r="I28" s="149">
        <f>IF($B28="","",SUMIFS('Finanças'!$F$10:$F$1509,'Finanças'!$C$10:$C$1509,"Despesa",'Finanças'!$D$10:$D$1509,$B28,'Finanças'!$B$10:$B$1509,"&gt;="&amp;DATE(Ano,5,1),'Finanças'!$B$10:$B$1509,"&lt;="&amp;DATE(Ano,5+1,0)))</f>
        <v>0</v>
      </c>
      <c r="J28" s="149">
        <f>IF($B28="","",SUMIFS('Finanças'!$F$10:$F$1509,'Finanças'!$C$10:$C$1509,"Despesa",'Finanças'!$D$10:$D$1509,$B28,'Finanças'!$B$10:$B$1509,"&gt;="&amp;DATE(Ano,6,1),'Finanças'!$B$10:$B$1509,"&lt;="&amp;DATE(Ano,6+1,0)))</f>
        <v>0</v>
      </c>
      <c r="K28" s="149">
        <f>IF($B28="","",SUMIFS('Finanças'!$F$10:$F$1509,'Finanças'!$C$10:$C$1509,"Despesa",'Finanças'!$D$10:$D$1509,$B28,'Finanças'!$B$10:$B$1509,"&gt;="&amp;DATE(Ano,7,1),'Finanças'!$B$10:$B$1509,"&lt;="&amp;DATE(Ano,7+1,0)))</f>
        <v>0</v>
      </c>
      <c r="L28" s="149">
        <f>IF($B28="","",SUMIFS('Finanças'!$F$10:$F$1509,'Finanças'!$C$10:$C$1509,"Despesa",'Finanças'!$D$10:$D$1509,$B28,'Finanças'!$B$10:$B$1509,"&gt;="&amp;DATE(Ano,8,1),'Finanças'!$B$10:$B$1509,"&lt;="&amp;DATE(Ano,8+1,0)))</f>
        <v>0</v>
      </c>
      <c r="M28" s="149">
        <f>IF($B28="","",SUMIFS('Finanças'!$F$10:$F$1509,'Finanças'!$C$10:$C$1509,"Despesa",'Finanças'!$D$10:$D$1509,$B28,'Finanças'!$B$10:$B$1509,"&gt;="&amp;DATE(Ano,9,1),'Finanças'!$B$10:$B$1509,"&lt;="&amp;DATE(Ano,9+1,0)))</f>
        <v>0</v>
      </c>
      <c r="N28" s="149">
        <f>IF($B28="","",SUMIFS('Finanças'!$F$10:$F$1509,'Finanças'!$C$10:$C$1509,"Despesa",'Finanças'!$D$10:$D$1509,$B28,'Finanças'!$B$10:$B$1509,"&gt;="&amp;DATE(Ano,10,1),'Finanças'!$B$10:$B$1509,"&lt;="&amp;DATE(Ano,10+1,0)))</f>
        <v>0</v>
      </c>
      <c r="O28" s="149">
        <f>IF($B28="","",SUMIFS('Finanças'!$F$10:$F$1509,'Finanças'!$C$10:$C$1509,"Despesa",'Finanças'!$D$10:$D$1509,$B28,'Finanças'!$B$10:$B$1509,"&gt;="&amp;DATE(Ano,11,1),'Finanças'!$B$10:$B$1509,"&lt;="&amp;DATE(Ano,11+1,0)))</f>
        <v>0</v>
      </c>
      <c r="P28" s="149">
        <f>IF($B28="","",SUMIFS('Finanças'!$F$10:$F$1509,'Finanças'!$C$10:$C$1509,"Despesa",'Finanças'!$D$10:$D$1509,$B28,'Finanças'!$B$10:$B$1509,"&gt;="&amp;DATE(Ano,12,1),'Finanças'!$B$10:$B$1509,"&lt;="&amp;DATE(Ano,12+1,0)))</f>
        <v>0</v>
      </c>
      <c r="Q28" s="149">
        <f>IF(B28="","",SUM(E28:P28))</f>
        <v>0</v>
      </c>
      <c r="R28" s="149">
        <f>IF(B28="","",SUMPRODUCT((COLUMN($E28:$P28)-COLUMN($E28)+1&lt;=RefMes)*$E28:$P28)/RefMes)</f>
        <v>0</v>
      </c>
      <c r="S28" s="149">
        <f>IF(B28="","",INDEX(E28:P28,RefMes))</f>
        <v>0</v>
      </c>
      <c r="T28" s="150" t="str">
        <f>IF(OR(B28="",N(D28)=0),"",S28/D28)</f>
        <v/>
      </c>
      <c r="U28" s="138" t="str">
        <f>IF(T28="",IF(AND(B28&lt;&gt;"",N(S28)&gt;0),"○ Sem orçamento",""),IF(T28&gt;1,"✖ Estourou",IF(T28&gt;DiasRef/DiasMes+0.15,"▲ Ritmo alto","✔ OK")))</f>
        <v/>
      </c>
    </row>
    <row r="29">
      <c r="B29" s="138" t="str">
        <f>IF('Config'!$I$17="","",'Config'!$I$17)</f>
        <v>Lazer &amp; passeios</v>
      </c>
      <c r="C29" s="138" t="str">
        <f>IF(B29="","",'Config'!$J$17&amp;"")</f>
        <v>Estilo de vida</v>
      </c>
      <c r="D29" s="152" t="n"/>
      <c r="E29" s="149">
        <f>IF($B29="","",SUMIFS('Finanças'!$F$10:$F$1509,'Finanças'!$C$10:$C$1509,"Despesa",'Finanças'!$D$10:$D$1509,$B29,'Finanças'!$B$10:$B$1509,"&gt;="&amp;DATE(Ano,1,1),'Finanças'!$B$10:$B$1509,"&lt;="&amp;DATE(Ano,1+1,0)))</f>
        <v>0</v>
      </c>
      <c r="F29" s="149">
        <f>IF($B29="","",SUMIFS('Finanças'!$F$10:$F$1509,'Finanças'!$C$10:$C$1509,"Despesa",'Finanças'!$D$10:$D$1509,$B29,'Finanças'!$B$10:$B$1509,"&gt;="&amp;DATE(Ano,2,1),'Finanças'!$B$10:$B$1509,"&lt;="&amp;DATE(Ano,2+1,0)))</f>
        <v>0</v>
      </c>
      <c r="G29" s="149">
        <f>IF($B29="","",SUMIFS('Finanças'!$F$10:$F$1509,'Finanças'!$C$10:$C$1509,"Despesa",'Finanças'!$D$10:$D$1509,$B29,'Finanças'!$B$10:$B$1509,"&gt;="&amp;DATE(Ano,3,1),'Finanças'!$B$10:$B$1509,"&lt;="&amp;DATE(Ano,3+1,0)))</f>
        <v>0</v>
      </c>
      <c r="H29" s="149">
        <f>IF($B29="","",SUMIFS('Finanças'!$F$10:$F$1509,'Finanças'!$C$10:$C$1509,"Despesa",'Finanças'!$D$10:$D$1509,$B29,'Finanças'!$B$10:$B$1509,"&gt;="&amp;DATE(Ano,4,1),'Finanças'!$B$10:$B$1509,"&lt;="&amp;DATE(Ano,4+1,0)))</f>
        <v>0</v>
      </c>
      <c r="I29" s="149">
        <f>IF($B29="","",SUMIFS('Finanças'!$F$10:$F$1509,'Finanças'!$C$10:$C$1509,"Despesa",'Finanças'!$D$10:$D$1509,$B29,'Finanças'!$B$10:$B$1509,"&gt;="&amp;DATE(Ano,5,1),'Finanças'!$B$10:$B$1509,"&lt;="&amp;DATE(Ano,5+1,0)))</f>
        <v>0</v>
      </c>
      <c r="J29" s="149">
        <f>IF($B29="","",SUMIFS('Finanças'!$F$10:$F$1509,'Finanças'!$C$10:$C$1509,"Despesa",'Finanças'!$D$10:$D$1509,$B29,'Finanças'!$B$10:$B$1509,"&gt;="&amp;DATE(Ano,6,1),'Finanças'!$B$10:$B$1509,"&lt;="&amp;DATE(Ano,6+1,0)))</f>
        <v>0</v>
      </c>
      <c r="K29" s="149">
        <f>IF($B29="","",SUMIFS('Finanças'!$F$10:$F$1509,'Finanças'!$C$10:$C$1509,"Despesa",'Finanças'!$D$10:$D$1509,$B29,'Finanças'!$B$10:$B$1509,"&gt;="&amp;DATE(Ano,7,1),'Finanças'!$B$10:$B$1509,"&lt;="&amp;DATE(Ano,7+1,0)))</f>
        <v>0</v>
      </c>
      <c r="L29" s="149">
        <f>IF($B29="","",SUMIFS('Finanças'!$F$10:$F$1509,'Finanças'!$C$10:$C$1509,"Despesa",'Finanças'!$D$10:$D$1509,$B29,'Finanças'!$B$10:$B$1509,"&gt;="&amp;DATE(Ano,8,1),'Finanças'!$B$10:$B$1509,"&lt;="&amp;DATE(Ano,8+1,0)))</f>
        <v>0</v>
      </c>
      <c r="M29" s="149">
        <f>IF($B29="","",SUMIFS('Finanças'!$F$10:$F$1509,'Finanças'!$C$10:$C$1509,"Despesa",'Finanças'!$D$10:$D$1509,$B29,'Finanças'!$B$10:$B$1509,"&gt;="&amp;DATE(Ano,9,1),'Finanças'!$B$10:$B$1509,"&lt;="&amp;DATE(Ano,9+1,0)))</f>
        <v>0</v>
      </c>
      <c r="N29" s="149">
        <f>IF($B29="","",SUMIFS('Finanças'!$F$10:$F$1509,'Finanças'!$C$10:$C$1509,"Despesa",'Finanças'!$D$10:$D$1509,$B29,'Finanças'!$B$10:$B$1509,"&gt;="&amp;DATE(Ano,10,1),'Finanças'!$B$10:$B$1509,"&lt;="&amp;DATE(Ano,10+1,0)))</f>
        <v>0</v>
      </c>
      <c r="O29" s="149">
        <f>IF($B29="","",SUMIFS('Finanças'!$F$10:$F$1509,'Finanças'!$C$10:$C$1509,"Despesa",'Finanças'!$D$10:$D$1509,$B29,'Finanças'!$B$10:$B$1509,"&gt;="&amp;DATE(Ano,11,1),'Finanças'!$B$10:$B$1509,"&lt;="&amp;DATE(Ano,11+1,0)))</f>
        <v>0</v>
      </c>
      <c r="P29" s="149">
        <f>IF($B29="","",SUMIFS('Finanças'!$F$10:$F$1509,'Finanças'!$C$10:$C$1509,"Despesa",'Finanças'!$D$10:$D$1509,$B29,'Finanças'!$B$10:$B$1509,"&gt;="&amp;DATE(Ano,12,1),'Finanças'!$B$10:$B$1509,"&lt;="&amp;DATE(Ano,12+1,0)))</f>
        <v>0</v>
      </c>
      <c r="Q29" s="149">
        <f>IF(B29="","",SUM(E29:P29))</f>
        <v>0</v>
      </c>
      <c r="R29" s="149">
        <f>IF(B29="","",SUMPRODUCT((COLUMN($E29:$P29)-COLUMN($E29)+1&lt;=RefMes)*$E29:$P29)/RefMes)</f>
        <v>0</v>
      </c>
      <c r="S29" s="149">
        <f>IF(B29="","",INDEX(E29:P29,RefMes))</f>
        <v>0</v>
      </c>
      <c r="T29" s="150" t="str">
        <f>IF(OR(B29="",N(D29)=0),"",S29/D29)</f>
        <v/>
      </c>
      <c r="U29" s="138" t="str">
        <f>IF(T29="",IF(AND(B29&lt;&gt;"",N(S29)&gt;0),"○ Sem orçamento",""),IF(T29&gt;1,"✖ Estourou",IF(T29&gt;DiasRef/DiasMes+0.15,"▲ Ritmo alto","✔ OK")))</f>
        <v/>
      </c>
    </row>
    <row r="30">
      <c r="B30" s="138" t="str">
        <f>IF('Config'!$I$18="","",'Config'!$I$18)</f>
        <v>Viagens</v>
      </c>
      <c r="C30" s="138" t="str">
        <f>IF(B30="","",'Config'!$J$18&amp;"")</f>
        <v>Estilo de vida</v>
      </c>
      <c r="D30" s="152" t="n"/>
      <c r="E30" s="149">
        <f>IF($B30="","",SUMIFS('Finanças'!$F$10:$F$1509,'Finanças'!$C$10:$C$1509,"Despesa",'Finanças'!$D$10:$D$1509,$B30,'Finanças'!$B$10:$B$1509,"&gt;="&amp;DATE(Ano,1,1),'Finanças'!$B$10:$B$1509,"&lt;="&amp;DATE(Ano,1+1,0)))</f>
        <v>0</v>
      </c>
      <c r="F30" s="149">
        <f>IF($B30="","",SUMIFS('Finanças'!$F$10:$F$1509,'Finanças'!$C$10:$C$1509,"Despesa",'Finanças'!$D$10:$D$1509,$B30,'Finanças'!$B$10:$B$1509,"&gt;="&amp;DATE(Ano,2,1),'Finanças'!$B$10:$B$1509,"&lt;="&amp;DATE(Ano,2+1,0)))</f>
        <v>0</v>
      </c>
      <c r="G30" s="149">
        <f>IF($B30="","",SUMIFS('Finanças'!$F$10:$F$1509,'Finanças'!$C$10:$C$1509,"Despesa",'Finanças'!$D$10:$D$1509,$B30,'Finanças'!$B$10:$B$1509,"&gt;="&amp;DATE(Ano,3,1),'Finanças'!$B$10:$B$1509,"&lt;="&amp;DATE(Ano,3+1,0)))</f>
        <v>0</v>
      </c>
      <c r="H30" s="149">
        <f>IF($B30="","",SUMIFS('Finanças'!$F$10:$F$1509,'Finanças'!$C$10:$C$1509,"Despesa",'Finanças'!$D$10:$D$1509,$B30,'Finanças'!$B$10:$B$1509,"&gt;="&amp;DATE(Ano,4,1),'Finanças'!$B$10:$B$1509,"&lt;="&amp;DATE(Ano,4+1,0)))</f>
        <v>0</v>
      </c>
      <c r="I30" s="149">
        <f>IF($B30="","",SUMIFS('Finanças'!$F$10:$F$1509,'Finanças'!$C$10:$C$1509,"Despesa",'Finanças'!$D$10:$D$1509,$B30,'Finanças'!$B$10:$B$1509,"&gt;="&amp;DATE(Ano,5,1),'Finanças'!$B$10:$B$1509,"&lt;="&amp;DATE(Ano,5+1,0)))</f>
        <v>0</v>
      </c>
      <c r="J30" s="149">
        <f>IF($B30="","",SUMIFS('Finanças'!$F$10:$F$1509,'Finanças'!$C$10:$C$1509,"Despesa",'Finanças'!$D$10:$D$1509,$B30,'Finanças'!$B$10:$B$1509,"&gt;="&amp;DATE(Ano,6,1),'Finanças'!$B$10:$B$1509,"&lt;="&amp;DATE(Ano,6+1,0)))</f>
        <v>0</v>
      </c>
      <c r="K30" s="149">
        <f>IF($B30="","",SUMIFS('Finanças'!$F$10:$F$1509,'Finanças'!$C$10:$C$1509,"Despesa",'Finanças'!$D$10:$D$1509,$B30,'Finanças'!$B$10:$B$1509,"&gt;="&amp;DATE(Ano,7,1),'Finanças'!$B$10:$B$1509,"&lt;="&amp;DATE(Ano,7+1,0)))</f>
        <v>0</v>
      </c>
      <c r="L30" s="149">
        <f>IF($B30="","",SUMIFS('Finanças'!$F$10:$F$1509,'Finanças'!$C$10:$C$1509,"Despesa",'Finanças'!$D$10:$D$1509,$B30,'Finanças'!$B$10:$B$1509,"&gt;="&amp;DATE(Ano,8,1),'Finanças'!$B$10:$B$1509,"&lt;="&amp;DATE(Ano,8+1,0)))</f>
        <v>0</v>
      </c>
      <c r="M30" s="149">
        <f>IF($B30="","",SUMIFS('Finanças'!$F$10:$F$1509,'Finanças'!$C$10:$C$1509,"Despesa",'Finanças'!$D$10:$D$1509,$B30,'Finanças'!$B$10:$B$1509,"&gt;="&amp;DATE(Ano,9,1),'Finanças'!$B$10:$B$1509,"&lt;="&amp;DATE(Ano,9+1,0)))</f>
        <v>0</v>
      </c>
      <c r="N30" s="149">
        <f>IF($B30="","",SUMIFS('Finanças'!$F$10:$F$1509,'Finanças'!$C$10:$C$1509,"Despesa",'Finanças'!$D$10:$D$1509,$B30,'Finanças'!$B$10:$B$1509,"&gt;="&amp;DATE(Ano,10,1),'Finanças'!$B$10:$B$1509,"&lt;="&amp;DATE(Ano,10+1,0)))</f>
        <v>0</v>
      </c>
      <c r="O30" s="149">
        <f>IF($B30="","",SUMIFS('Finanças'!$F$10:$F$1509,'Finanças'!$C$10:$C$1509,"Despesa",'Finanças'!$D$10:$D$1509,$B30,'Finanças'!$B$10:$B$1509,"&gt;="&amp;DATE(Ano,11,1),'Finanças'!$B$10:$B$1509,"&lt;="&amp;DATE(Ano,11+1,0)))</f>
        <v>0</v>
      </c>
      <c r="P30" s="149">
        <f>IF($B30="","",SUMIFS('Finanças'!$F$10:$F$1509,'Finanças'!$C$10:$C$1509,"Despesa",'Finanças'!$D$10:$D$1509,$B30,'Finanças'!$B$10:$B$1509,"&gt;="&amp;DATE(Ano,12,1),'Finanças'!$B$10:$B$1509,"&lt;="&amp;DATE(Ano,12+1,0)))</f>
        <v>0</v>
      </c>
      <c r="Q30" s="149">
        <f>IF(B30="","",SUM(E30:P30))</f>
        <v>0</v>
      </c>
      <c r="R30" s="149">
        <f>IF(B30="","",SUMPRODUCT((COLUMN($E30:$P30)-COLUMN($E30)+1&lt;=RefMes)*$E30:$P30)/RefMes)</f>
        <v>0</v>
      </c>
      <c r="S30" s="149">
        <f>IF(B30="","",INDEX(E30:P30,RefMes))</f>
        <v>0</v>
      </c>
      <c r="T30" s="150" t="str">
        <f>IF(OR(B30="",N(D30)=0),"",S30/D30)</f>
        <v/>
      </c>
      <c r="U30" s="138" t="str">
        <f>IF(T30="",IF(AND(B30&lt;&gt;"",N(S30)&gt;0),"○ Sem orçamento",""),IF(T30&gt;1,"✖ Estourou",IF(T30&gt;DiasRef/DiasMes+0.15,"▲ Ritmo alto","✔ OK")))</f>
        <v/>
      </c>
    </row>
    <row r="31">
      <c r="B31" s="138" t="str">
        <f>IF('Config'!$I$19="","",'Config'!$I$19)</f>
        <v>Roupas</v>
      </c>
      <c r="C31" s="138" t="str">
        <f>IF(B31="","",'Config'!$J$19&amp;"")</f>
        <v>Estilo de vida</v>
      </c>
      <c r="D31" s="152" t="n"/>
      <c r="E31" s="149">
        <f>IF($B31="","",SUMIFS('Finanças'!$F$10:$F$1509,'Finanças'!$C$10:$C$1509,"Despesa",'Finanças'!$D$10:$D$1509,$B31,'Finanças'!$B$10:$B$1509,"&gt;="&amp;DATE(Ano,1,1),'Finanças'!$B$10:$B$1509,"&lt;="&amp;DATE(Ano,1+1,0)))</f>
        <v>0</v>
      </c>
      <c r="F31" s="149">
        <f>IF($B31="","",SUMIFS('Finanças'!$F$10:$F$1509,'Finanças'!$C$10:$C$1509,"Despesa",'Finanças'!$D$10:$D$1509,$B31,'Finanças'!$B$10:$B$1509,"&gt;="&amp;DATE(Ano,2,1),'Finanças'!$B$10:$B$1509,"&lt;="&amp;DATE(Ano,2+1,0)))</f>
        <v>0</v>
      </c>
      <c r="G31" s="149">
        <f>IF($B31="","",SUMIFS('Finanças'!$F$10:$F$1509,'Finanças'!$C$10:$C$1509,"Despesa",'Finanças'!$D$10:$D$1509,$B31,'Finanças'!$B$10:$B$1509,"&gt;="&amp;DATE(Ano,3,1),'Finanças'!$B$10:$B$1509,"&lt;="&amp;DATE(Ano,3+1,0)))</f>
        <v>0</v>
      </c>
      <c r="H31" s="149">
        <f>IF($B31="","",SUMIFS('Finanças'!$F$10:$F$1509,'Finanças'!$C$10:$C$1509,"Despesa",'Finanças'!$D$10:$D$1509,$B31,'Finanças'!$B$10:$B$1509,"&gt;="&amp;DATE(Ano,4,1),'Finanças'!$B$10:$B$1509,"&lt;="&amp;DATE(Ano,4+1,0)))</f>
        <v>0</v>
      </c>
      <c r="I31" s="149">
        <f>IF($B31="","",SUMIFS('Finanças'!$F$10:$F$1509,'Finanças'!$C$10:$C$1509,"Despesa",'Finanças'!$D$10:$D$1509,$B31,'Finanças'!$B$10:$B$1509,"&gt;="&amp;DATE(Ano,5,1),'Finanças'!$B$10:$B$1509,"&lt;="&amp;DATE(Ano,5+1,0)))</f>
        <v>0</v>
      </c>
      <c r="J31" s="149">
        <f>IF($B31="","",SUMIFS('Finanças'!$F$10:$F$1509,'Finanças'!$C$10:$C$1509,"Despesa",'Finanças'!$D$10:$D$1509,$B31,'Finanças'!$B$10:$B$1509,"&gt;="&amp;DATE(Ano,6,1),'Finanças'!$B$10:$B$1509,"&lt;="&amp;DATE(Ano,6+1,0)))</f>
        <v>0</v>
      </c>
      <c r="K31" s="149">
        <f>IF($B31="","",SUMIFS('Finanças'!$F$10:$F$1509,'Finanças'!$C$10:$C$1509,"Despesa",'Finanças'!$D$10:$D$1509,$B31,'Finanças'!$B$10:$B$1509,"&gt;="&amp;DATE(Ano,7,1),'Finanças'!$B$10:$B$1509,"&lt;="&amp;DATE(Ano,7+1,0)))</f>
        <v>0</v>
      </c>
      <c r="L31" s="149">
        <f>IF($B31="","",SUMIFS('Finanças'!$F$10:$F$1509,'Finanças'!$C$10:$C$1509,"Despesa",'Finanças'!$D$10:$D$1509,$B31,'Finanças'!$B$10:$B$1509,"&gt;="&amp;DATE(Ano,8,1),'Finanças'!$B$10:$B$1509,"&lt;="&amp;DATE(Ano,8+1,0)))</f>
        <v>0</v>
      </c>
      <c r="M31" s="149">
        <f>IF($B31="","",SUMIFS('Finanças'!$F$10:$F$1509,'Finanças'!$C$10:$C$1509,"Despesa",'Finanças'!$D$10:$D$1509,$B31,'Finanças'!$B$10:$B$1509,"&gt;="&amp;DATE(Ano,9,1),'Finanças'!$B$10:$B$1509,"&lt;="&amp;DATE(Ano,9+1,0)))</f>
        <v>0</v>
      </c>
      <c r="N31" s="149">
        <f>IF($B31="","",SUMIFS('Finanças'!$F$10:$F$1509,'Finanças'!$C$10:$C$1509,"Despesa",'Finanças'!$D$10:$D$1509,$B31,'Finanças'!$B$10:$B$1509,"&gt;="&amp;DATE(Ano,10,1),'Finanças'!$B$10:$B$1509,"&lt;="&amp;DATE(Ano,10+1,0)))</f>
        <v>0</v>
      </c>
      <c r="O31" s="149">
        <f>IF($B31="","",SUMIFS('Finanças'!$F$10:$F$1509,'Finanças'!$C$10:$C$1509,"Despesa",'Finanças'!$D$10:$D$1509,$B31,'Finanças'!$B$10:$B$1509,"&gt;="&amp;DATE(Ano,11,1),'Finanças'!$B$10:$B$1509,"&lt;="&amp;DATE(Ano,11+1,0)))</f>
        <v>0</v>
      </c>
      <c r="P31" s="149">
        <f>IF($B31="","",SUMIFS('Finanças'!$F$10:$F$1509,'Finanças'!$C$10:$C$1509,"Despesa",'Finanças'!$D$10:$D$1509,$B31,'Finanças'!$B$10:$B$1509,"&gt;="&amp;DATE(Ano,12,1),'Finanças'!$B$10:$B$1509,"&lt;="&amp;DATE(Ano,12+1,0)))</f>
        <v>0</v>
      </c>
      <c r="Q31" s="149">
        <f>IF(B31="","",SUM(E31:P31))</f>
        <v>0</v>
      </c>
      <c r="R31" s="149">
        <f>IF(B31="","",SUMPRODUCT((COLUMN($E31:$P31)-COLUMN($E31)+1&lt;=RefMes)*$E31:$P31)/RefMes)</f>
        <v>0</v>
      </c>
      <c r="S31" s="149">
        <f>IF(B31="","",INDEX(E31:P31,RefMes))</f>
        <v>0</v>
      </c>
      <c r="T31" s="150" t="str">
        <f>IF(OR(B31="",N(D31)=0),"",S31/D31)</f>
        <v/>
      </c>
      <c r="U31" s="138" t="str">
        <f>IF(T31="",IF(AND(B31&lt;&gt;"",N(S31)&gt;0),"○ Sem orçamento",""),IF(T31&gt;1,"✖ Estourou",IF(T31&gt;DiasRef/DiasMes+0.15,"▲ Ritmo alto","✔ OK")))</f>
        <v/>
      </c>
    </row>
    <row r="32">
      <c r="B32" s="138" t="str">
        <f>IF('Config'!$I$20="","",'Config'!$I$20)</f>
        <v>Casa &amp; utensílios</v>
      </c>
      <c r="C32" s="138" t="str">
        <f>IF(B32="","",'Config'!$J$20&amp;"")</f>
        <v>Estilo de vida</v>
      </c>
      <c r="D32" s="152" t="n"/>
      <c r="E32" s="149">
        <f>IF($B32="","",SUMIFS('Finanças'!$F$10:$F$1509,'Finanças'!$C$10:$C$1509,"Despesa",'Finanças'!$D$10:$D$1509,$B32,'Finanças'!$B$10:$B$1509,"&gt;="&amp;DATE(Ano,1,1),'Finanças'!$B$10:$B$1509,"&lt;="&amp;DATE(Ano,1+1,0)))</f>
        <v>0</v>
      </c>
      <c r="F32" s="149">
        <f>IF($B32="","",SUMIFS('Finanças'!$F$10:$F$1509,'Finanças'!$C$10:$C$1509,"Despesa",'Finanças'!$D$10:$D$1509,$B32,'Finanças'!$B$10:$B$1509,"&gt;="&amp;DATE(Ano,2,1),'Finanças'!$B$10:$B$1509,"&lt;="&amp;DATE(Ano,2+1,0)))</f>
        <v>0</v>
      </c>
      <c r="G32" s="149">
        <f>IF($B32="","",SUMIFS('Finanças'!$F$10:$F$1509,'Finanças'!$C$10:$C$1509,"Despesa",'Finanças'!$D$10:$D$1509,$B32,'Finanças'!$B$10:$B$1509,"&gt;="&amp;DATE(Ano,3,1),'Finanças'!$B$10:$B$1509,"&lt;="&amp;DATE(Ano,3+1,0)))</f>
        <v>0</v>
      </c>
      <c r="H32" s="149">
        <f>IF($B32="","",SUMIFS('Finanças'!$F$10:$F$1509,'Finanças'!$C$10:$C$1509,"Despesa",'Finanças'!$D$10:$D$1509,$B32,'Finanças'!$B$10:$B$1509,"&gt;="&amp;DATE(Ano,4,1),'Finanças'!$B$10:$B$1509,"&lt;="&amp;DATE(Ano,4+1,0)))</f>
        <v>0</v>
      </c>
      <c r="I32" s="149">
        <f>IF($B32="","",SUMIFS('Finanças'!$F$10:$F$1509,'Finanças'!$C$10:$C$1509,"Despesa",'Finanças'!$D$10:$D$1509,$B32,'Finanças'!$B$10:$B$1509,"&gt;="&amp;DATE(Ano,5,1),'Finanças'!$B$10:$B$1509,"&lt;="&amp;DATE(Ano,5+1,0)))</f>
        <v>0</v>
      </c>
      <c r="J32" s="149">
        <f>IF($B32="","",SUMIFS('Finanças'!$F$10:$F$1509,'Finanças'!$C$10:$C$1509,"Despesa",'Finanças'!$D$10:$D$1509,$B32,'Finanças'!$B$10:$B$1509,"&gt;="&amp;DATE(Ano,6,1),'Finanças'!$B$10:$B$1509,"&lt;="&amp;DATE(Ano,6+1,0)))</f>
        <v>0</v>
      </c>
      <c r="K32" s="149">
        <f>IF($B32="","",SUMIFS('Finanças'!$F$10:$F$1509,'Finanças'!$C$10:$C$1509,"Despesa",'Finanças'!$D$10:$D$1509,$B32,'Finanças'!$B$10:$B$1509,"&gt;="&amp;DATE(Ano,7,1),'Finanças'!$B$10:$B$1509,"&lt;="&amp;DATE(Ano,7+1,0)))</f>
        <v>0</v>
      </c>
      <c r="L32" s="149">
        <f>IF($B32="","",SUMIFS('Finanças'!$F$10:$F$1509,'Finanças'!$C$10:$C$1509,"Despesa",'Finanças'!$D$10:$D$1509,$B32,'Finanças'!$B$10:$B$1509,"&gt;="&amp;DATE(Ano,8,1),'Finanças'!$B$10:$B$1509,"&lt;="&amp;DATE(Ano,8+1,0)))</f>
        <v>0</v>
      </c>
      <c r="M32" s="149">
        <f>IF($B32="","",SUMIFS('Finanças'!$F$10:$F$1509,'Finanças'!$C$10:$C$1509,"Despesa",'Finanças'!$D$10:$D$1509,$B32,'Finanças'!$B$10:$B$1509,"&gt;="&amp;DATE(Ano,9,1),'Finanças'!$B$10:$B$1509,"&lt;="&amp;DATE(Ano,9+1,0)))</f>
        <v>0</v>
      </c>
      <c r="N32" s="149">
        <f>IF($B32="","",SUMIFS('Finanças'!$F$10:$F$1509,'Finanças'!$C$10:$C$1509,"Despesa",'Finanças'!$D$10:$D$1509,$B32,'Finanças'!$B$10:$B$1509,"&gt;="&amp;DATE(Ano,10,1),'Finanças'!$B$10:$B$1509,"&lt;="&amp;DATE(Ano,10+1,0)))</f>
        <v>0</v>
      </c>
      <c r="O32" s="149">
        <f>IF($B32="","",SUMIFS('Finanças'!$F$10:$F$1509,'Finanças'!$C$10:$C$1509,"Despesa",'Finanças'!$D$10:$D$1509,$B32,'Finanças'!$B$10:$B$1509,"&gt;="&amp;DATE(Ano,11,1),'Finanças'!$B$10:$B$1509,"&lt;="&amp;DATE(Ano,11+1,0)))</f>
        <v>0</v>
      </c>
      <c r="P32" s="149">
        <f>IF($B32="","",SUMIFS('Finanças'!$F$10:$F$1509,'Finanças'!$C$10:$C$1509,"Despesa",'Finanças'!$D$10:$D$1509,$B32,'Finanças'!$B$10:$B$1509,"&gt;="&amp;DATE(Ano,12,1),'Finanças'!$B$10:$B$1509,"&lt;="&amp;DATE(Ano,12+1,0)))</f>
        <v>0</v>
      </c>
      <c r="Q32" s="149">
        <f>IF(B32="","",SUM(E32:P32))</f>
        <v>0</v>
      </c>
      <c r="R32" s="149">
        <f>IF(B32="","",SUMPRODUCT((COLUMN($E32:$P32)-COLUMN($E32)+1&lt;=RefMes)*$E32:$P32)/RefMes)</f>
        <v>0</v>
      </c>
      <c r="S32" s="149">
        <f>IF(B32="","",INDEX(E32:P32,RefMes))</f>
        <v>0</v>
      </c>
      <c r="T32" s="150" t="str">
        <f>IF(OR(B32="",N(D32)=0),"",S32/D32)</f>
        <v/>
      </c>
      <c r="U32" s="138" t="str">
        <f>IF(T32="",IF(AND(B32&lt;&gt;"",N(S32)&gt;0),"○ Sem orçamento",""),IF(T32&gt;1,"✖ Estourou",IF(T32&gt;DiasRef/DiasMes+0.15,"▲ Ritmo alto","✔ OK")))</f>
        <v/>
      </c>
    </row>
    <row r="33">
      <c r="B33" s="138" t="str">
        <f>IF('Config'!$I$21="","",'Config'!$I$21)</f>
        <v>Presentes &amp; doações</v>
      </c>
      <c r="C33" s="138" t="str">
        <f>IF(B33="","",'Config'!$J$21&amp;"")</f>
        <v>Estilo de vida</v>
      </c>
      <c r="D33" s="152" t="n"/>
      <c r="E33" s="149">
        <f>IF($B33="","",SUMIFS('Finanças'!$F$10:$F$1509,'Finanças'!$C$10:$C$1509,"Despesa",'Finanças'!$D$10:$D$1509,$B33,'Finanças'!$B$10:$B$1509,"&gt;="&amp;DATE(Ano,1,1),'Finanças'!$B$10:$B$1509,"&lt;="&amp;DATE(Ano,1+1,0)))</f>
        <v>0</v>
      </c>
      <c r="F33" s="149">
        <f>IF($B33="","",SUMIFS('Finanças'!$F$10:$F$1509,'Finanças'!$C$10:$C$1509,"Despesa",'Finanças'!$D$10:$D$1509,$B33,'Finanças'!$B$10:$B$1509,"&gt;="&amp;DATE(Ano,2,1),'Finanças'!$B$10:$B$1509,"&lt;="&amp;DATE(Ano,2+1,0)))</f>
        <v>0</v>
      </c>
      <c r="G33" s="149">
        <f>IF($B33="","",SUMIFS('Finanças'!$F$10:$F$1509,'Finanças'!$C$10:$C$1509,"Despesa",'Finanças'!$D$10:$D$1509,$B33,'Finanças'!$B$10:$B$1509,"&gt;="&amp;DATE(Ano,3,1),'Finanças'!$B$10:$B$1509,"&lt;="&amp;DATE(Ano,3+1,0)))</f>
        <v>0</v>
      </c>
      <c r="H33" s="149">
        <f>IF($B33="","",SUMIFS('Finanças'!$F$10:$F$1509,'Finanças'!$C$10:$C$1509,"Despesa",'Finanças'!$D$10:$D$1509,$B33,'Finanças'!$B$10:$B$1509,"&gt;="&amp;DATE(Ano,4,1),'Finanças'!$B$10:$B$1509,"&lt;="&amp;DATE(Ano,4+1,0)))</f>
        <v>0</v>
      </c>
      <c r="I33" s="149">
        <f>IF($B33="","",SUMIFS('Finanças'!$F$10:$F$1509,'Finanças'!$C$10:$C$1509,"Despesa",'Finanças'!$D$10:$D$1509,$B33,'Finanças'!$B$10:$B$1509,"&gt;="&amp;DATE(Ano,5,1),'Finanças'!$B$10:$B$1509,"&lt;="&amp;DATE(Ano,5+1,0)))</f>
        <v>0</v>
      </c>
      <c r="J33" s="149">
        <f>IF($B33="","",SUMIFS('Finanças'!$F$10:$F$1509,'Finanças'!$C$10:$C$1509,"Despesa",'Finanças'!$D$10:$D$1509,$B33,'Finanças'!$B$10:$B$1509,"&gt;="&amp;DATE(Ano,6,1),'Finanças'!$B$10:$B$1509,"&lt;="&amp;DATE(Ano,6+1,0)))</f>
        <v>0</v>
      </c>
      <c r="K33" s="149">
        <f>IF($B33="","",SUMIFS('Finanças'!$F$10:$F$1509,'Finanças'!$C$10:$C$1509,"Despesa",'Finanças'!$D$10:$D$1509,$B33,'Finanças'!$B$10:$B$1509,"&gt;="&amp;DATE(Ano,7,1),'Finanças'!$B$10:$B$1509,"&lt;="&amp;DATE(Ano,7+1,0)))</f>
        <v>0</v>
      </c>
      <c r="L33" s="149">
        <f>IF($B33="","",SUMIFS('Finanças'!$F$10:$F$1509,'Finanças'!$C$10:$C$1509,"Despesa",'Finanças'!$D$10:$D$1509,$B33,'Finanças'!$B$10:$B$1509,"&gt;="&amp;DATE(Ano,8,1),'Finanças'!$B$10:$B$1509,"&lt;="&amp;DATE(Ano,8+1,0)))</f>
        <v>0</v>
      </c>
      <c r="M33" s="149">
        <f>IF($B33="","",SUMIFS('Finanças'!$F$10:$F$1509,'Finanças'!$C$10:$C$1509,"Despesa",'Finanças'!$D$10:$D$1509,$B33,'Finanças'!$B$10:$B$1509,"&gt;="&amp;DATE(Ano,9,1),'Finanças'!$B$10:$B$1509,"&lt;="&amp;DATE(Ano,9+1,0)))</f>
        <v>0</v>
      </c>
      <c r="N33" s="149">
        <f>IF($B33="","",SUMIFS('Finanças'!$F$10:$F$1509,'Finanças'!$C$10:$C$1509,"Despesa",'Finanças'!$D$10:$D$1509,$B33,'Finanças'!$B$10:$B$1509,"&gt;="&amp;DATE(Ano,10,1),'Finanças'!$B$10:$B$1509,"&lt;="&amp;DATE(Ano,10+1,0)))</f>
        <v>0</v>
      </c>
      <c r="O33" s="149">
        <f>IF($B33="","",SUMIFS('Finanças'!$F$10:$F$1509,'Finanças'!$C$10:$C$1509,"Despesa",'Finanças'!$D$10:$D$1509,$B33,'Finanças'!$B$10:$B$1509,"&gt;="&amp;DATE(Ano,11,1),'Finanças'!$B$10:$B$1509,"&lt;="&amp;DATE(Ano,11+1,0)))</f>
        <v>0</v>
      </c>
      <c r="P33" s="149">
        <f>IF($B33="","",SUMIFS('Finanças'!$F$10:$F$1509,'Finanças'!$C$10:$C$1509,"Despesa",'Finanças'!$D$10:$D$1509,$B33,'Finanças'!$B$10:$B$1509,"&gt;="&amp;DATE(Ano,12,1),'Finanças'!$B$10:$B$1509,"&lt;="&amp;DATE(Ano,12+1,0)))</f>
        <v>0</v>
      </c>
      <c r="Q33" s="149">
        <f>IF(B33="","",SUM(E33:P33))</f>
        <v>0</v>
      </c>
      <c r="R33" s="149">
        <f>IF(B33="","",SUMPRODUCT((COLUMN($E33:$P33)-COLUMN($E33)+1&lt;=RefMes)*$E33:$P33)/RefMes)</f>
        <v>0</v>
      </c>
      <c r="S33" s="149">
        <f>IF(B33="","",INDEX(E33:P33,RefMes))</f>
        <v>0</v>
      </c>
      <c r="T33" s="150" t="str">
        <f>IF(OR(B33="",N(D33)=0),"",S33/D33)</f>
        <v/>
      </c>
      <c r="U33" s="138" t="str">
        <f>IF(T33="",IF(AND(B33&lt;&gt;"",N(S33)&gt;0),"○ Sem orçamento",""),IF(T33&gt;1,"✖ Estourou",IF(T33&gt;DiasRef/DiasMes+0.15,"▲ Ritmo alto","✔ OK")))</f>
        <v/>
      </c>
    </row>
    <row r="34">
      <c r="B34" s="138" t="str">
        <f>IF('Config'!$I$22="","",'Config'!$I$22)</f>
        <v>Educação &amp; cursos</v>
      </c>
      <c r="C34" s="138" t="str">
        <f>IF(B34="","",'Config'!$J$22&amp;"")</f>
        <v>Crescimento</v>
      </c>
      <c r="D34" s="152" t="n"/>
      <c r="E34" s="149">
        <f>IF($B34="","",SUMIFS('Finanças'!$F$10:$F$1509,'Finanças'!$C$10:$C$1509,"Despesa",'Finanças'!$D$10:$D$1509,$B34,'Finanças'!$B$10:$B$1509,"&gt;="&amp;DATE(Ano,1,1),'Finanças'!$B$10:$B$1509,"&lt;="&amp;DATE(Ano,1+1,0)))</f>
        <v>0</v>
      </c>
      <c r="F34" s="149">
        <f>IF($B34="","",SUMIFS('Finanças'!$F$10:$F$1509,'Finanças'!$C$10:$C$1509,"Despesa",'Finanças'!$D$10:$D$1509,$B34,'Finanças'!$B$10:$B$1509,"&gt;="&amp;DATE(Ano,2,1),'Finanças'!$B$10:$B$1509,"&lt;="&amp;DATE(Ano,2+1,0)))</f>
        <v>0</v>
      </c>
      <c r="G34" s="149">
        <f>IF($B34="","",SUMIFS('Finanças'!$F$10:$F$1509,'Finanças'!$C$10:$C$1509,"Despesa",'Finanças'!$D$10:$D$1509,$B34,'Finanças'!$B$10:$B$1509,"&gt;="&amp;DATE(Ano,3,1),'Finanças'!$B$10:$B$1509,"&lt;="&amp;DATE(Ano,3+1,0)))</f>
        <v>0</v>
      </c>
      <c r="H34" s="149">
        <f>IF($B34="","",SUMIFS('Finanças'!$F$10:$F$1509,'Finanças'!$C$10:$C$1509,"Despesa",'Finanças'!$D$10:$D$1509,$B34,'Finanças'!$B$10:$B$1509,"&gt;="&amp;DATE(Ano,4,1),'Finanças'!$B$10:$B$1509,"&lt;="&amp;DATE(Ano,4+1,0)))</f>
        <v>0</v>
      </c>
      <c r="I34" s="149">
        <f>IF($B34="","",SUMIFS('Finanças'!$F$10:$F$1509,'Finanças'!$C$10:$C$1509,"Despesa",'Finanças'!$D$10:$D$1509,$B34,'Finanças'!$B$10:$B$1509,"&gt;="&amp;DATE(Ano,5,1),'Finanças'!$B$10:$B$1509,"&lt;="&amp;DATE(Ano,5+1,0)))</f>
        <v>0</v>
      </c>
      <c r="J34" s="149">
        <f>IF($B34="","",SUMIFS('Finanças'!$F$10:$F$1509,'Finanças'!$C$10:$C$1509,"Despesa",'Finanças'!$D$10:$D$1509,$B34,'Finanças'!$B$10:$B$1509,"&gt;="&amp;DATE(Ano,6,1),'Finanças'!$B$10:$B$1509,"&lt;="&amp;DATE(Ano,6+1,0)))</f>
        <v>0</v>
      </c>
      <c r="K34" s="149">
        <f>IF($B34="","",SUMIFS('Finanças'!$F$10:$F$1509,'Finanças'!$C$10:$C$1509,"Despesa",'Finanças'!$D$10:$D$1509,$B34,'Finanças'!$B$10:$B$1509,"&gt;="&amp;DATE(Ano,7,1),'Finanças'!$B$10:$B$1509,"&lt;="&amp;DATE(Ano,7+1,0)))</f>
        <v>0</v>
      </c>
      <c r="L34" s="149">
        <f>IF($B34="","",SUMIFS('Finanças'!$F$10:$F$1509,'Finanças'!$C$10:$C$1509,"Despesa",'Finanças'!$D$10:$D$1509,$B34,'Finanças'!$B$10:$B$1509,"&gt;="&amp;DATE(Ano,8,1),'Finanças'!$B$10:$B$1509,"&lt;="&amp;DATE(Ano,8+1,0)))</f>
        <v>0</v>
      </c>
      <c r="M34" s="149">
        <f>IF($B34="","",SUMIFS('Finanças'!$F$10:$F$1509,'Finanças'!$C$10:$C$1509,"Despesa",'Finanças'!$D$10:$D$1509,$B34,'Finanças'!$B$10:$B$1509,"&gt;="&amp;DATE(Ano,9,1),'Finanças'!$B$10:$B$1509,"&lt;="&amp;DATE(Ano,9+1,0)))</f>
        <v>0</v>
      </c>
      <c r="N34" s="149">
        <f>IF($B34="","",SUMIFS('Finanças'!$F$10:$F$1509,'Finanças'!$C$10:$C$1509,"Despesa",'Finanças'!$D$10:$D$1509,$B34,'Finanças'!$B$10:$B$1509,"&gt;="&amp;DATE(Ano,10,1),'Finanças'!$B$10:$B$1509,"&lt;="&amp;DATE(Ano,10+1,0)))</f>
        <v>0</v>
      </c>
      <c r="O34" s="149">
        <f>IF($B34="","",SUMIFS('Finanças'!$F$10:$F$1509,'Finanças'!$C$10:$C$1509,"Despesa",'Finanças'!$D$10:$D$1509,$B34,'Finanças'!$B$10:$B$1509,"&gt;="&amp;DATE(Ano,11,1),'Finanças'!$B$10:$B$1509,"&lt;="&amp;DATE(Ano,11+1,0)))</f>
        <v>0</v>
      </c>
      <c r="P34" s="149">
        <f>IF($B34="","",SUMIFS('Finanças'!$F$10:$F$1509,'Finanças'!$C$10:$C$1509,"Despesa",'Finanças'!$D$10:$D$1509,$B34,'Finanças'!$B$10:$B$1509,"&gt;="&amp;DATE(Ano,12,1),'Finanças'!$B$10:$B$1509,"&lt;="&amp;DATE(Ano,12+1,0)))</f>
        <v>0</v>
      </c>
      <c r="Q34" s="149">
        <f>IF(B34="","",SUM(E34:P34))</f>
        <v>0</v>
      </c>
      <c r="R34" s="149">
        <f>IF(B34="","",SUMPRODUCT((COLUMN($E34:$P34)-COLUMN($E34)+1&lt;=RefMes)*$E34:$P34)/RefMes)</f>
        <v>0</v>
      </c>
      <c r="S34" s="149">
        <f>IF(B34="","",INDEX(E34:P34,RefMes))</f>
        <v>0</v>
      </c>
      <c r="T34" s="150" t="str">
        <f>IF(OR(B34="",N(D34)=0),"",S34/D34)</f>
        <v/>
      </c>
      <c r="U34" s="138" t="str">
        <f>IF(T34="",IF(AND(B34&lt;&gt;"",N(S34)&gt;0),"○ Sem orçamento",""),IF(T34&gt;1,"✖ Estourou",IF(T34&gt;DiasRef/DiasMes+0.15,"▲ Ritmo alto","✔ OK")))</f>
        <v/>
      </c>
    </row>
    <row r="35">
      <c r="B35" s="138" t="str">
        <f>IF('Config'!$I$23="","",'Config'!$I$23)</f>
        <v>Livros &amp; materiais</v>
      </c>
      <c r="C35" s="138" t="str">
        <f>IF(B35="","",'Config'!$J$23&amp;"")</f>
        <v>Crescimento</v>
      </c>
      <c r="D35" s="152" t="n"/>
      <c r="E35" s="149">
        <f>IF($B35="","",SUMIFS('Finanças'!$F$10:$F$1509,'Finanças'!$C$10:$C$1509,"Despesa",'Finanças'!$D$10:$D$1509,$B35,'Finanças'!$B$10:$B$1509,"&gt;="&amp;DATE(Ano,1,1),'Finanças'!$B$10:$B$1509,"&lt;="&amp;DATE(Ano,1+1,0)))</f>
        <v>0</v>
      </c>
      <c r="F35" s="149">
        <f>IF($B35="","",SUMIFS('Finanças'!$F$10:$F$1509,'Finanças'!$C$10:$C$1509,"Despesa",'Finanças'!$D$10:$D$1509,$B35,'Finanças'!$B$10:$B$1509,"&gt;="&amp;DATE(Ano,2,1),'Finanças'!$B$10:$B$1509,"&lt;="&amp;DATE(Ano,2+1,0)))</f>
        <v>0</v>
      </c>
      <c r="G35" s="149">
        <f>IF($B35="","",SUMIFS('Finanças'!$F$10:$F$1509,'Finanças'!$C$10:$C$1509,"Despesa",'Finanças'!$D$10:$D$1509,$B35,'Finanças'!$B$10:$B$1509,"&gt;="&amp;DATE(Ano,3,1),'Finanças'!$B$10:$B$1509,"&lt;="&amp;DATE(Ano,3+1,0)))</f>
        <v>0</v>
      </c>
      <c r="H35" s="149">
        <f>IF($B35="","",SUMIFS('Finanças'!$F$10:$F$1509,'Finanças'!$C$10:$C$1509,"Despesa",'Finanças'!$D$10:$D$1509,$B35,'Finanças'!$B$10:$B$1509,"&gt;="&amp;DATE(Ano,4,1),'Finanças'!$B$10:$B$1509,"&lt;="&amp;DATE(Ano,4+1,0)))</f>
        <v>0</v>
      </c>
      <c r="I35" s="149">
        <f>IF($B35="","",SUMIFS('Finanças'!$F$10:$F$1509,'Finanças'!$C$10:$C$1509,"Despesa",'Finanças'!$D$10:$D$1509,$B35,'Finanças'!$B$10:$B$1509,"&gt;="&amp;DATE(Ano,5,1),'Finanças'!$B$10:$B$1509,"&lt;="&amp;DATE(Ano,5+1,0)))</f>
        <v>0</v>
      </c>
      <c r="J35" s="149">
        <f>IF($B35="","",SUMIFS('Finanças'!$F$10:$F$1509,'Finanças'!$C$10:$C$1509,"Despesa",'Finanças'!$D$10:$D$1509,$B35,'Finanças'!$B$10:$B$1509,"&gt;="&amp;DATE(Ano,6,1),'Finanças'!$B$10:$B$1509,"&lt;="&amp;DATE(Ano,6+1,0)))</f>
        <v>0</v>
      </c>
      <c r="K35" s="149">
        <f>IF($B35="","",SUMIFS('Finanças'!$F$10:$F$1509,'Finanças'!$C$10:$C$1509,"Despesa",'Finanças'!$D$10:$D$1509,$B35,'Finanças'!$B$10:$B$1509,"&gt;="&amp;DATE(Ano,7,1),'Finanças'!$B$10:$B$1509,"&lt;="&amp;DATE(Ano,7+1,0)))</f>
        <v>0</v>
      </c>
      <c r="L35" s="149">
        <f>IF($B35="","",SUMIFS('Finanças'!$F$10:$F$1509,'Finanças'!$C$10:$C$1509,"Despesa",'Finanças'!$D$10:$D$1509,$B35,'Finanças'!$B$10:$B$1509,"&gt;="&amp;DATE(Ano,8,1),'Finanças'!$B$10:$B$1509,"&lt;="&amp;DATE(Ano,8+1,0)))</f>
        <v>0</v>
      </c>
      <c r="M35" s="149">
        <f>IF($B35="","",SUMIFS('Finanças'!$F$10:$F$1509,'Finanças'!$C$10:$C$1509,"Despesa",'Finanças'!$D$10:$D$1509,$B35,'Finanças'!$B$10:$B$1509,"&gt;="&amp;DATE(Ano,9,1),'Finanças'!$B$10:$B$1509,"&lt;="&amp;DATE(Ano,9+1,0)))</f>
        <v>0</v>
      </c>
      <c r="N35" s="149">
        <f>IF($B35="","",SUMIFS('Finanças'!$F$10:$F$1509,'Finanças'!$C$10:$C$1509,"Despesa",'Finanças'!$D$10:$D$1509,$B35,'Finanças'!$B$10:$B$1509,"&gt;="&amp;DATE(Ano,10,1),'Finanças'!$B$10:$B$1509,"&lt;="&amp;DATE(Ano,10+1,0)))</f>
        <v>0</v>
      </c>
      <c r="O35" s="149">
        <f>IF($B35="","",SUMIFS('Finanças'!$F$10:$F$1509,'Finanças'!$C$10:$C$1509,"Despesa",'Finanças'!$D$10:$D$1509,$B35,'Finanças'!$B$10:$B$1509,"&gt;="&amp;DATE(Ano,11,1),'Finanças'!$B$10:$B$1509,"&lt;="&amp;DATE(Ano,11+1,0)))</f>
        <v>0</v>
      </c>
      <c r="P35" s="149">
        <f>IF($B35="","",SUMIFS('Finanças'!$F$10:$F$1509,'Finanças'!$C$10:$C$1509,"Despesa",'Finanças'!$D$10:$D$1509,$B35,'Finanças'!$B$10:$B$1509,"&gt;="&amp;DATE(Ano,12,1),'Finanças'!$B$10:$B$1509,"&lt;="&amp;DATE(Ano,12+1,0)))</f>
        <v>0</v>
      </c>
      <c r="Q35" s="149">
        <f>IF(B35="","",SUM(E35:P35))</f>
        <v>0</v>
      </c>
      <c r="R35" s="149">
        <f>IF(B35="","",SUMPRODUCT((COLUMN($E35:$P35)-COLUMN($E35)+1&lt;=RefMes)*$E35:$P35)/RefMes)</f>
        <v>0</v>
      </c>
      <c r="S35" s="149">
        <f>IF(B35="","",INDEX(E35:P35,RefMes))</f>
        <v>0</v>
      </c>
      <c r="T35" s="150" t="str">
        <f>IF(OR(B35="",N(D35)=0),"",S35/D35)</f>
        <v/>
      </c>
      <c r="U35" s="138" t="str">
        <f>IF(T35="",IF(AND(B35&lt;&gt;"",N(S35)&gt;0),"○ Sem orçamento",""),IF(T35&gt;1,"✖ Estourou",IF(T35&gt;DiasRef/DiasMes+0.15,"▲ Ritmo alto","✔ OK")))</f>
        <v/>
      </c>
    </row>
    <row r="36">
      <c r="B36" s="138" t="str">
        <f>IF('Config'!$I$24="","",'Config'!$I$24)</f>
        <v>Outros</v>
      </c>
      <c r="C36" s="138" t="str">
        <f>IF(B36="","",'Config'!$J$24&amp;"")</f>
        <v>Estilo de vida</v>
      </c>
      <c r="D36" s="152" t="n"/>
      <c r="E36" s="149">
        <f>IF($B36="","",SUMIFS('Finanças'!$F$10:$F$1509,'Finanças'!$C$10:$C$1509,"Despesa",'Finanças'!$D$10:$D$1509,$B36,'Finanças'!$B$10:$B$1509,"&gt;="&amp;DATE(Ano,1,1),'Finanças'!$B$10:$B$1509,"&lt;="&amp;DATE(Ano,1+1,0)))</f>
        <v>0</v>
      </c>
      <c r="F36" s="149">
        <f>IF($B36="","",SUMIFS('Finanças'!$F$10:$F$1509,'Finanças'!$C$10:$C$1509,"Despesa",'Finanças'!$D$10:$D$1509,$B36,'Finanças'!$B$10:$B$1509,"&gt;="&amp;DATE(Ano,2,1),'Finanças'!$B$10:$B$1509,"&lt;="&amp;DATE(Ano,2+1,0)))</f>
        <v>0</v>
      </c>
      <c r="G36" s="149">
        <f>IF($B36="","",SUMIFS('Finanças'!$F$10:$F$1509,'Finanças'!$C$10:$C$1509,"Despesa",'Finanças'!$D$10:$D$1509,$B36,'Finanças'!$B$10:$B$1509,"&gt;="&amp;DATE(Ano,3,1),'Finanças'!$B$10:$B$1509,"&lt;="&amp;DATE(Ano,3+1,0)))</f>
        <v>0</v>
      </c>
      <c r="H36" s="149">
        <f>IF($B36="","",SUMIFS('Finanças'!$F$10:$F$1509,'Finanças'!$C$10:$C$1509,"Despesa",'Finanças'!$D$10:$D$1509,$B36,'Finanças'!$B$10:$B$1509,"&gt;="&amp;DATE(Ano,4,1),'Finanças'!$B$10:$B$1509,"&lt;="&amp;DATE(Ano,4+1,0)))</f>
        <v>0</v>
      </c>
      <c r="I36" s="149">
        <f>IF($B36="","",SUMIFS('Finanças'!$F$10:$F$1509,'Finanças'!$C$10:$C$1509,"Despesa",'Finanças'!$D$10:$D$1509,$B36,'Finanças'!$B$10:$B$1509,"&gt;="&amp;DATE(Ano,5,1),'Finanças'!$B$10:$B$1509,"&lt;="&amp;DATE(Ano,5+1,0)))</f>
        <v>0</v>
      </c>
      <c r="J36" s="149">
        <f>IF($B36="","",SUMIFS('Finanças'!$F$10:$F$1509,'Finanças'!$C$10:$C$1509,"Despesa",'Finanças'!$D$10:$D$1509,$B36,'Finanças'!$B$10:$B$1509,"&gt;="&amp;DATE(Ano,6,1),'Finanças'!$B$10:$B$1509,"&lt;="&amp;DATE(Ano,6+1,0)))</f>
        <v>0</v>
      </c>
      <c r="K36" s="149">
        <f>IF($B36="","",SUMIFS('Finanças'!$F$10:$F$1509,'Finanças'!$C$10:$C$1509,"Despesa",'Finanças'!$D$10:$D$1509,$B36,'Finanças'!$B$10:$B$1509,"&gt;="&amp;DATE(Ano,7,1),'Finanças'!$B$10:$B$1509,"&lt;="&amp;DATE(Ano,7+1,0)))</f>
        <v>0</v>
      </c>
      <c r="L36" s="149">
        <f>IF($B36="","",SUMIFS('Finanças'!$F$10:$F$1509,'Finanças'!$C$10:$C$1509,"Despesa",'Finanças'!$D$10:$D$1509,$B36,'Finanças'!$B$10:$B$1509,"&gt;="&amp;DATE(Ano,8,1),'Finanças'!$B$10:$B$1509,"&lt;="&amp;DATE(Ano,8+1,0)))</f>
        <v>0</v>
      </c>
      <c r="M36" s="149">
        <f>IF($B36="","",SUMIFS('Finanças'!$F$10:$F$1509,'Finanças'!$C$10:$C$1509,"Despesa",'Finanças'!$D$10:$D$1509,$B36,'Finanças'!$B$10:$B$1509,"&gt;="&amp;DATE(Ano,9,1),'Finanças'!$B$10:$B$1509,"&lt;="&amp;DATE(Ano,9+1,0)))</f>
        <v>0</v>
      </c>
      <c r="N36" s="149">
        <f>IF($B36="","",SUMIFS('Finanças'!$F$10:$F$1509,'Finanças'!$C$10:$C$1509,"Despesa",'Finanças'!$D$10:$D$1509,$B36,'Finanças'!$B$10:$B$1509,"&gt;="&amp;DATE(Ano,10,1),'Finanças'!$B$10:$B$1509,"&lt;="&amp;DATE(Ano,10+1,0)))</f>
        <v>0</v>
      </c>
      <c r="O36" s="149">
        <f>IF($B36="","",SUMIFS('Finanças'!$F$10:$F$1509,'Finanças'!$C$10:$C$1509,"Despesa",'Finanças'!$D$10:$D$1509,$B36,'Finanças'!$B$10:$B$1509,"&gt;="&amp;DATE(Ano,11,1),'Finanças'!$B$10:$B$1509,"&lt;="&amp;DATE(Ano,11+1,0)))</f>
        <v>0</v>
      </c>
      <c r="P36" s="149">
        <f>IF($B36="","",SUMIFS('Finanças'!$F$10:$F$1509,'Finanças'!$C$10:$C$1509,"Despesa",'Finanças'!$D$10:$D$1509,$B36,'Finanças'!$B$10:$B$1509,"&gt;="&amp;DATE(Ano,12,1),'Finanças'!$B$10:$B$1509,"&lt;="&amp;DATE(Ano,12+1,0)))</f>
        <v>0</v>
      </c>
      <c r="Q36" s="149">
        <f>IF(B36="","",SUM(E36:P36))</f>
        <v>0</v>
      </c>
      <c r="R36" s="149">
        <f>IF(B36="","",SUMPRODUCT((COLUMN($E36:$P36)-COLUMN($E36)+1&lt;=RefMes)*$E36:$P36)/RefMes)</f>
        <v>0</v>
      </c>
      <c r="S36" s="149">
        <f>IF(B36="","",INDEX(E36:P36,RefMes))</f>
        <v>0</v>
      </c>
      <c r="T36" s="150" t="str">
        <f>IF(OR(B36="",N(D36)=0),"",S36/D36)</f>
        <v/>
      </c>
      <c r="U36" s="138" t="str">
        <f>IF(T36="",IF(AND(B36&lt;&gt;"",N(S36)&gt;0),"○ Sem orçamento",""),IF(T36&gt;1,"✖ Estourou",IF(T36&gt;DiasRef/DiasMes+0.15,"▲ Ritmo alto","✔ OK")))</f>
        <v/>
      </c>
    </row>
    <row r="37">
      <c r="B37" s="138" t="str">
        <f>IF('Config'!$I$25="","",'Config'!$I$25)</f>
        <v/>
      </c>
      <c r="C37" s="138" t="str">
        <f>IF(B37="","",'Config'!$J$25&amp;"")</f>
        <v/>
      </c>
      <c r="D37" s="152" t="n"/>
      <c r="E37" s="149" t="str">
        <f>IF($B37="","",SUMIFS('Finanças'!$F$10:$F$1509,'Finanças'!$C$10:$C$1509,"Despesa",'Finanças'!$D$10:$D$1509,$B37,'Finanças'!$B$10:$B$1509,"&gt;="&amp;DATE(Ano,1,1),'Finanças'!$B$10:$B$1509,"&lt;="&amp;DATE(Ano,1+1,0)))</f>
        <v/>
      </c>
      <c r="F37" s="149" t="str">
        <f>IF($B37="","",SUMIFS('Finanças'!$F$10:$F$1509,'Finanças'!$C$10:$C$1509,"Despesa",'Finanças'!$D$10:$D$1509,$B37,'Finanças'!$B$10:$B$1509,"&gt;="&amp;DATE(Ano,2,1),'Finanças'!$B$10:$B$1509,"&lt;="&amp;DATE(Ano,2+1,0)))</f>
        <v/>
      </c>
      <c r="G37" s="149" t="str">
        <f>IF($B37="","",SUMIFS('Finanças'!$F$10:$F$1509,'Finanças'!$C$10:$C$1509,"Despesa",'Finanças'!$D$10:$D$1509,$B37,'Finanças'!$B$10:$B$1509,"&gt;="&amp;DATE(Ano,3,1),'Finanças'!$B$10:$B$1509,"&lt;="&amp;DATE(Ano,3+1,0)))</f>
        <v/>
      </c>
      <c r="H37" s="149" t="str">
        <f>IF($B37="","",SUMIFS('Finanças'!$F$10:$F$1509,'Finanças'!$C$10:$C$1509,"Despesa",'Finanças'!$D$10:$D$1509,$B37,'Finanças'!$B$10:$B$1509,"&gt;="&amp;DATE(Ano,4,1),'Finanças'!$B$10:$B$1509,"&lt;="&amp;DATE(Ano,4+1,0)))</f>
        <v/>
      </c>
      <c r="I37" s="149" t="str">
        <f>IF($B37="","",SUMIFS('Finanças'!$F$10:$F$1509,'Finanças'!$C$10:$C$1509,"Despesa",'Finanças'!$D$10:$D$1509,$B37,'Finanças'!$B$10:$B$1509,"&gt;="&amp;DATE(Ano,5,1),'Finanças'!$B$10:$B$1509,"&lt;="&amp;DATE(Ano,5+1,0)))</f>
        <v/>
      </c>
      <c r="J37" s="149" t="str">
        <f>IF($B37="","",SUMIFS('Finanças'!$F$10:$F$1509,'Finanças'!$C$10:$C$1509,"Despesa",'Finanças'!$D$10:$D$1509,$B37,'Finanças'!$B$10:$B$1509,"&gt;="&amp;DATE(Ano,6,1),'Finanças'!$B$10:$B$1509,"&lt;="&amp;DATE(Ano,6+1,0)))</f>
        <v/>
      </c>
      <c r="K37" s="149" t="str">
        <f>IF($B37="","",SUMIFS('Finanças'!$F$10:$F$1509,'Finanças'!$C$10:$C$1509,"Despesa",'Finanças'!$D$10:$D$1509,$B37,'Finanças'!$B$10:$B$1509,"&gt;="&amp;DATE(Ano,7,1),'Finanças'!$B$10:$B$1509,"&lt;="&amp;DATE(Ano,7+1,0)))</f>
        <v/>
      </c>
      <c r="L37" s="149" t="str">
        <f>IF($B37="","",SUMIFS('Finanças'!$F$10:$F$1509,'Finanças'!$C$10:$C$1509,"Despesa",'Finanças'!$D$10:$D$1509,$B37,'Finanças'!$B$10:$B$1509,"&gt;="&amp;DATE(Ano,8,1),'Finanças'!$B$10:$B$1509,"&lt;="&amp;DATE(Ano,8+1,0)))</f>
        <v/>
      </c>
      <c r="M37" s="149" t="str">
        <f>IF($B37="","",SUMIFS('Finanças'!$F$10:$F$1509,'Finanças'!$C$10:$C$1509,"Despesa",'Finanças'!$D$10:$D$1509,$B37,'Finanças'!$B$10:$B$1509,"&gt;="&amp;DATE(Ano,9,1),'Finanças'!$B$10:$B$1509,"&lt;="&amp;DATE(Ano,9+1,0)))</f>
        <v/>
      </c>
      <c r="N37" s="149" t="str">
        <f>IF($B37="","",SUMIFS('Finanças'!$F$10:$F$1509,'Finanças'!$C$10:$C$1509,"Despesa",'Finanças'!$D$10:$D$1509,$B37,'Finanças'!$B$10:$B$1509,"&gt;="&amp;DATE(Ano,10,1),'Finanças'!$B$10:$B$1509,"&lt;="&amp;DATE(Ano,10+1,0)))</f>
        <v/>
      </c>
      <c r="O37" s="149" t="str">
        <f>IF($B37="","",SUMIFS('Finanças'!$F$10:$F$1509,'Finanças'!$C$10:$C$1509,"Despesa",'Finanças'!$D$10:$D$1509,$B37,'Finanças'!$B$10:$B$1509,"&gt;="&amp;DATE(Ano,11,1),'Finanças'!$B$10:$B$1509,"&lt;="&amp;DATE(Ano,11+1,0)))</f>
        <v/>
      </c>
      <c r="P37" s="149" t="str">
        <f>IF($B37="","",SUMIFS('Finanças'!$F$10:$F$1509,'Finanças'!$C$10:$C$1509,"Despesa",'Finanças'!$D$10:$D$1509,$B37,'Finanças'!$B$10:$B$1509,"&gt;="&amp;DATE(Ano,12,1),'Finanças'!$B$10:$B$1509,"&lt;="&amp;DATE(Ano,12+1,0)))</f>
        <v/>
      </c>
      <c r="Q37" s="149" t="str">
        <f>IF(B37="","",SUM(E37:P37))</f>
        <v/>
      </c>
      <c r="R37" s="149" t="str">
        <f>IF(B37="","",SUMPRODUCT((COLUMN($E37:$P37)-COLUMN($E37)+1&lt;=RefMes)*$E37:$P37)/RefMes)</f>
        <v/>
      </c>
      <c r="S37" s="149" t="str">
        <f>IF(B37="","",INDEX(E37:P37,RefMes))</f>
        <v/>
      </c>
      <c r="T37" s="150" t="str">
        <f>IF(OR(B37="",N(D37)=0),"",S37/D37)</f>
        <v/>
      </c>
      <c r="U37" s="138" t="str">
        <f>IF(T37="",IF(AND(B37&lt;&gt;"",N(S37)&gt;0),"○ Sem orçamento",""),IF(T37&gt;1,"✖ Estourou",IF(T37&gt;DiasRef/DiasMes+0.15,"▲ Ritmo alto","✔ OK")))</f>
        <v/>
      </c>
    </row>
    <row r="38">
      <c r="B38" s="138" t="str">
        <f>IF('Config'!$I$26="","",'Config'!$I$26)</f>
        <v/>
      </c>
      <c r="C38" s="138" t="str">
        <f>IF(B38="","",'Config'!$J$26&amp;"")</f>
        <v/>
      </c>
      <c r="D38" s="152" t="n"/>
      <c r="E38" s="149" t="str">
        <f>IF($B38="","",SUMIFS('Finanças'!$F$10:$F$1509,'Finanças'!$C$10:$C$1509,"Despesa",'Finanças'!$D$10:$D$1509,$B38,'Finanças'!$B$10:$B$1509,"&gt;="&amp;DATE(Ano,1,1),'Finanças'!$B$10:$B$1509,"&lt;="&amp;DATE(Ano,1+1,0)))</f>
        <v/>
      </c>
      <c r="F38" s="149" t="str">
        <f>IF($B38="","",SUMIFS('Finanças'!$F$10:$F$1509,'Finanças'!$C$10:$C$1509,"Despesa",'Finanças'!$D$10:$D$1509,$B38,'Finanças'!$B$10:$B$1509,"&gt;="&amp;DATE(Ano,2,1),'Finanças'!$B$10:$B$1509,"&lt;="&amp;DATE(Ano,2+1,0)))</f>
        <v/>
      </c>
      <c r="G38" s="149" t="str">
        <f>IF($B38="","",SUMIFS('Finanças'!$F$10:$F$1509,'Finanças'!$C$10:$C$1509,"Despesa",'Finanças'!$D$10:$D$1509,$B38,'Finanças'!$B$10:$B$1509,"&gt;="&amp;DATE(Ano,3,1),'Finanças'!$B$10:$B$1509,"&lt;="&amp;DATE(Ano,3+1,0)))</f>
        <v/>
      </c>
      <c r="H38" s="149" t="str">
        <f>IF($B38="","",SUMIFS('Finanças'!$F$10:$F$1509,'Finanças'!$C$10:$C$1509,"Despesa",'Finanças'!$D$10:$D$1509,$B38,'Finanças'!$B$10:$B$1509,"&gt;="&amp;DATE(Ano,4,1),'Finanças'!$B$10:$B$1509,"&lt;="&amp;DATE(Ano,4+1,0)))</f>
        <v/>
      </c>
      <c r="I38" s="149" t="str">
        <f>IF($B38="","",SUMIFS('Finanças'!$F$10:$F$1509,'Finanças'!$C$10:$C$1509,"Despesa",'Finanças'!$D$10:$D$1509,$B38,'Finanças'!$B$10:$B$1509,"&gt;="&amp;DATE(Ano,5,1),'Finanças'!$B$10:$B$1509,"&lt;="&amp;DATE(Ano,5+1,0)))</f>
        <v/>
      </c>
      <c r="J38" s="149" t="str">
        <f>IF($B38="","",SUMIFS('Finanças'!$F$10:$F$1509,'Finanças'!$C$10:$C$1509,"Despesa",'Finanças'!$D$10:$D$1509,$B38,'Finanças'!$B$10:$B$1509,"&gt;="&amp;DATE(Ano,6,1),'Finanças'!$B$10:$B$1509,"&lt;="&amp;DATE(Ano,6+1,0)))</f>
        <v/>
      </c>
      <c r="K38" s="149" t="str">
        <f>IF($B38="","",SUMIFS('Finanças'!$F$10:$F$1509,'Finanças'!$C$10:$C$1509,"Despesa",'Finanças'!$D$10:$D$1509,$B38,'Finanças'!$B$10:$B$1509,"&gt;="&amp;DATE(Ano,7,1),'Finanças'!$B$10:$B$1509,"&lt;="&amp;DATE(Ano,7+1,0)))</f>
        <v/>
      </c>
      <c r="L38" s="149" t="str">
        <f>IF($B38="","",SUMIFS('Finanças'!$F$10:$F$1509,'Finanças'!$C$10:$C$1509,"Despesa",'Finanças'!$D$10:$D$1509,$B38,'Finanças'!$B$10:$B$1509,"&gt;="&amp;DATE(Ano,8,1),'Finanças'!$B$10:$B$1509,"&lt;="&amp;DATE(Ano,8+1,0)))</f>
        <v/>
      </c>
      <c r="M38" s="149" t="str">
        <f>IF($B38="","",SUMIFS('Finanças'!$F$10:$F$1509,'Finanças'!$C$10:$C$1509,"Despesa",'Finanças'!$D$10:$D$1509,$B38,'Finanças'!$B$10:$B$1509,"&gt;="&amp;DATE(Ano,9,1),'Finanças'!$B$10:$B$1509,"&lt;="&amp;DATE(Ano,9+1,0)))</f>
        <v/>
      </c>
      <c r="N38" s="149" t="str">
        <f>IF($B38="","",SUMIFS('Finanças'!$F$10:$F$1509,'Finanças'!$C$10:$C$1509,"Despesa",'Finanças'!$D$10:$D$1509,$B38,'Finanças'!$B$10:$B$1509,"&gt;="&amp;DATE(Ano,10,1),'Finanças'!$B$10:$B$1509,"&lt;="&amp;DATE(Ano,10+1,0)))</f>
        <v/>
      </c>
      <c r="O38" s="149" t="str">
        <f>IF($B38="","",SUMIFS('Finanças'!$F$10:$F$1509,'Finanças'!$C$10:$C$1509,"Despesa",'Finanças'!$D$10:$D$1509,$B38,'Finanças'!$B$10:$B$1509,"&gt;="&amp;DATE(Ano,11,1),'Finanças'!$B$10:$B$1509,"&lt;="&amp;DATE(Ano,11+1,0)))</f>
        <v/>
      </c>
      <c r="P38" s="149" t="str">
        <f>IF($B38="","",SUMIFS('Finanças'!$F$10:$F$1509,'Finanças'!$C$10:$C$1509,"Despesa",'Finanças'!$D$10:$D$1509,$B38,'Finanças'!$B$10:$B$1509,"&gt;="&amp;DATE(Ano,12,1),'Finanças'!$B$10:$B$1509,"&lt;="&amp;DATE(Ano,12+1,0)))</f>
        <v/>
      </c>
      <c r="Q38" s="149" t="str">
        <f>IF(B38="","",SUM(E38:P38))</f>
        <v/>
      </c>
      <c r="R38" s="149" t="str">
        <f>IF(B38="","",SUMPRODUCT((COLUMN($E38:$P38)-COLUMN($E38)+1&lt;=RefMes)*$E38:$P38)/RefMes)</f>
        <v/>
      </c>
      <c r="S38" s="149" t="str">
        <f>IF(B38="","",INDEX(E38:P38,RefMes))</f>
        <v/>
      </c>
      <c r="T38" s="150" t="str">
        <f>IF(OR(B38="",N(D38)=0),"",S38/D38)</f>
        <v/>
      </c>
      <c r="U38" s="138" t="str">
        <f>IF(T38="",IF(AND(B38&lt;&gt;"",N(S38)&gt;0),"○ Sem orçamento",""),IF(T38&gt;1,"✖ Estourou",IF(T38&gt;DiasRef/DiasMes+0.15,"▲ Ritmo alto","✔ OK")))</f>
        <v/>
      </c>
    </row>
    <row r="39">
      <c r="B39" s="138" t="str">
        <f>IF('Config'!$I$27="","",'Config'!$I$27)</f>
        <v/>
      </c>
      <c r="C39" s="138" t="str">
        <f>IF(B39="","",'Config'!$J$27&amp;"")</f>
        <v/>
      </c>
      <c r="D39" s="152" t="n"/>
      <c r="E39" s="149" t="str">
        <f>IF($B39="","",SUMIFS('Finanças'!$F$10:$F$1509,'Finanças'!$C$10:$C$1509,"Despesa",'Finanças'!$D$10:$D$1509,$B39,'Finanças'!$B$10:$B$1509,"&gt;="&amp;DATE(Ano,1,1),'Finanças'!$B$10:$B$1509,"&lt;="&amp;DATE(Ano,1+1,0)))</f>
        <v/>
      </c>
      <c r="F39" s="149" t="str">
        <f>IF($B39="","",SUMIFS('Finanças'!$F$10:$F$1509,'Finanças'!$C$10:$C$1509,"Despesa",'Finanças'!$D$10:$D$1509,$B39,'Finanças'!$B$10:$B$1509,"&gt;="&amp;DATE(Ano,2,1),'Finanças'!$B$10:$B$1509,"&lt;="&amp;DATE(Ano,2+1,0)))</f>
        <v/>
      </c>
      <c r="G39" s="149" t="str">
        <f>IF($B39="","",SUMIFS('Finanças'!$F$10:$F$1509,'Finanças'!$C$10:$C$1509,"Despesa",'Finanças'!$D$10:$D$1509,$B39,'Finanças'!$B$10:$B$1509,"&gt;="&amp;DATE(Ano,3,1),'Finanças'!$B$10:$B$1509,"&lt;="&amp;DATE(Ano,3+1,0)))</f>
        <v/>
      </c>
      <c r="H39" s="149" t="str">
        <f>IF($B39="","",SUMIFS('Finanças'!$F$10:$F$1509,'Finanças'!$C$10:$C$1509,"Despesa",'Finanças'!$D$10:$D$1509,$B39,'Finanças'!$B$10:$B$1509,"&gt;="&amp;DATE(Ano,4,1),'Finanças'!$B$10:$B$1509,"&lt;="&amp;DATE(Ano,4+1,0)))</f>
        <v/>
      </c>
      <c r="I39" s="149" t="str">
        <f>IF($B39="","",SUMIFS('Finanças'!$F$10:$F$1509,'Finanças'!$C$10:$C$1509,"Despesa",'Finanças'!$D$10:$D$1509,$B39,'Finanças'!$B$10:$B$1509,"&gt;="&amp;DATE(Ano,5,1),'Finanças'!$B$10:$B$1509,"&lt;="&amp;DATE(Ano,5+1,0)))</f>
        <v/>
      </c>
      <c r="J39" s="149" t="str">
        <f>IF($B39="","",SUMIFS('Finanças'!$F$10:$F$1509,'Finanças'!$C$10:$C$1509,"Despesa",'Finanças'!$D$10:$D$1509,$B39,'Finanças'!$B$10:$B$1509,"&gt;="&amp;DATE(Ano,6,1),'Finanças'!$B$10:$B$1509,"&lt;="&amp;DATE(Ano,6+1,0)))</f>
        <v/>
      </c>
      <c r="K39" s="149" t="str">
        <f>IF($B39="","",SUMIFS('Finanças'!$F$10:$F$1509,'Finanças'!$C$10:$C$1509,"Despesa",'Finanças'!$D$10:$D$1509,$B39,'Finanças'!$B$10:$B$1509,"&gt;="&amp;DATE(Ano,7,1),'Finanças'!$B$10:$B$1509,"&lt;="&amp;DATE(Ano,7+1,0)))</f>
        <v/>
      </c>
      <c r="L39" s="149" t="str">
        <f>IF($B39="","",SUMIFS('Finanças'!$F$10:$F$1509,'Finanças'!$C$10:$C$1509,"Despesa",'Finanças'!$D$10:$D$1509,$B39,'Finanças'!$B$10:$B$1509,"&gt;="&amp;DATE(Ano,8,1),'Finanças'!$B$10:$B$1509,"&lt;="&amp;DATE(Ano,8+1,0)))</f>
        <v/>
      </c>
      <c r="M39" s="149" t="str">
        <f>IF($B39="","",SUMIFS('Finanças'!$F$10:$F$1509,'Finanças'!$C$10:$C$1509,"Despesa",'Finanças'!$D$10:$D$1509,$B39,'Finanças'!$B$10:$B$1509,"&gt;="&amp;DATE(Ano,9,1),'Finanças'!$B$10:$B$1509,"&lt;="&amp;DATE(Ano,9+1,0)))</f>
        <v/>
      </c>
      <c r="N39" s="149" t="str">
        <f>IF($B39="","",SUMIFS('Finanças'!$F$10:$F$1509,'Finanças'!$C$10:$C$1509,"Despesa",'Finanças'!$D$10:$D$1509,$B39,'Finanças'!$B$10:$B$1509,"&gt;="&amp;DATE(Ano,10,1),'Finanças'!$B$10:$B$1509,"&lt;="&amp;DATE(Ano,10+1,0)))</f>
        <v/>
      </c>
      <c r="O39" s="149" t="str">
        <f>IF($B39="","",SUMIFS('Finanças'!$F$10:$F$1509,'Finanças'!$C$10:$C$1509,"Despesa",'Finanças'!$D$10:$D$1509,$B39,'Finanças'!$B$10:$B$1509,"&gt;="&amp;DATE(Ano,11,1),'Finanças'!$B$10:$B$1509,"&lt;="&amp;DATE(Ano,11+1,0)))</f>
        <v/>
      </c>
      <c r="P39" s="149" t="str">
        <f>IF($B39="","",SUMIFS('Finanças'!$F$10:$F$1509,'Finanças'!$C$10:$C$1509,"Despesa",'Finanças'!$D$10:$D$1509,$B39,'Finanças'!$B$10:$B$1509,"&gt;="&amp;DATE(Ano,12,1),'Finanças'!$B$10:$B$1509,"&lt;="&amp;DATE(Ano,12+1,0)))</f>
        <v/>
      </c>
      <c r="Q39" s="149" t="str">
        <f>IF(B39="","",SUM(E39:P39))</f>
        <v/>
      </c>
      <c r="R39" s="149" t="str">
        <f>IF(B39="","",SUMPRODUCT((COLUMN($E39:$P39)-COLUMN($E39)+1&lt;=RefMes)*$E39:$P39)/RefMes)</f>
        <v/>
      </c>
      <c r="S39" s="149" t="str">
        <f>IF(B39="","",INDEX(E39:P39,RefMes))</f>
        <v/>
      </c>
      <c r="T39" s="150" t="str">
        <f>IF(OR(B39="",N(D39)=0),"",S39/D39)</f>
        <v/>
      </c>
      <c r="U39" s="138" t="str">
        <f>IF(T39="",IF(AND(B39&lt;&gt;"",N(S39)&gt;0),"○ Sem orçamento",""),IF(T39&gt;1,"✖ Estourou",IF(T39&gt;DiasRef/DiasMes+0.15,"▲ Ritmo alto","✔ OK")))</f>
        <v/>
      </c>
    </row>
    <row r="40">
      <c r="B40" s="138" t="str">
        <f>IF('Config'!$I$28="","",'Config'!$I$28)</f>
        <v/>
      </c>
      <c r="C40" s="138" t="str">
        <f>IF(B40="","",'Config'!$J$28&amp;"")</f>
        <v/>
      </c>
      <c r="D40" s="152" t="n"/>
      <c r="E40" s="149" t="str">
        <f>IF($B40="","",SUMIFS('Finanças'!$F$10:$F$1509,'Finanças'!$C$10:$C$1509,"Despesa",'Finanças'!$D$10:$D$1509,$B40,'Finanças'!$B$10:$B$1509,"&gt;="&amp;DATE(Ano,1,1),'Finanças'!$B$10:$B$1509,"&lt;="&amp;DATE(Ano,1+1,0)))</f>
        <v/>
      </c>
      <c r="F40" s="149" t="str">
        <f>IF($B40="","",SUMIFS('Finanças'!$F$10:$F$1509,'Finanças'!$C$10:$C$1509,"Despesa",'Finanças'!$D$10:$D$1509,$B40,'Finanças'!$B$10:$B$1509,"&gt;="&amp;DATE(Ano,2,1),'Finanças'!$B$10:$B$1509,"&lt;="&amp;DATE(Ano,2+1,0)))</f>
        <v/>
      </c>
      <c r="G40" s="149" t="str">
        <f>IF($B40="","",SUMIFS('Finanças'!$F$10:$F$1509,'Finanças'!$C$10:$C$1509,"Despesa",'Finanças'!$D$10:$D$1509,$B40,'Finanças'!$B$10:$B$1509,"&gt;="&amp;DATE(Ano,3,1),'Finanças'!$B$10:$B$1509,"&lt;="&amp;DATE(Ano,3+1,0)))</f>
        <v/>
      </c>
      <c r="H40" s="149" t="str">
        <f>IF($B40="","",SUMIFS('Finanças'!$F$10:$F$1509,'Finanças'!$C$10:$C$1509,"Despesa",'Finanças'!$D$10:$D$1509,$B40,'Finanças'!$B$10:$B$1509,"&gt;="&amp;DATE(Ano,4,1),'Finanças'!$B$10:$B$1509,"&lt;="&amp;DATE(Ano,4+1,0)))</f>
        <v/>
      </c>
      <c r="I40" s="149" t="str">
        <f>IF($B40="","",SUMIFS('Finanças'!$F$10:$F$1509,'Finanças'!$C$10:$C$1509,"Despesa",'Finanças'!$D$10:$D$1509,$B40,'Finanças'!$B$10:$B$1509,"&gt;="&amp;DATE(Ano,5,1),'Finanças'!$B$10:$B$1509,"&lt;="&amp;DATE(Ano,5+1,0)))</f>
        <v/>
      </c>
      <c r="J40" s="149" t="str">
        <f>IF($B40="","",SUMIFS('Finanças'!$F$10:$F$1509,'Finanças'!$C$10:$C$1509,"Despesa",'Finanças'!$D$10:$D$1509,$B40,'Finanças'!$B$10:$B$1509,"&gt;="&amp;DATE(Ano,6,1),'Finanças'!$B$10:$B$1509,"&lt;="&amp;DATE(Ano,6+1,0)))</f>
        <v/>
      </c>
      <c r="K40" s="149" t="str">
        <f>IF($B40="","",SUMIFS('Finanças'!$F$10:$F$1509,'Finanças'!$C$10:$C$1509,"Despesa",'Finanças'!$D$10:$D$1509,$B40,'Finanças'!$B$10:$B$1509,"&gt;="&amp;DATE(Ano,7,1),'Finanças'!$B$10:$B$1509,"&lt;="&amp;DATE(Ano,7+1,0)))</f>
        <v/>
      </c>
      <c r="L40" s="149" t="str">
        <f>IF($B40="","",SUMIFS('Finanças'!$F$10:$F$1509,'Finanças'!$C$10:$C$1509,"Despesa",'Finanças'!$D$10:$D$1509,$B40,'Finanças'!$B$10:$B$1509,"&gt;="&amp;DATE(Ano,8,1),'Finanças'!$B$10:$B$1509,"&lt;="&amp;DATE(Ano,8+1,0)))</f>
        <v/>
      </c>
      <c r="M40" s="149" t="str">
        <f>IF($B40="","",SUMIFS('Finanças'!$F$10:$F$1509,'Finanças'!$C$10:$C$1509,"Despesa",'Finanças'!$D$10:$D$1509,$B40,'Finanças'!$B$10:$B$1509,"&gt;="&amp;DATE(Ano,9,1),'Finanças'!$B$10:$B$1509,"&lt;="&amp;DATE(Ano,9+1,0)))</f>
        <v/>
      </c>
      <c r="N40" s="149" t="str">
        <f>IF($B40="","",SUMIFS('Finanças'!$F$10:$F$1509,'Finanças'!$C$10:$C$1509,"Despesa",'Finanças'!$D$10:$D$1509,$B40,'Finanças'!$B$10:$B$1509,"&gt;="&amp;DATE(Ano,10,1),'Finanças'!$B$10:$B$1509,"&lt;="&amp;DATE(Ano,10+1,0)))</f>
        <v/>
      </c>
      <c r="O40" s="149" t="str">
        <f>IF($B40="","",SUMIFS('Finanças'!$F$10:$F$1509,'Finanças'!$C$10:$C$1509,"Despesa",'Finanças'!$D$10:$D$1509,$B40,'Finanças'!$B$10:$B$1509,"&gt;="&amp;DATE(Ano,11,1),'Finanças'!$B$10:$B$1509,"&lt;="&amp;DATE(Ano,11+1,0)))</f>
        <v/>
      </c>
      <c r="P40" s="149" t="str">
        <f>IF($B40="","",SUMIFS('Finanças'!$F$10:$F$1509,'Finanças'!$C$10:$C$1509,"Despesa",'Finanças'!$D$10:$D$1509,$B40,'Finanças'!$B$10:$B$1509,"&gt;="&amp;DATE(Ano,12,1),'Finanças'!$B$10:$B$1509,"&lt;="&amp;DATE(Ano,12+1,0)))</f>
        <v/>
      </c>
      <c r="Q40" s="149" t="str">
        <f>IF(B40="","",SUM(E40:P40))</f>
        <v/>
      </c>
      <c r="R40" s="149" t="str">
        <f>IF(B40="","",SUMPRODUCT((COLUMN($E40:$P40)-COLUMN($E40)+1&lt;=RefMes)*$E40:$P40)/RefMes)</f>
        <v/>
      </c>
      <c r="S40" s="149" t="str">
        <f>IF(B40="","",INDEX(E40:P40,RefMes))</f>
        <v/>
      </c>
      <c r="T40" s="150" t="str">
        <f>IF(OR(B40="",N(D40)=0),"",S40/D40)</f>
        <v/>
      </c>
      <c r="U40" s="138" t="str">
        <f>IF(T40="",IF(AND(B40&lt;&gt;"",N(S40)&gt;0),"○ Sem orçamento",""),IF(T40&gt;1,"✖ Estourou",IF(T40&gt;DiasRef/DiasMes+0.15,"▲ Ritmo alto","✔ OK")))</f>
        <v/>
      </c>
    </row>
    <row r="41">
      <c r="B41" s="138" t="str">
        <f>IF('Config'!$I$29="","",'Config'!$I$29)</f>
        <v/>
      </c>
      <c r="C41" s="138" t="str">
        <f>IF(B41="","",'Config'!$J$29&amp;"")</f>
        <v/>
      </c>
      <c r="D41" s="152" t="n"/>
      <c r="E41" s="149" t="str">
        <f>IF($B41="","",SUMIFS('Finanças'!$F$10:$F$1509,'Finanças'!$C$10:$C$1509,"Despesa",'Finanças'!$D$10:$D$1509,$B41,'Finanças'!$B$10:$B$1509,"&gt;="&amp;DATE(Ano,1,1),'Finanças'!$B$10:$B$1509,"&lt;="&amp;DATE(Ano,1+1,0)))</f>
        <v/>
      </c>
      <c r="F41" s="149" t="str">
        <f>IF($B41="","",SUMIFS('Finanças'!$F$10:$F$1509,'Finanças'!$C$10:$C$1509,"Despesa",'Finanças'!$D$10:$D$1509,$B41,'Finanças'!$B$10:$B$1509,"&gt;="&amp;DATE(Ano,2,1),'Finanças'!$B$10:$B$1509,"&lt;="&amp;DATE(Ano,2+1,0)))</f>
        <v/>
      </c>
      <c r="G41" s="149" t="str">
        <f>IF($B41="","",SUMIFS('Finanças'!$F$10:$F$1509,'Finanças'!$C$10:$C$1509,"Despesa",'Finanças'!$D$10:$D$1509,$B41,'Finanças'!$B$10:$B$1509,"&gt;="&amp;DATE(Ano,3,1),'Finanças'!$B$10:$B$1509,"&lt;="&amp;DATE(Ano,3+1,0)))</f>
        <v/>
      </c>
      <c r="H41" s="149" t="str">
        <f>IF($B41="","",SUMIFS('Finanças'!$F$10:$F$1509,'Finanças'!$C$10:$C$1509,"Despesa",'Finanças'!$D$10:$D$1509,$B41,'Finanças'!$B$10:$B$1509,"&gt;="&amp;DATE(Ano,4,1),'Finanças'!$B$10:$B$1509,"&lt;="&amp;DATE(Ano,4+1,0)))</f>
        <v/>
      </c>
      <c r="I41" s="149" t="str">
        <f>IF($B41="","",SUMIFS('Finanças'!$F$10:$F$1509,'Finanças'!$C$10:$C$1509,"Despesa",'Finanças'!$D$10:$D$1509,$B41,'Finanças'!$B$10:$B$1509,"&gt;="&amp;DATE(Ano,5,1),'Finanças'!$B$10:$B$1509,"&lt;="&amp;DATE(Ano,5+1,0)))</f>
        <v/>
      </c>
      <c r="J41" s="149" t="str">
        <f>IF($B41="","",SUMIFS('Finanças'!$F$10:$F$1509,'Finanças'!$C$10:$C$1509,"Despesa",'Finanças'!$D$10:$D$1509,$B41,'Finanças'!$B$10:$B$1509,"&gt;="&amp;DATE(Ano,6,1),'Finanças'!$B$10:$B$1509,"&lt;="&amp;DATE(Ano,6+1,0)))</f>
        <v/>
      </c>
      <c r="K41" s="149" t="str">
        <f>IF($B41="","",SUMIFS('Finanças'!$F$10:$F$1509,'Finanças'!$C$10:$C$1509,"Despesa",'Finanças'!$D$10:$D$1509,$B41,'Finanças'!$B$10:$B$1509,"&gt;="&amp;DATE(Ano,7,1),'Finanças'!$B$10:$B$1509,"&lt;="&amp;DATE(Ano,7+1,0)))</f>
        <v/>
      </c>
      <c r="L41" s="149" t="str">
        <f>IF($B41="","",SUMIFS('Finanças'!$F$10:$F$1509,'Finanças'!$C$10:$C$1509,"Despesa",'Finanças'!$D$10:$D$1509,$B41,'Finanças'!$B$10:$B$1509,"&gt;="&amp;DATE(Ano,8,1),'Finanças'!$B$10:$B$1509,"&lt;="&amp;DATE(Ano,8+1,0)))</f>
        <v/>
      </c>
      <c r="M41" s="149" t="str">
        <f>IF($B41="","",SUMIFS('Finanças'!$F$10:$F$1509,'Finanças'!$C$10:$C$1509,"Despesa",'Finanças'!$D$10:$D$1509,$B41,'Finanças'!$B$10:$B$1509,"&gt;="&amp;DATE(Ano,9,1),'Finanças'!$B$10:$B$1509,"&lt;="&amp;DATE(Ano,9+1,0)))</f>
        <v/>
      </c>
      <c r="N41" s="149" t="str">
        <f>IF($B41="","",SUMIFS('Finanças'!$F$10:$F$1509,'Finanças'!$C$10:$C$1509,"Despesa",'Finanças'!$D$10:$D$1509,$B41,'Finanças'!$B$10:$B$1509,"&gt;="&amp;DATE(Ano,10,1),'Finanças'!$B$10:$B$1509,"&lt;="&amp;DATE(Ano,10+1,0)))</f>
        <v/>
      </c>
      <c r="O41" s="149" t="str">
        <f>IF($B41="","",SUMIFS('Finanças'!$F$10:$F$1509,'Finanças'!$C$10:$C$1509,"Despesa",'Finanças'!$D$10:$D$1509,$B41,'Finanças'!$B$10:$B$1509,"&gt;="&amp;DATE(Ano,11,1),'Finanças'!$B$10:$B$1509,"&lt;="&amp;DATE(Ano,11+1,0)))</f>
        <v/>
      </c>
      <c r="P41" s="149" t="str">
        <f>IF($B41="","",SUMIFS('Finanças'!$F$10:$F$1509,'Finanças'!$C$10:$C$1509,"Despesa",'Finanças'!$D$10:$D$1509,$B41,'Finanças'!$B$10:$B$1509,"&gt;="&amp;DATE(Ano,12,1),'Finanças'!$B$10:$B$1509,"&lt;="&amp;DATE(Ano,12+1,0)))</f>
        <v/>
      </c>
      <c r="Q41" s="149" t="str">
        <f>IF(B41="","",SUM(E41:P41))</f>
        <v/>
      </c>
      <c r="R41" s="149" t="str">
        <f>IF(B41="","",SUMPRODUCT((COLUMN($E41:$P41)-COLUMN($E41)+1&lt;=RefMes)*$E41:$P41)/RefMes)</f>
        <v/>
      </c>
      <c r="S41" s="149" t="str">
        <f>IF(B41="","",INDEX(E41:P41,RefMes))</f>
        <v/>
      </c>
      <c r="T41" s="150" t="str">
        <f>IF(OR(B41="",N(D41)=0),"",S41/D41)</f>
        <v/>
      </c>
      <c r="U41" s="138" t="str">
        <f>IF(T41="",IF(AND(B41&lt;&gt;"",N(S41)&gt;0),"○ Sem orçamento",""),IF(T41&gt;1,"✖ Estourou",IF(T41&gt;DiasRef/DiasMes+0.15,"▲ Ritmo alto","✔ OK")))</f>
        <v/>
      </c>
    </row>
    <row r="42">
      <c r="B42" s="138" t="str">
        <f>IF('Config'!$I$30="","",'Config'!$I$30)</f>
        <v/>
      </c>
      <c r="C42" s="138" t="str">
        <f>IF(B42="","",'Config'!$J$30&amp;"")</f>
        <v/>
      </c>
      <c r="D42" s="152" t="n"/>
      <c r="E42" s="149" t="str">
        <f>IF($B42="","",SUMIFS('Finanças'!$F$10:$F$1509,'Finanças'!$C$10:$C$1509,"Despesa",'Finanças'!$D$10:$D$1509,$B42,'Finanças'!$B$10:$B$1509,"&gt;="&amp;DATE(Ano,1,1),'Finanças'!$B$10:$B$1509,"&lt;="&amp;DATE(Ano,1+1,0)))</f>
        <v/>
      </c>
      <c r="F42" s="149" t="str">
        <f>IF($B42="","",SUMIFS('Finanças'!$F$10:$F$1509,'Finanças'!$C$10:$C$1509,"Despesa",'Finanças'!$D$10:$D$1509,$B42,'Finanças'!$B$10:$B$1509,"&gt;="&amp;DATE(Ano,2,1),'Finanças'!$B$10:$B$1509,"&lt;="&amp;DATE(Ano,2+1,0)))</f>
        <v/>
      </c>
      <c r="G42" s="149" t="str">
        <f>IF($B42="","",SUMIFS('Finanças'!$F$10:$F$1509,'Finanças'!$C$10:$C$1509,"Despesa",'Finanças'!$D$10:$D$1509,$B42,'Finanças'!$B$10:$B$1509,"&gt;="&amp;DATE(Ano,3,1),'Finanças'!$B$10:$B$1509,"&lt;="&amp;DATE(Ano,3+1,0)))</f>
        <v/>
      </c>
      <c r="H42" s="149" t="str">
        <f>IF($B42="","",SUMIFS('Finanças'!$F$10:$F$1509,'Finanças'!$C$10:$C$1509,"Despesa",'Finanças'!$D$10:$D$1509,$B42,'Finanças'!$B$10:$B$1509,"&gt;="&amp;DATE(Ano,4,1),'Finanças'!$B$10:$B$1509,"&lt;="&amp;DATE(Ano,4+1,0)))</f>
        <v/>
      </c>
      <c r="I42" s="149" t="str">
        <f>IF($B42="","",SUMIFS('Finanças'!$F$10:$F$1509,'Finanças'!$C$10:$C$1509,"Despesa",'Finanças'!$D$10:$D$1509,$B42,'Finanças'!$B$10:$B$1509,"&gt;="&amp;DATE(Ano,5,1),'Finanças'!$B$10:$B$1509,"&lt;="&amp;DATE(Ano,5+1,0)))</f>
        <v/>
      </c>
      <c r="J42" s="149" t="str">
        <f>IF($B42="","",SUMIFS('Finanças'!$F$10:$F$1509,'Finanças'!$C$10:$C$1509,"Despesa",'Finanças'!$D$10:$D$1509,$B42,'Finanças'!$B$10:$B$1509,"&gt;="&amp;DATE(Ano,6,1),'Finanças'!$B$10:$B$1509,"&lt;="&amp;DATE(Ano,6+1,0)))</f>
        <v/>
      </c>
      <c r="K42" s="149" t="str">
        <f>IF($B42="","",SUMIFS('Finanças'!$F$10:$F$1509,'Finanças'!$C$10:$C$1509,"Despesa",'Finanças'!$D$10:$D$1509,$B42,'Finanças'!$B$10:$B$1509,"&gt;="&amp;DATE(Ano,7,1),'Finanças'!$B$10:$B$1509,"&lt;="&amp;DATE(Ano,7+1,0)))</f>
        <v/>
      </c>
      <c r="L42" s="149" t="str">
        <f>IF($B42="","",SUMIFS('Finanças'!$F$10:$F$1509,'Finanças'!$C$10:$C$1509,"Despesa",'Finanças'!$D$10:$D$1509,$B42,'Finanças'!$B$10:$B$1509,"&gt;="&amp;DATE(Ano,8,1),'Finanças'!$B$10:$B$1509,"&lt;="&amp;DATE(Ano,8+1,0)))</f>
        <v/>
      </c>
      <c r="M42" s="149" t="str">
        <f>IF($B42="","",SUMIFS('Finanças'!$F$10:$F$1509,'Finanças'!$C$10:$C$1509,"Despesa",'Finanças'!$D$10:$D$1509,$B42,'Finanças'!$B$10:$B$1509,"&gt;="&amp;DATE(Ano,9,1),'Finanças'!$B$10:$B$1509,"&lt;="&amp;DATE(Ano,9+1,0)))</f>
        <v/>
      </c>
      <c r="N42" s="149" t="str">
        <f>IF($B42="","",SUMIFS('Finanças'!$F$10:$F$1509,'Finanças'!$C$10:$C$1509,"Despesa",'Finanças'!$D$10:$D$1509,$B42,'Finanças'!$B$10:$B$1509,"&gt;="&amp;DATE(Ano,10,1),'Finanças'!$B$10:$B$1509,"&lt;="&amp;DATE(Ano,10+1,0)))</f>
        <v/>
      </c>
      <c r="O42" s="149" t="str">
        <f>IF($B42="","",SUMIFS('Finanças'!$F$10:$F$1509,'Finanças'!$C$10:$C$1509,"Despesa",'Finanças'!$D$10:$D$1509,$B42,'Finanças'!$B$10:$B$1509,"&gt;="&amp;DATE(Ano,11,1),'Finanças'!$B$10:$B$1509,"&lt;="&amp;DATE(Ano,11+1,0)))</f>
        <v/>
      </c>
      <c r="P42" s="149" t="str">
        <f>IF($B42="","",SUMIFS('Finanças'!$F$10:$F$1509,'Finanças'!$C$10:$C$1509,"Despesa",'Finanças'!$D$10:$D$1509,$B42,'Finanças'!$B$10:$B$1509,"&gt;="&amp;DATE(Ano,12,1),'Finanças'!$B$10:$B$1509,"&lt;="&amp;DATE(Ano,12+1,0)))</f>
        <v/>
      </c>
      <c r="Q42" s="149" t="str">
        <f>IF(B42="","",SUM(E42:P42))</f>
        <v/>
      </c>
      <c r="R42" s="149" t="str">
        <f>IF(B42="","",SUMPRODUCT((COLUMN($E42:$P42)-COLUMN($E42)+1&lt;=RefMes)*$E42:$P42)/RefMes)</f>
        <v/>
      </c>
      <c r="S42" s="149" t="str">
        <f>IF(B42="","",INDEX(E42:P42,RefMes))</f>
        <v/>
      </c>
      <c r="T42" s="150" t="str">
        <f>IF(OR(B42="",N(D42)=0),"",S42/D42)</f>
        <v/>
      </c>
      <c r="U42" s="138" t="str">
        <f>IF(T42="",IF(AND(B42&lt;&gt;"",N(S42)&gt;0),"○ Sem orçamento",""),IF(T42&gt;1,"✖ Estourou",IF(T42&gt;DiasRef/DiasMes+0.15,"▲ Ritmo alto","✔ OK")))</f>
        <v/>
      </c>
    </row>
    <row r="43">
      <c r="B43" s="153" t="inlineStr">
        <is>
          <t>TOTAL</t>
        </is>
      </c>
      <c r="C43" s="154" t="n"/>
      <c r="D43" s="154">
        <f>SUM(D18:D42)</f>
        <v>0</v>
      </c>
      <c r="E43" s="154">
        <f>SUM(E18:E42)</f>
        <v>0</v>
      </c>
      <c r="F43" s="154">
        <f>SUM(F18:F42)</f>
        <v>0</v>
      </c>
      <c r="G43" s="154">
        <f>SUM(G18:G42)</f>
        <v>0</v>
      </c>
      <c r="H43" s="154">
        <f>SUM(H18:H42)</f>
        <v>0</v>
      </c>
      <c r="I43" s="154">
        <f>SUM(I18:I42)</f>
        <v>0</v>
      </c>
      <c r="J43" s="154">
        <f>SUM(J18:J42)</f>
        <v>0</v>
      </c>
      <c r="K43" s="154">
        <f>SUM(K18:K42)</f>
        <v>0</v>
      </c>
      <c r="L43" s="154">
        <f>SUM(L18:L42)</f>
        <v>0</v>
      </c>
      <c r="M43" s="154">
        <f>SUM(M18:M42)</f>
        <v>0</v>
      </c>
      <c r="N43" s="154">
        <f>SUM(N18:N42)</f>
        <v>0</v>
      </c>
      <c r="O43" s="154">
        <f>SUM(O18:O42)</f>
        <v>0</v>
      </c>
      <c r="P43" s="154">
        <f>SUM(P18:P42)</f>
        <v>0</v>
      </c>
      <c r="Q43" s="154">
        <f>SUM(Q18:Q42)</f>
        <v>0</v>
      </c>
      <c r="R43" s="154">
        <f>SUM(R18:R42)</f>
        <v>0</v>
      </c>
      <c r="S43" s="154">
        <f>SUM(S18:S42)</f>
        <v>0</v>
      </c>
      <c r="T43" s="155" t="str">
        <f>IF(D43&gt;0,S43/D43,"")</f>
        <v/>
      </c>
      <c r="U43" s="154" t="n"/>
    </row>
    <row r="44">
      <c r="B44" s="156" t="inlineStr">
        <is>
          <t>Fora da lista de categorias</t>
        </is>
      </c>
      <c r="C44" s="149" t="n"/>
      <c r="D44" s="149" t="n"/>
      <c r="E44" s="149">
        <f>E8-E43</f>
        <v>0</v>
      </c>
      <c r="F44" s="149">
        <f>F8-F43</f>
        <v>0</v>
      </c>
      <c r="G44" s="149">
        <f>G8-G43</f>
        <v>0</v>
      </c>
      <c r="H44" s="149">
        <f>H8-H43</f>
        <v>0</v>
      </c>
      <c r="I44" s="149">
        <f>I8-I43</f>
        <v>0</v>
      </c>
      <c r="J44" s="149">
        <f>J8-J43</f>
        <v>0</v>
      </c>
      <c r="K44" s="149">
        <f>K8-K43</f>
        <v>0</v>
      </c>
      <c r="L44" s="149">
        <f>L8-L43</f>
        <v>0</v>
      </c>
      <c r="M44" s="149">
        <f>M8-M43</f>
        <v>0</v>
      </c>
      <c r="N44" s="149">
        <f>N8-N43</f>
        <v>0</v>
      </c>
      <c r="O44" s="149">
        <f>O8-O43</f>
        <v>0</v>
      </c>
      <c r="P44" s="149">
        <f>P8-P43</f>
        <v>0</v>
      </c>
      <c r="Q44" s="149">
        <f>SUM(E44:P44)</f>
        <v>0</v>
      </c>
      <c r="R44" s="149" t="n"/>
      <c r="S44" s="149">
        <f>INDEX(E44:P44,RefMes)</f>
        <v>0</v>
      </c>
      <c r="U44" s="111" t="inlineStr">
        <is>
          <t>← deveria ser zero</t>
        </is>
      </c>
    </row>
    <row r="46" ht="22" customHeight="1">
      <c r="B46" s="146" t="inlineStr">
        <is>
          <t>RECEITAS POR CATEGORIA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</row>
    <row r="47" ht="30" customHeight="1">
      <c r="B47" s="103" t="inlineStr">
        <is>
          <t>Categoria</t>
        </is>
      </c>
      <c r="C47" s="103" t="inlineStr"/>
      <c r="D47" s="103" t="inlineStr">
        <is>
          <t>Previsto / mês</t>
        </is>
      </c>
      <c r="E47" s="104" t="inlineStr">
        <is>
          <t>Jan</t>
        </is>
      </c>
      <c r="F47" s="104" t="inlineStr">
        <is>
          <t>Fev</t>
        </is>
      </c>
      <c r="G47" s="104" t="inlineStr">
        <is>
          <t>Mar</t>
        </is>
      </c>
      <c r="H47" s="104" t="inlineStr">
        <is>
          <t>Abr</t>
        </is>
      </c>
      <c r="I47" s="104" t="inlineStr">
        <is>
          <t>Mai</t>
        </is>
      </c>
      <c r="J47" s="104" t="inlineStr">
        <is>
          <t>Jun</t>
        </is>
      </c>
      <c r="K47" s="104" t="inlineStr">
        <is>
          <t>Jul</t>
        </is>
      </c>
      <c r="L47" s="104" t="inlineStr">
        <is>
          <t>Ago</t>
        </is>
      </c>
      <c r="M47" s="104" t="inlineStr">
        <is>
          <t>Set</t>
        </is>
      </c>
      <c r="N47" s="104" t="inlineStr">
        <is>
          <t>Out</t>
        </is>
      </c>
      <c r="O47" s="104" t="inlineStr">
        <is>
          <t>Nov</t>
        </is>
      </c>
      <c r="P47" s="104" t="inlineStr">
        <is>
          <t>Dez</t>
        </is>
      </c>
      <c r="Q47" s="104" t="inlineStr">
        <is>
          <t>Total ano</t>
        </is>
      </c>
      <c r="R47" s="104" t="inlineStr">
        <is>
          <t>Média/mês até a ref.</t>
        </is>
      </c>
      <c r="S47" s="104" t="inlineStr">
        <is>
          <t>Mês de referência</t>
        </is>
      </c>
      <c r="T47" s="104" t="inlineStr">
        <is>
          <t>% do plano</t>
        </is>
      </c>
      <c r="U47" s="104" t="inlineStr">
        <is>
          <t>Status no mês</t>
        </is>
      </c>
    </row>
    <row r="48">
      <c r="B48" s="138" t="str">
        <f>IF('Config'!$K$6="","",'Config'!$K$6)</f>
        <v>Salário</v>
      </c>
      <c r="C48" s="138" t="n"/>
      <c r="D48" s="152" t="n"/>
      <c r="E48" s="149">
        <f>IF($B48="","",SUMIFS('Finanças'!$F$10:$F$1509,'Finanças'!$C$10:$C$1509,"Receita",'Finanças'!$D$10:$D$1509,$B48,'Finanças'!$B$10:$B$1509,"&gt;="&amp;DATE(Ano,1,1),'Finanças'!$B$10:$B$1509,"&lt;="&amp;DATE(Ano,1+1,0)))</f>
        <v>0</v>
      </c>
      <c r="F48" s="149">
        <f>IF($B48="","",SUMIFS('Finanças'!$F$10:$F$1509,'Finanças'!$C$10:$C$1509,"Receita",'Finanças'!$D$10:$D$1509,$B48,'Finanças'!$B$10:$B$1509,"&gt;="&amp;DATE(Ano,2,1),'Finanças'!$B$10:$B$1509,"&lt;="&amp;DATE(Ano,2+1,0)))</f>
        <v>0</v>
      </c>
      <c r="G48" s="149">
        <f>IF($B48="","",SUMIFS('Finanças'!$F$10:$F$1509,'Finanças'!$C$10:$C$1509,"Receita",'Finanças'!$D$10:$D$1509,$B48,'Finanças'!$B$10:$B$1509,"&gt;="&amp;DATE(Ano,3,1),'Finanças'!$B$10:$B$1509,"&lt;="&amp;DATE(Ano,3+1,0)))</f>
        <v>0</v>
      </c>
      <c r="H48" s="149">
        <f>IF($B48="","",SUMIFS('Finanças'!$F$10:$F$1509,'Finanças'!$C$10:$C$1509,"Receita",'Finanças'!$D$10:$D$1509,$B48,'Finanças'!$B$10:$B$1509,"&gt;="&amp;DATE(Ano,4,1),'Finanças'!$B$10:$B$1509,"&lt;="&amp;DATE(Ano,4+1,0)))</f>
        <v>0</v>
      </c>
      <c r="I48" s="149">
        <f>IF($B48="","",SUMIFS('Finanças'!$F$10:$F$1509,'Finanças'!$C$10:$C$1509,"Receita",'Finanças'!$D$10:$D$1509,$B48,'Finanças'!$B$10:$B$1509,"&gt;="&amp;DATE(Ano,5,1),'Finanças'!$B$10:$B$1509,"&lt;="&amp;DATE(Ano,5+1,0)))</f>
        <v>0</v>
      </c>
      <c r="J48" s="149">
        <f>IF($B48="","",SUMIFS('Finanças'!$F$10:$F$1509,'Finanças'!$C$10:$C$1509,"Receita",'Finanças'!$D$10:$D$1509,$B48,'Finanças'!$B$10:$B$1509,"&gt;="&amp;DATE(Ano,6,1),'Finanças'!$B$10:$B$1509,"&lt;="&amp;DATE(Ano,6+1,0)))</f>
        <v>0</v>
      </c>
      <c r="K48" s="149">
        <f>IF($B48="","",SUMIFS('Finanças'!$F$10:$F$1509,'Finanças'!$C$10:$C$1509,"Receita",'Finanças'!$D$10:$D$1509,$B48,'Finanças'!$B$10:$B$1509,"&gt;="&amp;DATE(Ano,7,1),'Finanças'!$B$10:$B$1509,"&lt;="&amp;DATE(Ano,7+1,0)))</f>
        <v>0</v>
      </c>
      <c r="L48" s="149">
        <f>IF($B48="","",SUMIFS('Finanças'!$F$10:$F$1509,'Finanças'!$C$10:$C$1509,"Receita",'Finanças'!$D$10:$D$1509,$B48,'Finanças'!$B$10:$B$1509,"&gt;="&amp;DATE(Ano,8,1),'Finanças'!$B$10:$B$1509,"&lt;="&amp;DATE(Ano,8+1,0)))</f>
        <v>0</v>
      </c>
      <c r="M48" s="149">
        <f>IF($B48="","",SUMIFS('Finanças'!$F$10:$F$1509,'Finanças'!$C$10:$C$1509,"Receita",'Finanças'!$D$10:$D$1509,$B48,'Finanças'!$B$10:$B$1509,"&gt;="&amp;DATE(Ano,9,1),'Finanças'!$B$10:$B$1509,"&lt;="&amp;DATE(Ano,9+1,0)))</f>
        <v>0</v>
      </c>
      <c r="N48" s="149">
        <f>IF($B48="","",SUMIFS('Finanças'!$F$10:$F$1509,'Finanças'!$C$10:$C$1509,"Receita",'Finanças'!$D$10:$D$1509,$B48,'Finanças'!$B$10:$B$1509,"&gt;="&amp;DATE(Ano,10,1),'Finanças'!$B$10:$B$1509,"&lt;="&amp;DATE(Ano,10+1,0)))</f>
        <v>0</v>
      </c>
      <c r="O48" s="149">
        <f>IF($B48="","",SUMIFS('Finanças'!$F$10:$F$1509,'Finanças'!$C$10:$C$1509,"Receita",'Finanças'!$D$10:$D$1509,$B48,'Finanças'!$B$10:$B$1509,"&gt;="&amp;DATE(Ano,11,1),'Finanças'!$B$10:$B$1509,"&lt;="&amp;DATE(Ano,11+1,0)))</f>
        <v>0</v>
      </c>
      <c r="P48" s="149">
        <f>IF($B48="","",SUMIFS('Finanças'!$F$10:$F$1509,'Finanças'!$C$10:$C$1509,"Receita",'Finanças'!$D$10:$D$1509,$B48,'Finanças'!$B$10:$B$1509,"&gt;="&amp;DATE(Ano,12,1),'Finanças'!$B$10:$B$1509,"&lt;="&amp;DATE(Ano,12+1,0)))</f>
        <v>0</v>
      </c>
      <c r="Q48" s="149">
        <f>IF(B48="","",SUM(E48:P48))</f>
        <v>0</v>
      </c>
      <c r="R48" s="149">
        <f>IF(B48="","",SUMPRODUCT((COLUMN($E48:$P48)-COLUMN($E48)+1&lt;=RefMes)*$E48:$P48)/RefMes)</f>
        <v>0</v>
      </c>
      <c r="S48" s="149">
        <f>IF(B48="","",INDEX(E48:P48,RefMes))</f>
        <v>0</v>
      </c>
      <c r="T48" s="150" t="str">
        <f>IF(OR(B48="",N(D48)=0),"",S48/D48)</f>
        <v/>
      </c>
      <c r="U48" s="138" t="str">
        <f>IF(T48="","",IF(T48&gt;=1,"✔ Atingido","▲ "&amp;ROUND(T48*100,0)&amp;"%"))</f>
        <v/>
      </c>
    </row>
    <row r="49">
      <c r="B49" s="138" t="str">
        <f>IF('Config'!$K$7="","",'Config'!$K$7)</f>
        <v>Renda extra / freelance</v>
      </c>
      <c r="C49" s="138" t="n"/>
      <c r="D49" s="152" t="n"/>
      <c r="E49" s="149">
        <f>IF($B49="","",SUMIFS('Finanças'!$F$10:$F$1509,'Finanças'!$C$10:$C$1509,"Receita",'Finanças'!$D$10:$D$1509,$B49,'Finanças'!$B$10:$B$1509,"&gt;="&amp;DATE(Ano,1,1),'Finanças'!$B$10:$B$1509,"&lt;="&amp;DATE(Ano,1+1,0)))</f>
        <v>0</v>
      </c>
      <c r="F49" s="149">
        <f>IF($B49="","",SUMIFS('Finanças'!$F$10:$F$1509,'Finanças'!$C$10:$C$1509,"Receita",'Finanças'!$D$10:$D$1509,$B49,'Finanças'!$B$10:$B$1509,"&gt;="&amp;DATE(Ano,2,1),'Finanças'!$B$10:$B$1509,"&lt;="&amp;DATE(Ano,2+1,0)))</f>
        <v>0</v>
      </c>
      <c r="G49" s="149">
        <f>IF($B49="","",SUMIFS('Finanças'!$F$10:$F$1509,'Finanças'!$C$10:$C$1509,"Receita",'Finanças'!$D$10:$D$1509,$B49,'Finanças'!$B$10:$B$1509,"&gt;="&amp;DATE(Ano,3,1),'Finanças'!$B$10:$B$1509,"&lt;="&amp;DATE(Ano,3+1,0)))</f>
        <v>0</v>
      </c>
      <c r="H49" s="149">
        <f>IF($B49="","",SUMIFS('Finanças'!$F$10:$F$1509,'Finanças'!$C$10:$C$1509,"Receita",'Finanças'!$D$10:$D$1509,$B49,'Finanças'!$B$10:$B$1509,"&gt;="&amp;DATE(Ano,4,1),'Finanças'!$B$10:$B$1509,"&lt;="&amp;DATE(Ano,4+1,0)))</f>
        <v>0</v>
      </c>
      <c r="I49" s="149">
        <f>IF($B49="","",SUMIFS('Finanças'!$F$10:$F$1509,'Finanças'!$C$10:$C$1509,"Receita",'Finanças'!$D$10:$D$1509,$B49,'Finanças'!$B$10:$B$1509,"&gt;="&amp;DATE(Ano,5,1),'Finanças'!$B$10:$B$1509,"&lt;="&amp;DATE(Ano,5+1,0)))</f>
        <v>0</v>
      </c>
      <c r="J49" s="149">
        <f>IF($B49="","",SUMIFS('Finanças'!$F$10:$F$1509,'Finanças'!$C$10:$C$1509,"Receita",'Finanças'!$D$10:$D$1509,$B49,'Finanças'!$B$10:$B$1509,"&gt;="&amp;DATE(Ano,6,1),'Finanças'!$B$10:$B$1509,"&lt;="&amp;DATE(Ano,6+1,0)))</f>
        <v>0</v>
      </c>
      <c r="K49" s="149">
        <f>IF($B49="","",SUMIFS('Finanças'!$F$10:$F$1509,'Finanças'!$C$10:$C$1509,"Receita",'Finanças'!$D$10:$D$1509,$B49,'Finanças'!$B$10:$B$1509,"&gt;="&amp;DATE(Ano,7,1),'Finanças'!$B$10:$B$1509,"&lt;="&amp;DATE(Ano,7+1,0)))</f>
        <v>0</v>
      </c>
      <c r="L49" s="149">
        <f>IF($B49="","",SUMIFS('Finanças'!$F$10:$F$1509,'Finanças'!$C$10:$C$1509,"Receita",'Finanças'!$D$10:$D$1509,$B49,'Finanças'!$B$10:$B$1509,"&gt;="&amp;DATE(Ano,8,1),'Finanças'!$B$10:$B$1509,"&lt;="&amp;DATE(Ano,8+1,0)))</f>
        <v>0</v>
      </c>
      <c r="M49" s="149">
        <f>IF($B49="","",SUMIFS('Finanças'!$F$10:$F$1509,'Finanças'!$C$10:$C$1509,"Receita",'Finanças'!$D$10:$D$1509,$B49,'Finanças'!$B$10:$B$1509,"&gt;="&amp;DATE(Ano,9,1),'Finanças'!$B$10:$B$1509,"&lt;="&amp;DATE(Ano,9+1,0)))</f>
        <v>0</v>
      </c>
      <c r="N49" s="149">
        <f>IF($B49="","",SUMIFS('Finanças'!$F$10:$F$1509,'Finanças'!$C$10:$C$1509,"Receita",'Finanças'!$D$10:$D$1509,$B49,'Finanças'!$B$10:$B$1509,"&gt;="&amp;DATE(Ano,10,1),'Finanças'!$B$10:$B$1509,"&lt;="&amp;DATE(Ano,10+1,0)))</f>
        <v>0</v>
      </c>
      <c r="O49" s="149">
        <f>IF($B49="","",SUMIFS('Finanças'!$F$10:$F$1509,'Finanças'!$C$10:$C$1509,"Receita",'Finanças'!$D$10:$D$1509,$B49,'Finanças'!$B$10:$B$1509,"&gt;="&amp;DATE(Ano,11,1),'Finanças'!$B$10:$B$1509,"&lt;="&amp;DATE(Ano,11+1,0)))</f>
        <v>0</v>
      </c>
      <c r="P49" s="149">
        <f>IF($B49="","",SUMIFS('Finanças'!$F$10:$F$1509,'Finanças'!$C$10:$C$1509,"Receita",'Finanças'!$D$10:$D$1509,$B49,'Finanças'!$B$10:$B$1509,"&gt;="&amp;DATE(Ano,12,1),'Finanças'!$B$10:$B$1509,"&lt;="&amp;DATE(Ano,12+1,0)))</f>
        <v>0</v>
      </c>
      <c r="Q49" s="149">
        <f>IF(B49="","",SUM(E49:P49))</f>
        <v>0</v>
      </c>
      <c r="R49" s="149">
        <f>IF(B49="","",SUMPRODUCT((COLUMN($E49:$P49)-COLUMN($E49)+1&lt;=RefMes)*$E49:$P49)/RefMes)</f>
        <v>0</v>
      </c>
      <c r="S49" s="149">
        <f>IF(B49="","",INDEX(E49:P49,RefMes))</f>
        <v>0</v>
      </c>
      <c r="T49" s="150" t="str">
        <f>IF(OR(B49="",N(D49)=0),"",S49/D49)</f>
        <v/>
      </c>
      <c r="U49" s="138" t="str">
        <f>IF(T49="","",IF(T49&gt;=1,"✔ Atingido","▲ "&amp;ROUND(T49*100,0)&amp;"%"))</f>
        <v/>
      </c>
    </row>
    <row r="50">
      <c r="B50" s="138" t="str">
        <f>IF('Config'!$K$8="","",'Config'!$K$8)</f>
        <v>Benefícios</v>
      </c>
      <c r="C50" s="138" t="n"/>
      <c r="D50" s="152" t="n"/>
      <c r="E50" s="149">
        <f>IF($B50="","",SUMIFS('Finanças'!$F$10:$F$1509,'Finanças'!$C$10:$C$1509,"Receita",'Finanças'!$D$10:$D$1509,$B50,'Finanças'!$B$10:$B$1509,"&gt;="&amp;DATE(Ano,1,1),'Finanças'!$B$10:$B$1509,"&lt;="&amp;DATE(Ano,1+1,0)))</f>
        <v>0</v>
      </c>
      <c r="F50" s="149">
        <f>IF($B50="","",SUMIFS('Finanças'!$F$10:$F$1509,'Finanças'!$C$10:$C$1509,"Receita",'Finanças'!$D$10:$D$1509,$B50,'Finanças'!$B$10:$B$1509,"&gt;="&amp;DATE(Ano,2,1),'Finanças'!$B$10:$B$1509,"&lt;="&amp;DATE(Ano,2+1,0)))</f>
        <v>0</v>
      </c>
      <c r="G50" s="149">
        <f>IF($B50="","",SUMIFS('Finanças'!$F$10:$F$1509,'Finanças'!$C$10:$C$1509,"Receita",'Finanças'!$D$10:$D$1509,$B50,'Finanças'!$B$10:$B$1509,"&gt;="&amp;DATE(Ano,3,1),'Finanças'!$B$10:$B$1509,"&lt;="&amp;DATE(Ano,3+1,0)))</f>
        <v>0</v>
      </c>
      <c r="H50" s="149">
        <f>IF($B50="","",SUMIFS('Finanças'!$F$10:$F$1509,'Finanças'!$C$10:$C$1509,"Receita",'Finanças'!$D$10:$D$1509,$B50,'Finanças'!$B$10:$B$1509,"&gt;="&amp;DATE(Ano,4,1),'Finanças'!$B$10:$B$1509,"&lt;="&amp;DATE(Ano,4+1,0)))</f>
        <v>0</v>
      </c>
      <c r="I50" s="149">
        <f>IF($B50="","",SUMIFS('Finanças'!$F$10:$F$1509,'Finanças'!$C$10:$C$1509,"Receita",'Finanças'!$D$10:$D$1509,$B50,'Finanças'!$B$10:$B$1509,"&gt;="&amp;DATE(Ano,5,1),'Finanças'!$B$10:$B$1509,"&lt;="&amp;DATE(Ano,5+1,0)))</f>
        <v>0</v>
      </c>
      <c r="J50" s="149">
        <f>IF($B50="","",SUMIFS('Finanças'!$F$10:$F$1509,'Finanças'!$C$10:$C$1509,"Receita",'Finanças'!$D$10:$D$1509,$B50,'Finanças'!$B$10:$B$1509,"&gt;="&amp;DATE(Ano,6,1),'Finanças'!$B$10:$B$1509,"&lt;="&amp;DATE(Ano,6+1,0)))</f>
        <v>0</v>
      </c>
      <c r="K50" s="149">
        <f>IF($B50="","",SUMIFS('Finanças'!$F$10:$F$1509,'Finanças'!$C$10:$C$1509,"Receita",'Finanças'!$D$10:$D$1509,$B50,'Finanças'!$B$10:$B$1509,"&gt;="&amp;DATE(Ano,7,1),'Finanças'!$B$10:$B$1509,"&lt;="&amp;DATE(Ano,7+1,0)))</f>
        <v>0</v>
      </c>
      <c r="L50" s="149">
        <f>IF($B50="","",SUMIFS('Finanças'!$F$10:$F$1509,'Finanças'!$C$10:$C$1509,"Receita",'Finanças'!$D$10:$D$1509,$B50,'Finanças'!$B$10:$B$1509,"&gt;="&amp;DATE(Ano,8,1),'Finanças'!$B$10:$B$1509,"&lt;="&amp;DATE(Ano,8+1,0)))</f>
        <v>0</v>
      </c>
      <c r="M50" s="149">
        <f>IF($B50="","",SUMIFS('Finanças'!$F$10:$F$1509,'Finanças'!$C$10:$C$1509,"Receita",'Finanças'!$D$10:$D$1509,$B50,'Finanças'!$B$10:$B$1509,"&gt;="&amp;DATE(Ano,9,1),'Finanças'!$B$10:$B$1509,"&lt;="&amp;DATE(Ano,9+1,0)))</f>
        <v>0</v>
      </c>
      <c r="N50" s="149">
        <f>IF($B50="","",SUMIFS('Finanças'!$F$10:$F$1509,'Finanças'!$C$10:$C$1509,"Receita",'Finanças'!$D$10:$D$1509,$B50,'Finanças'!$B$10:$B$1509,"&gt;="&amp;DATE(Ano,10,1),'Finanças'!$B$10:$B$1509,"&lt;="&amp;DATE(Ano,10+1,0)))</f>
        <v>0</v>
      </c>
      <c r="O50" s="149">
        <f>IF($B50="","",SUMIFS('Finanças'!$F$10:$F$1509,'Finanças'!$C$10:$C$1509,"Receita",'Finanças'!$D$10:$D$1509,$B50,'Finanças'!$B$10:$B$1509,"&gt;="&amp;DATE(Ano,11,1),'Finanças'!$B$10:$B$1509,"&lt;="&amp;DATE(Ano,11+1,0)))</f>
        <v>0</v>
      </c>
      <c r="P50" s="149">
        <f>IF($B50="","",SUMIFS('Finanças'!$F$10:$F$1509,'Finanças'!$C$10:$C$1509,"Receita",'Finanças'!$D$10:$D$1509,$B50,'Finanças'!$B$10:$B$1509,"&gt;="&amp;DATE(Ano,12,1),'Finanças'!$B$10:$B$1509,"&lt;="&amp;DATE(Ano,12+1,0)))</f>
        <v>0</v>
      </c>
      <c r="Q50" s="149">
        <f>IF(B50="","",SUM(E50:P50))</f>
        <v>0</v>
      </c>
      <c r="R50" s="149">
        <f>IF(B50="","",SUMPRODUCT((COLUMN($E50:$P50)-COLUMN($E50)+1&lt;=RefMes)*$E50:$P50)/RefMes)</f>
        <v>0</v>
      </c>
      <c r="S50" s="149">
        <f>IF(B50="","",INDEX(E50:P50,RefMes))</f>
        <v>0</v>
      </c>
      <c r="T50" s="150" t="str">
        <f>IF(OR(B50="",N(D50)=0),"",S50/D50)</f>
        <v/>
      </c>
      <c r="U50" s="138" t="str">
        <f>IF(T50="","",IF(T50&gt;=1,"✔ Atingido","▲ "&amp;ROUND(T50*100,0)&amp;"%"))</f>
        <v/>
      </c>
    </row>
    <row r="51">
      <c r="B51" s="138" t="str">
        <f>IF('Config'!$K$9="","",'Config'!$K$9)</f>
        <v>Rendimentos</v>
      </c>
      <c r="C51" s="138" t="n"/>
      <c r="D51" s="152" t="n"/>
      <c r="E51" s="149">
        <f>IF($B51="","",SUMIFS('Finanças'!$F$10:$F$1509,'Finanças'!$C$10:$C$1509,"Receita",'Finanças'!$D$10:$D$1509,$B51,'Finanças'!$B$10:$B$1509,"&gt;="&amp;DATE(Ano,1,1),'Finanças'!$B$10:$B$1509,"&lt;="&amp;DATE(Ano,1+1,0)))</f>
        <v>0</v>
      </c>
      <c r="F51" s="149">
        <f>IF($B51="","",SUMIFS('Finanças'!$F$10:$F$1509,'Finanças'!$C$10:$C$1509,"Receita",'Finanças'!$D$10:$D$1509,$B51,'Finanças'!$B$10:$B$1509,"&gt;="&amp;DATE(Ano,2,1),'Finanças'!$B$10:$B$1509,"&lt;="&amp;DATE(Ano,2+1,0)))</f>
        <v>0</v>
      </c>
      <c r="G51" s="149">
        <f>IF($B51="","",SUMIFS('Finanças'!$F$10:$F$1509,'Finanças'!$C$10:$C$1509,"Receita",'Finanças'!$D$10:$D$1509,$B51,'Finanças'!$B$10:$B$1509,"&gt;="&amp;DATE(Ano,3,1),'Finanças'!$B$10:$B$1509,"&lt;="&amp;DATE(Ano,3+1,0)))</f>
        <v>0</v>
      </c>
      <c r="H51" s="149">
        <f>IF($B51="","",SUMIFS('Finanças'!$F$10:$F$1509,'Finanças'!$C$10:$C$1509,"Receita",'Finanças'!$D$10:$D$1509,$B51,'Finanças'!$B$10:$B$1509,"&gt;="&amp;DATE(Ano,4,1),'Finanças'!$B$10:$B$1509,"&lt;="&amp;DATE(Ano,4+1,0)))</f>
        <v>0</v>
      </c>
      <c r="I51" s="149">
        <f>IF($B51="","",SUMIFS('Finanças'!$F$10:$F$1509,'Finanças'!$C$10:$C$1509,"Receita",'Finanças'!$D$10:$D$1509,$B51,'Finanças'!$B$10:$B$1509,"&gt;="&amp;DATE(Ano,5,1),'Finanças'!$B$10:$B$1509,"&lt;="&amp;DATE(Ano,5+1,0)))</f>
        <v>0</v>
      </c>
      <c r="J51" s="149">
        <f>IF($B51="","",SUMIFS('Finanças'!$F$10:$F$1509,'Finanças'!$C$10:$C$1509,"Receita",'Finanças'!$D$10:$D$1509,$B51,'Finanças'!$B$10:$B$1509,"&gt;="&amp;DATE(Ano,6,1),'Finanças'!$B$10:$B$1509,"&lt;="&amp;DATE(Ano,6+1,0)))</f>
        <v>0</v>
      </c>
      <c r="K51" s="149">
        <f>IF($B51="","",SUMIFS('Finanças'!$F$10:$F$1509,'Finanças'!$C$10:$C$1509,"Receita",'Finanças'!$D$10:$D$1509,$B51,'Finanças'!$B$10:$B$1509,"&gt;="&amp;DATE(Ano,7,1),'Finanças'!$B$10:$B$1509,"&lt;="&amp;DATE(Ano,7+1,0)))</f>
        <v>0</v>
      </c>
      <c r="L51" s="149">
        <f>IF($B51="","",SUMIFS('Finanças'!$F$10:$F$1509,'Finanças'!$C$10:$C$1509,"Receita",'Finanças'!$D$10:$D$1509,$B51,'Finanças'!$B$10:$B$1509,"&gt;="&amp;DATE(Ano,8,1),'Finanças'!$B$10:$B$1509,"&lt;="&amp;DATE(Ano,8+1,0)))</f>
        <v>0</v>
      </c>
      <c r="M51" s="149">
        <f>IF($B51="","",SUMIFS('Finanças'!$F$10:$F$1509,'Finanças'!$C$10:$C$1509,"Receita",'Finanças'!$D$10:$D$1509,$B51,'Finanças'!$B$10:$B$1509,"&gt;="&amp;DATE(Ano,9,1),'Finanças'!$B$10:$B$1509,"&lt;="&amp;DATE(Ano,9+1,0)))</f>
        <v>0</v>
      </c>
      <c r="N51" s="149">
        <f>IF($B51="","",SUMIFS('Finanças'!$F$10:$F$1509,'Finanças'!$C$10:$C$1509,"Receita",'Finanças'!$D$10:$D$1509,$B51,'Finanças'!$B$10:$B$1509,"&gt;="&amp;DATE(Ano,10,1),'Finanças'!$B$10:$B$1509,"&lt;="&amp;DATE(Ano,10+1,0)))</f>
        <v>0</v>
      </c>
      <c r="O51" s="149">
        <f>IF($B51="","",SUMIFS('Finanças'!$F$10:$F$1509,'Finanças'!$C$10:$C$1509,"Receita",'Finanças'!$D$10:$D$1509,$B51,'Finanças'!$B$10:$B$1509,"&gt;="&amp;DATE(Ano,11,1),'Finanças'!$B$10:$B$1509,"&lt;="&amp;DATE(Ano,11+1,0)))</f>
        <v>0</v>
      </c>
      <c r="P51" s="149">
        <f>IF($B51="","",SUMIFS('Finanças'!$F$10:$F$1509,'Finanças'!$C$10:$C$1509,"Receita",'Finanças'!$D$10:$D$1509,$B51,'Finanças'!$B$10:$B$1509,"&gt;="&amp;DATE(Ano,12,1),'Finanças'!$B$10:$B$1509,"&lt;="&amp;DATE(Ano,12+1,0)))</f>
        <v>0</v>
      </c>
      <c r="Q51" s="149">
        <f>IF(B51="","",SUM(E51:P51))</f>
        <v>0</v>
      </c>
      <c r="R51" s="149">
        <f>IF(B51="","",SUMPRODUCT((COLUMN($E51:$P51)-COLUMN($E51)+1&lt;=RefMes)*$E51:$P51)/RefMes)</f>
        <v>0</v>
      </c>
      <c r="S51" s="149">
        <f>IF(B51="","",INDEX(E51:P51,RefMes))</f>
        <v>0</v>
      </c>
      <c r="T51" s="150" t="str">
        <f>IF(OR(B51="",N(D51)=0),"",S51/D51)</f>
        <v/>
      </c>
      <c r="U51" s="138" t="str">
        <f>IF(T51="","",IF(T51&gt;=1,"✔ Atingido","▲ "&amp;ROUND(T51*100,0)&amp;"%"))</f>
        <v/>
      </c>
    </row>
    <row r="52">
      <c r="B52" s="138" t="str">
        <f>IF('Config'!$K$10="","",'Config'!$K$10)</f>
        <v>Reembolsos</v>
      </c>
      <c r="C52" s="138" t="n"/>
      <c r="D52" s="152" t="n"/>
      <c r="E52" s="149">
        <f>IF($B52="","",SUMIFS('Finanças'!$F$10:$F$1509,'Finanças'!$C$10:$C$1509,"Receita",'Finanças'!$D$10:$D$1509,$B52,'Finanças'!$B$10:$B$1509,"&gt;="&amp;DATE(Ano,1,1),'Finanças'!$B$10:$B$1509,"&lt;="&amp;DATE(Ano,1+1,0)))</f>
        <v>0</v>
      </c>
      <c r="F52" s="149">
        <f>IF($B52="","",SUMIFS('Finanças'!$F$10:$F$1509,'Finanças'!$C$10:$C$1509,"Receita",'Finanças'!$D$10:$D$1509,$B52,'Finanças'!$B$10:$B$1509,"&gt;="&amp;DATE(Ano,2,1),'Finanças'!$B$10:$B$1509,"&lt;="&amp;DATE(Ano,2+1,0)))</f>
        <v>0</v>
      </c>
      <c r="G52" s="149">
        <f>IF($B52="","",SUMIFS('Finanças'!$F$10:$F$1509,'Finanças'!$C$10:$C$1509,"Receita",'Finanças'!$D$10:$D$1509,$B52,'Finanças'!$B$10:$B$1509,"&gt;="&amp;DATE(Ano,3,1),'Finanças'!$B$10:$B$1509,"&lt;="&amp;DATE(Ano,3+1,0)))</f>
        <v>0</v>
      </c>
      <c r="H52" s="149">
        <f>IF($B52="","",SUMIFS('Finanças'!$F$10:$F$1509,'Finanças'!$C$10:$C$1509,"Receita",'Finanças'!$D$10:$D$1509,$B52,'Finanças'!$B$10:$B$1509,"&gt;="&amp;DATE(Ano,4,1),'Finanças'!$B$10:$B$1509,"&lt;="&amp;DATE(Ano,4+1,0)))</f>
        <v>0</v>
      </c>
      <c r="I52" s="149">
        <f>IF($B52="","",SUMIFS('Finanças'!$F$10:$F$1509,'Finanças'!$C$10:$C$1509,"Receita",'Finanças'!$D$10:$D$1509,$B52,'Finanças'!$B$10:$B$1509,"&gt;="&amp;DATE(Ano,5,1),'Finanças'!$B$10:$B$1509,"&lt;="&amp;DATE(Ano,5+1,0)))</f>
        <v>0</v>
      </c>
      <c r="J52" s="149">
        <f>IF($B52="","",SUMIFS('Finanças'!$F$10:$F$1509,'Finanças'!$C$10:$C$1509,"Receita",'Finanças'!$D$10:$D$1509,$B52,'Finanças'!$B$10:$B$1509,"&gt;="&amp;DATE(Ano,6,1),'Finanças'!$B$10:$B$1509,"&lt;="&amp;DATE(Ano,6+1,0)))</f>
        <v>0</v>
      </c>
      <c r="K52" s="149">
        <f>IF($B52="","",SUMIFS('Finanças'!$F$10:$F$1509,'Finanças'!$C$10:$C$1509,"Receita",'Finanças'!$D$10:$D$1509,$B52,'Finanças'!$B$10:$B$1509,"&gt;="&amp;DATE(Ano,7,1),'Finanças'!$B$10:$B$1509,"&lt;="&amp;DATE(Ano,7+1,0)))</f>
        <v>0</v>
      </c>
      <c r="L52" s="149">
        <f>IF($B52="","",SUMIFS('Finanças'!$F$10:$F$1509,'Finanças'!$C$10:$C$1509,"Receita",'Finanças'!$D$10:$D$1509,$B52,'Finanças'!$B$10:$B$1509,"&gt;="&amp;DATE(Ano,8,1),'Finanças'!$B$10:$B$1509,"&lt;="&amp;DATE(Ano,8+1,0)))</f>
        <v>0</v>
      </c>
      <c r="M52" s="149">
        <f>IF($B52="","",SUMIFS('Finanças'!$F$10:$F$1509,'Finanças'!$C$10:$C$1509,"Receita",'Finanças'!$D$10:$D$1509,$B52,'Finanças'!$B$10:$B$1509,"&gt;="&amp;DATE(Ano,9,1),'Finanças'!$B$10:$B$1509,"&lt;="&amp;DATE(Ano,9+1,0)))</f>
        <v>0</v>
      </c>
      <c r="N52" s="149">
        <f>IF($B52="","",SUMIFS('Finanças'!$F$10:$F$1509,'Finanças'!$C$10:$C$1509,"Receita",'Finanças'!$D$10:$D$1509,$B52,'Finanças'!$B$10:$B$1509,"&gt;="&amp;DATE(Ano,10,1),'Finanças'!$B$10:$B$1509,"&lt;="&amp;DATE(Ano,10+1,0)))</f>
        <v>0</v>
      </c>
      <c r="O52" s="149">
        <f>IF($B52="","",SUMIFS('Finanças'!$F$10:$F$1509,'Finanças'!$C$10:$C$1509,"Receita",'Finanças'!$D$10:$D$1509,$B52,'Finanças'!$B$10:$B$1509,"&gt;="&amp;DATE(Ano,11,1),'Finanças'!$B$10:$B$1509,"&lt;="&amp;DATE(Ano,11+1,0)))</f>
        <v>0</v>
      </c>
      <c r="P52" s="149">
        <f>IF($B52="","",SUMIFS('Finanças'!$F$10:$F$1509,'Finanças'!$C$10:$C$1509,"Receita",'Finanças'!$D$10:$D$1509,$B52,'Finanças'!$B$10:$B$1509,"&gt;="&amp;DATE(Ano,12,1),'Finanças'!$B$10:$B$1509,"&lt;="&amp;DATE(Ano,12+1,0)))</f>
        <v>0</v>
      </c>
      <c r="Q52" s="149">
        <f>IF(B52="","",SUM(E52:P52))</f>
        <v>0</v>
      </c>
      <c r="R52" s="149">
        <f>IF(B52="","",SUMPRODUCT((COLUMN($E52:$P52)-COLUMN($E52)+1&lt;=RefMes)*$E52:$P52)/RefMes)</f>
        <v>0</v>
      </c>
      <c r="S52" s="149">
        <f>IF(B52="","",INDEX(E52:P52,RefMes))</f>
        <v>0</v>
      </c>
      <c r="T52" s="150" t="str">
        <f>IF(OR(B52="",N(D52)=0),"",S52/D52)</f>
        <v/>
      </c>
      <c r="U52" s="138" t="str">
        <f>IF(T52="","",IF(T52&gt;=1,"✔ Atingido","▲ "&amp;ROUND(T52*100,0)&amp;"%"))</f>
        <v/>
      </c>
    </row>
    <row r="53">
      <c r="B53" s="138" t="str">
        <f>IF('Config'!$K$11="","",'Config'!$K$11)</f>
        <v>Presentes recebidos</v>
      </c>
      <c r="C53" s="138" t="n"/>
      <c r="D53" s="152" t="n"/>
      <c r="E53" s="149">
        <f>IF($B53="","",SUMIFS('Finanças'!$F$10:$F$1509,'Finanças'!$C$10:$C$1509,"Receita",'Finanças'!$D$10:$D$1509,$B53,'Finanças'!$B$10:$B$1509,"&gt;="&amp;DATE(Ano,1,1),'Finanças'!$B$10:$B$1509,"&lt;="&amp;DATE(Ano,1+1,0)))</f>
        <v>0</v>
      </c>
      <c r="F53" s="149">
        <f>IF($B53="","",SUMIFS('Finanças'!$F$10:$F$1509,'Finanças'!$C$10:$C$1509,"Receita",'Finanças'!$D$10:$D$1509,$B53,'Finanças'!$B$10:$B$1509,"&gt;="&amp;DATE(Ano,2,1),'Finanças'!$B$10:$B$1509,"&lt;="&amp;DATE(Ano,2+1,0)))</f>
        <v>0</v>
      </c>
      <c r="G53" s="149">
        <f>IF($B53="","",SUMIFS('Finanças'!$F$10:$F$1509,'Finanças'!$C$10:$C$1509,"Receita",'Finanças'!$D$10:$D$1509,$B53,'Finanças'!$B$10:$B$1509,"&gt;="&amp;DATE(Ano,3,1),'Finanças'!$B$10:$B$1509,"&lt;="&amp;DATE(Ano,3+1,0)))</f>
        <v>0</v>
      </c>
      <c r="H53" s="149">
        <f>IF($B53="","",SUMIFS('Finanças'!$F$10:$F$1509,'Finanças'!$C$10:$C$1509,"Receita",'Finanças'!$D$10:$D$1509,$B53,'Finanças'!$B$10:$B$1509,"&gt;="&amp;DATE(Ano,4,1),'Finanças'!$B$10:$B$1509,"&lt;="&amp;DATE(Ano,4+1,0)))</f>
        <v>0</v>
      </c>
      <c r="I53" s="149">
        <f>IF($B53="","",SUMIFS('Finanças'!$F$10:$F$1509,'Finanças'!$C$10:$C$1509,"Receita",'Finanças'!$D$10:$D$1509,$B53,'Finanças'!$B$10:$B$1509,"&gt;="&amp;DATE(Ano,5,1),'Finanças'!$B$10:$B$1509,"&lt;="&amp;DATE(Ano,5+1,0)))</f>
        <v>0</v>
      </c>
      <c r="J53" s="149">
        <f>IF($B53="","",SUMIFS('Finanças'!$F$10:$F$1509,'Finanças'!$C$10:$C$1509,"Receita",'Finanças'!$D$10:$D$1509,$B53,'Finanças'!$B$10:$B$1509,"&gt;="&amp;DATE(Ano,6,1),'Finanças'!$B$10:$B$1509,"&lt;="&amp;DATE(Ano,6+1,0)))</f>
        <v>0</v>
      </c>
      <c r="K53" s="149">
        <f>IF($B53="","",SUMIFS('Finanças'!$F$10:$F$1509,'Finanças'!$C$10:$C$1509,"Receita",'Finanças'!$D$10:$D$1509,$B53,'Finanças'!$B$10:$B$1509,"&gt;="&amp;DATE(Ano,7,1),'Finanças'!$B$10:$B$1509,"&lt;="&amp;DATE(Ano,7+1,0)))</f>
        <v>0</v>
      </c>
      <c r="L53" s="149">
        <f>IF($B53="","",SUMIFS('Finanças'!$F$10:$F$1509,'Finanças'!$C$10:$C$1509,"Receita",'Finanças'!$D$10:$D$1509,$B53,'Finanças'!$B$10:$B$1509,"&gt;="&amp;DATE(Ano,8,1),'Finanças'!$B$10:$B$1509,"&lt;="&amp;DATE(Ano,8+1,0)))</f>
        <v>0</v>
      </c>
      <c r="M53" s="149">
        <f>IF($B53="","",SUMIFS('Finanças'!$F$10:$F$1509,'Finanças'!$C$10:$C$1509,"Receita",'Finanças'!$D$10:$D$1509,$B53,'Finanças'!$B$10:$B$1509,"&gt;="&amp;DATE(Ano,9,1),'Finanças'!$B$10:$B$1509,"&lt;="&amp;DATE(Ano,9+1,0)))</f>
        <v>0</v>
      </c>
      <c r="N53" s="149">
        <f>IF($B53="","",SUMIFS('Finanças'!$F$10:$F$1509,'Finanças'!$C$10:$C$1509,"Receita",'Finanças'!$D$10:$D$1509,$B53,'Finanças'!$B$10:$B$1509,"&gt;="&amp;DATE(Ano,10,1),'Finanças'!$B$10:$B$1509,"&lt;="&amp;DATE(Ano,10+1,0)))</f>
        <v>0</v>
      </c>
      <c r="O53" s="149">
        <f>IF($B53="","",SUMIFS('Finanças'!$F$10:$F$1509,'Finanças'!$C$10:$C$1509,"Receita",'Finanças'!$D$10:$D$1509,$B53,'Finanças'!$B$10:$B$1509,"&gt;="&amp;DATE(Ano,11,1),'Finanças'!$B$10:$B$1509,"&lt;="&amp;DATE(Ano,11+1,0)))</f>
        <v>0</v>
      </c>
      <c r="P53" s="149">
        <f>IF($B53="","",SUMIFS('Finanças'!$F$10:$F$1509,'Finanças'!$C$10:$C$1509,"Receita",'Finanças'!$D$10:$D$1509,$B53,'Finanças'!$B$10:$B$1509,"&gt;="&amp;DATE(Ano,12,1),'Finanças'!$B$10:$B$1509,"&lt;="&amp;DATE(Ano,12+1,0)))</f>
        <v>0</v>
      </c>
      <c r="Q53" s="149">
        <f>IF(B53="","",SUM(E53:P53))</f>
        <v>0</v>
      </c>
      <c r="R53" s="149">
        <f>IF(B53="","",SUMPRODUCT((COLUMN($E53:$P53)-COLUMN($E53)+1&lt;=RefMes)*$E53:$P53)/RefMes)</f>
        <v>0</v>
      </c>
      <c r="S53" s="149">
        <f>IF(B53="","",INDEX(E53:P53,RefMes))</f>
        <v>0</v>
      </c>
      <c r="T53" s="150" t="str">
        <f>IF(OR(B53="",N(D53)=0),"",S53/D53)</f>
        <v/>
      </c>
      <c r="U53" s="138" t="str">
        <f>IF(T53="","",IF(T53&gt;=1,"✔ Atingido","▲ "&amp;ROUND(T53*100,0)&amp;"%"))</f>
        <v/>
      </c>
    </row>
    <row r="54">
      <c r="B54" s="138" t="str">
        <f>IF('Config'!$K$12="","",'Config'!$K$12)</f>
        <v>Outras receitas</v>
      </c>
      <c r="C54" s="138" t="n"/>
      <c r="D54" s="152" t="n"/>
      <c r="E54" s="149">
        <f>IF($B54="","",SUMIFS('Finanças'!$F$10:$F$1509,'Finanças'!$C$10:$C$1509,"Receita",'Finanças'!$D$10:$D$1509,$B54,'Finanças'!$B$10:$B$1509,"&gt;="&amp;DATE(Ano,1,1),'Finanças'!$B$10:$B$1509,"&lt;="&amp;DATE(Ano,1+1,0)))</f>
        <v>0</v>
      </c>
      <c r="F54" s="149">
        <f>IF($B54="","",SUMIFS('Finanças'!$F$10:$F$1509,'Finanças'!$C$10:$C$1509,"Receita",'Finanças'!$D$10:$D$1509,$B54,'Finanças'!$B$10:$B$1509,"&gt;="&amp;DATE(Ano,2,1),'Finanças'!$B$10:$B$1509,"&lt;="&amp;DATE(Ano,2+1,0)))</f>
        <v>0</v>
      </c>
      <c r="G54" s="149">
        <f>IF($B54="","",SUMIFS('Finanças'!$F$10:$F$1509,'Finanças'!$C$10:$C$1509,"Receita",'Finanças'!$D$10:$D$1509,$B54,'Finanças'!$B$10:$B$1509,"&gt;="&amp;DATE(Ano,3,1),'Finanças'!$B$10:$B$1509,"&lt;="&amp;DATE(Ano,3+1,0)))</f>
        <v>0</v>
      </c>
      <c r="H54" s="149">
        <f>IF($B54="","",SUMIFS('Finanças'!$F$10:$F$1509,'Finanças'!$C$10:$C$1509,"Receita",'Finanças'!$D$10:$D$1509,$B54,'Finanças'!$B$10:$B$1509,"&gt;="&amp;DATE(Ano,4,1),'Finanças'!$B$10:$B$1509,"&lt;="&amp;DATE(Ano,4+1,0)))</f>
        <v>0</v>
      </c>
      <c r="I54" s="149">
        <f>IF($B54="","",SUMIFS('Finanças'!$F$10:$F$1509,'Finanças'!$C$10:$C$1509,"Receita",'Finanças'!$D$10:$D$1509,$B54,'Finanças'!$B$10:$B$1509,"&gt;="&amp;DATE(Ano,5,1),'Finanças'!$B$10:$B$1509,"&lt;="&amp;DATE(Ano,5+1,0)))</f>
        <v>0</v>
      </c>
      <c r="J54" s="149">
        <f>IF($B54="","",SUMIFS('Finanças'!$F$10:$F$1509,'Finanças'!$C$10:$C$1509,"Receita",'Finanças'!$D$10:$D$1509,$B54,'Finanças'!$B$10:$B$1509,"&gt;="&amp;DATE(Ano,6,1),'Finanças'!$B$10:$B$1509,"&lt;="&amp;DATE(Ano,6+1,0)))</f>
        <v>0</v>
      </c>
      <c r="K54" s="149">
        <f>IF($B54="","",SUMIFS('Finanças'!$F$10:$F$1509,'Finanças'!$C$10:$C$1509,"Receita",'Finanças'!$D$10:$D$1509,$B54,'Finanças'!$B$10:$B$1509,"&gt;="&amp;DATE(Ano,7,1),'Finanças'!$B$10:$B$1509,"&lt;="&amp;DATE(Ano,7+1,0)))</f>
        <v>0</v>
      </c>
      <c r="L54" s="149">
        <f>IF($B54="","",SUMIFS('Finanças'!$F$10:$F$1509,'Finanças'!$C$10:$C$1509,"Receita",'Finanças'!$D$10:$D$1509,$B54,'Finanças'!$B$10:$B$1509,"&gt;="&amp;DATE(Ano,8,1),'Finanças'!$B$10:$B$1509,"&lt;="&amp;DATE(Ano,8+1,0)))</f>
        <v>0</v>
      </c>
      <c r="M54" s="149">
        <f>IF($B54="","",SUMIFS('Finanças'!$F$10:$F$1509,'Finanças'!$C$10:$C$1509,"Receita",'Finanças'!$D$10:$D$1509,$B54,'Finanças'!$B$10:$B$1509,"&gt;="&amp;DATE(Ano,9,1),'Finanças'!$B$10:$B$1509,"&lt;="&amp;DATE(Ano,9+1,0)))</f>
        <v>0</v>
      </c>
      <c r="N54" s="149">
        <f>IF($B54="","",SUMIFS('Finanças'!$F$10:$F$1509,'Finanças'!$C$10:$C$1509,"Receita",'Finanças'!$D$10:$D$1509,$B54,'Finanças'!$B$10:$B$1509,"&gt;="&amp;DATE(Ano,10,1),'Finanças'!$B$10:$B$1509,"&lt;="&amp;DATE(Ano,10+1,0)))</f>
        <v>0</v>
      </c>
      <c r="O54" s="149">
        <f>IF($B54="","",SUMIFS('Finanças'!$F$10:$F$1509,'Finanças'!$C$10:$C$1509,"Receita",'Finanças'!$D$10:$D$1509,$B54,'Finanças'!$B$10:$B$1509,"&gt;="&amp;DATE(Ano,11,1),'Finanças'!$B$10:$B$1509,"&lt;="&amp;DATE(Ano,11+1,0)))</f>
        <v>0</v>
      </c>
      <c r="P54" s="149">
        <f>IF($B54="","",SUMIFS('Finanças'!$F$10:$F$1509,'Finanças'!$C$10:$C$1509,"Receita",'Finanças'!$D$10:$D$1509,$B54,'Finanças'!$B$10:$B$1509,"&gt;="&amp;DATE(Ano,12,1),'Finanças'!$B$10:$B$1509,"&lt;="&amp;DATE(Ano,12+1,0)))</f>
        <v>0</v>
      </c>
      <c r="Q54" s="149">
        <f>IF(B54="","",SUM(E54:P54))</f>
        <v>0</v>
      </c>
      <c r="R54" s="149">
        <f>IF(B54="","",SUMPRODUCT((COLUMN($E54:$P54)-COLUMN($E54)+1&lt;=RefMes)*$E54:$P54)/RefMes)</f>
        <v>0</v>
      </c>
      <c r="S54" s="149">
        <f>IF(B54="","",INDEX(E54:P54,RefMes))</f>
        <v>0</v>
      </c>
      <c r="T54" s="150" t="str">
        <f>IF(OR(B54="",N(D54)=0),"",S54/D54)</f>
        <v/>
      </c>
      <c r="U54" s="138" t="str">
        <f>IF(T54="","",IF(T54&gt;=1,"✔ Atingido","▲ "&amp;ROUND(T54*100,0)&amp;"%"))</f>
        <v/>
      </c>
    </row>
    <row r="55">
      <c r="B55" s="138" t="str">
        <f>IF('Config'!$K$13="","",'Config'!$K$13)</f>
        <v/>
      </c>
      <c r="C55" s="138" t="n"/>
      <c r="D55" s="152" t="n"/>
      <c r="E55" s="149" t="str">
        <f>IF($B55="","",SUMIFS('Finanças'!$F$10:$F$1509,'Finanças'!$C$10:$C$1509,"Receita",'Finanças'!$D$10:$D$1509,$B55,'Finanças'!$B$10:$B$1509,"&gt;="&amp;DATE(Ano,1,1),'Finanças'!$B$10:$B$1509,"&lt;="&amp;DATE(Ano,1+1,0)))</f>
        <v/>
      </c>
      <c r="F55" s="149" t="str">
        <f>IF($B55="","",SUMIFS('Finanças'!$F$10:$F$1509,'Finanças'!$C$10:$C$1509,"Receita",'Finanças'!$D$10:$D$1509,$B55,'Finanças'!$B$10:$B$1509,"&gt;="&amp;DATE(Ano,2,1),'Finanças'!$B$10:$B$1509,"&lt;="&amp;DATE(Ano,2+1,0)))</f>
        <v/>
      </c>
      <c r="G55" s="149" t="str">
        <f>IF($B55="","",SUMIFS('Finanças'!$F$10:$F$1509,'Finanças'!$C$10:$C$1509,"Receita",'Finanças'!$D$10:$D$1509,$B55,'Finanças'!$B$10:$B$1509,"&gt;="&amp;DATE(Ano,3,1),'Finanças'!$B$10:$B$1509,"&lt;="&amp;DATE(Ano,3+1,0)))</f>
        <v/>
      </c>
      <c r="H55" s="149" t="str">
        <f>IF($B55="","",SUMIFS('Finanças'!$F$10:$F$1509,'Finanças'!$C$10:$C$1509,"Receita",'Finanças'!$D$10:$D$1509,$B55,'Finanças'!$B$10:$B$1509,"&gt;="&amp;DATE(Ano,4,1),'Finanças'!$B$10:$B$1509,"&lt;="&amp;DATE(Ano,4+1,0)))</f>
        <v/>
      </c>
      <c r="I55" s="149" t="str">
        <f>IF($B55="","",SUMIFS('Finanças'!$F$10:$F$1509,'Finanças'!$C$10:$C$1509,"Receita",'Finanças'!$D$10:$D$1509,$B55,'Finanças'!$B$10:$B$1509,"&gt;="&amp;DATE(Ano,5,1),'Finanças'!$B$10:$B$1509,"&lt;="&amp;DATE(Ano,5+1,0)))</f>
        <v/>
      </c>
      <c r="J55" s="149" t="str">
        <f>IF($B55="","",SUMIFS('Finanças'!$F$10:$F$1509,'Finanças'!$C$10:$C$1509,"Receita",'Finanças'!$D$10:$D$1509,$B55,'Finanças'!$B$10:$B$1509,"&gt;="&amp;DATE(Ano,6,1),'Finanças'!$B$10:$B$1509,"&lt;="&amp;DATE(Ano,6+1,0)))</f>
        <v/>
      </c>
      <c r="K55" s="149" t="str">
        <f>IF($B55="","",SUMIFS('Finanças'!$F$10:$F$1509,'Finanças'!$C$10:$C$1509,"Receita",'Finanças'!$D$10:$D$1509,$B55,'Finanças'!$B$10:$B$1509,"&gt;="&amp;DATE(Ano,7,1),'Finanças'!$B$10:$B$1509,"&lt;="&amp;DATE(Ano,7+1,0)))</f>
        <v/>
      </c>
      <c r="L55" s="149" t="str">
        <f>IF($B55="","",SUMIFS('Finanças'!$F$10:$F$1509,'Finanças'!$C$10:$C$1509,"Receita",'Finanças'!$D$10:$D$1509,$B55,'Finanças'!$B$10:$B$1509,"&gt;="&amp;DATE(Ano,8,1),'Finanças'!$B$10:$B$1509,"&lt;="&amp;DATE(Ano,8+1,0)))</f>
        <v/>
      </c>
      <c r="M55" s="149" t="str">
        <f>IF($B55="","",SUMIFS('Finanças'!$F$10:$F$1509,'Finanças'!$C$10:$C$1509,"Receita",'Finanças'!$D$10:$D$1509,$B55,'Finanças'!$B$10:$B$1509,"&gt;="&amp;DATE(Ano,9,1),'Finanças'!$B$10:$B$1509,"&lt;="&amp;DATE(Ano,9+1,0)))</f>
        <v/>
      </c>
      <c r="N55" s="149" t="str">
        <f>IF($B55="","",SUMIFS('Finanças'!$F$10:$F$1509,'Finanças'!$C$10:$C$1509,"Receita",'Finanças'!$D$10:$D$1509,$B55,'Finanças'!$B$10:$B$1509,"&gt;="&amp;DATE(Ano,10,1),'Finanças'!$B$10:$B$1509,"&lt;="&amp;DATE(Ano,10+1,0)))</f>
        <v/>
      </c>
      <c r="O55" s="149" t="str">
        <f>IF($B55="","",SUMIFS('Finanças'!$F$10:$F$1509,'Finanças'!$C$10:$C$1509,"Receita",'Finanças'!$D$10:$D$1509,$B55,'Finanças'!$B$10:$B$1509,"&gt;="&amp;DATE(Ano,11,1),'Finanças'!$B$10:$B$1509,"&lt;="&amp;DATE(Ano,11+1,0)))</f>
        <v/>
      </c>
      <c r="P55" s="149" t="str">
        <f>IF($B55="","",SUMIFS('Finanças'!$F$10:$F$1509,'Finanças'!$C$10:$C$1509,"Receita",'Finanças'!$D$10:$D$1509,$B55,'Finanças'!$B$10:$B$1509,"&gt;="&amp;DATE(Ano,12,1),'Finanças'!$B$10:$B$1509,"&lt;="&amp;DATE(Ano,12+1,0)))</f>
        <v/>
      </c>
      <c r="Q55" s="149" t="str">
        <f>IF(B55="","",SUM(E55:P55))</f>
        <v/>
      </c>
      <c r="R55" s="149" t="str">
        <f>IF(B55="","",SUMPRODUCT((COLUMN($E55:$P55)-COLUMN($E55)+1&lt;=RefMes)*$E55:$P55)/RefMes)</f>
        <v/>
      </c>
      <c r="S55" s="149" t="str">
        <f>IF(B55="","",INDEX(E55:P55,RefMes))</f>
        <v/>
      </c>
      <c r="T55" s="150" t="str">
        <f>IF(OR(B55="",N(D55)=0),"",S55/D55)</f>
        <v/>
      </c>
      <c r="U55" s="138" t="str">
        <f>IF(T55="","",IF(T55&gt;=1,"✔ Atingido","▲ "&amp;ROUND(T55*100,0)&amp;"%"))</f>
        <v/>
      </c>
    </row>
    <row r="56">
      <c r="B56" s="138" t="str">
        <f>IF('Config'!$K$14="","",'Config'!$K$14)</f>
        <v/>
      </c>
      <c r="C56" s="138" t="n"/>
      <c r="D56" s="152" t="n"/>
      <c r="E56" s="149" t="str">
        <f>IF($B56="","",SUMIFS('Finanças'!$F$10:$F$1509,'Finanças'!$C$10:$C$1509,"Receita",'Finanças'!$D$10:$D$1509,$B56,'Finanças'!$B$10:$B$1509,"&gt;="&amp;DATE(Ano,1,1),'Finanças'!$B$10:$B$1509,"&lt;="&amp;DATE(Ano,1+1,0)))</f>
        <v/>
      </c>
      <c r="F56" s="149" t="str">
        <f>IF($B56="","",SUMIFS('Finanças'!$F$10:$F$1509,'Finanças'!$C$10:$C$1509,"Receita",'Finanças'!$D$10:$D$1509,$B56,'Finanças'!$B$10:$B$1509,"&gt;="&amp;DATE(Ano,2,1),'Finanças'!$B$10:$B$1509,"&lt;="&amp;DATE(Ano,2+1,0)))</f>
        <v/>
      </c>
      <c r="G56" s="149" t="str">
        <f>IF($B56="","",SUMIFS('Finanças'!$F$10:$F$1509,'Finanças'!$C$10:$C$1509,"Receita",'Finanças'!$D$10:$D$1509,$B56,'Finanças'!$B$10:$B$1509,"&gt;="&amp;DATE(Ano,3,1),'Finanças'!$B$10:$B$1509,"&lt;="&amp;DATE(Ano,3+1,0)))</f>
        <v/>
      </c>
      <c r="H56" s="149" t="str">
        <f>IF($B56="","",SUMIFS('Finanças'!$F$10:$F$1509,'Finanças'!$C$10:$C$1509,"Receita",'Finanças'!$D$10:$D$1509,$B56,'Finanças'!$B$10:$B$1509,"&gt;="&amp;DATE(Ano,4,1),'Finanças'!$B$10:$B$1509,"&lt;="&amp;DATE(Ano,4+1,0)))</f>
        <v/>
      </c>
      <c r="I56" s="149" t="str">
        <f>IF($B56="","",SUMIFS('Finanças'!$F$10:$F$1509,'Finanças'!$C$10:$C$1509,"Receita",'Finanças'!$D$10:$D$1509,$B56,'Finanças'!$B$10:$B$1509,"&gt;="&amp;DATE(Ano,5,1),'Finanças'!$B$10:$B$1509,"&lt;="&amp;DATE(Ano,5+1,0)))</f>
        <v/>
      </c>
      <c r="J56" s="149" t="str">
        <f>IF($B56="","",SUMIFS('Finanças'!$F$10:$F$1509,'Finanças'!$C$10:$C$1509,"Receita",'Finanças'!$D$10:$D$1509,$B56,'Finanças'!$B$10:$B$1509,"&gt;="&amp;DATE(Ano,6,1),'Finanças'!$B$10:$B$1509,"&lt;="&amp;DATE(Ano,6+1,0)))</f>
        <v/>
      </c>
      <c r="K56" s="149" t="str">
        <f>IF($B56="","",SUMIFS('Finanças'!$F$10:$F$1509,'Finanças'!$C$10:$C$1509,"Receita",'Finanças'!$D$10:$D$1509,$B56,'Finanças'!$B$10:$B$1509,"&gt;="&amp;DATE(Ano,7,1),'Finanças'!$B$10:$B$1509,"&lt;="&amp;DATE(Ano,7+1,0)))</f>
        <v/>
      </c>
      <c r="L56" s="149" t="str">
        <f>IF($B56="","",SUMIFS('Finanças'!$F$10:$F$1509,'Finanças'!$C$10:$C$1509,"Receita",'Finanças'!$D$10:$D$1509,$B56,'Finanças'!$B$10:$B$1509,"&gt;="&amp;DATE(Ano,8,1),'Finanças'!$B$10:$B$1509,"&lt;="&amp;DATE(Ano,8+1,0)))</f>
        <v/>
      </c>
      <c r="M56" s="149" t="str">
        <f>IF($B56="","",SUMIFS('Finanças'!$F$10:$F$1509,'Finanças'!$C$10:$C$1509,"Receita",'Finanças'!$D$10:$D$1509,$B56,'Finanças'!$B$10:$B$1509,"&gt;="&amp;DATE(Ano,9,1),'Finanças'!$B$10:$B$1509,"&lt;="&amp;DATE(Ano,9+1,0)))</f>
        <v/>
      </c>
      <c r="N56" s="149" t="str">
        <f>IF($B56="","",SUMIFS('Finanças'!$F$10:$F$1509,'Finanças'!$C$10:$C$1509,"Receita",'Finanças'!$D$10:$D$1509,$B56,'Finanças'!$B$10:$B$1509,"&gt;="&amp;DATE(Ano,10,1),'Finanças'!$B$10:$B$1509,"&lt;="&amp;DATE(Ano,10+1,0)))</f>
        <v/>
      </c>
      <c r="O56" s="149" t="str">
        <f>IF($B56="","",SUMIFS('Finanças'!$F$10:$F$1509,'Finanças'!$C$10:$C$1509,"Receita",'Finanças'!$D$10:$D$1509,$B56,'Finanças'!$B$10:$B$1509,"&gt;="&amp;DATE(Ano,11,1),'Finanças'!$B$10:$B$1509,"&lt;="&amp;DATE(Ano,11+1,0)))</f>
        <v/>
      </c>
      <c r="P56" s="149" t="str">
        <f>IF($B56="","",SUMIFS('Finanças'!$F$10:$F$1509,'Finanças'!$C$10:$C$1509,"Receita",'Finanças'!$D$10:$D$1509,$B56,'Finanças'!$B$10:$B$1509,"&gt;="&amp;DATE(Ano,12,1),'Finanças'!$B$10:$B$1509,"&lt;="&amp;DATE(Ano,12+1,0)))</f>
        <v/>
      </c>
      <c r="Q56" s="149" t="str">
        <f>IF(B56="","",SUM(E56:P56))</f>
        <v/>
      </c>
      <c r="R56" s="149" t="str">
        <f>IF(B56="","",SUMPRODUCT((COLUMN($E56:$P56)-COLUMN($E56)+1&lt;=RefMes)*$E56:$P56)/RefMes)</f>
        <v/>
      </c>
      <c r="S56" s="149" t="str">
        <f>IF(B56="","",INDEX(E56:P56,RefMes))</f>
        <v/>
      </c>
      <c r="T56" s="150" t="str">
        <f>IF(OR(B56="",N(D56)=0),"",S56/D56)</f>
        <v/>
      </c>
      <c r="U56" s="138" t="str">
        <f>IF(T56="","",IF(T56&gt;=1,"✔ Atingido","▲ "&amp;ROUND(T56*100,0)&amp;"%"))</f>
        <v/>
      </c>
    </row>
    <row r="57">
      <c r="B57" s="138" t="str">
        <f>IF('Config'!$K$15="","",'Config'!$K$15)</f>
        <v/>
      </c>
      <c r="C57" s="138" t="n"/>
      <c r="D57" s="152" t="n"/>
      <c r="E57" s="149" t="str">
        <f>IF($B57="","",SUMIFS('Finanças'!$F$10:$F$1509,'Finanças'!$C$10:$C$1509,"Receita",'Finanças'!$D$10:$D$1509,$B57,'Finanças'!$B$10:$B$1509,"&gt;="&amp;DATE(Ano,1,1),'Finanças'!$B$10:$B$1509,"&lt;="&amp;DATE(Ano,1+1,0)))</f>
        <v/>
      </c>
      <c r="F57" s="149" t="str">
        <f>IF($B57="","",SUMIFS('Finanças'!$F$10:$F$1509,'Finanças'!$C$10:$C$1509,"Receita",'Finanças'!$D$10:$D$1509,$B57,'Finanças'!$B$10:$B$1509,"&gt;="&amp;DATE(Ano,2,1),'Finanças'!$B$10:$B$1509,"&lt;="&amp;DATE(Ano,2+1,0)))</f>
        <v/>
      </c>
      <c r="G57" s="149" t="str">
        <f>IF($B57="","",SUMIFS('Finanças'!$F$10:$F$1509,'Finanças'!$C$10:$C$1509,"Receita",'Finanças'!$D$10:$D$1509,$B57,'Finanças'!$B$10:$B$1509,"&gt;="&amp;DATE(Ano,3,1),'Finanças'!$B$10:$B$1509,"&lt;="&amp;DATE(Ano,3+1,0)))</f>
        <v/>
      </c>
      <c r="H57" s="149" t="str">
        <f>IF($B57="","",SUMIFS('Finanças'!$F$10:$F$1509,'Finanças'!$C$10:$C$1509,"Receita",'Finanças'!$D$10:$D$1509,$B57,'Finanças'!$B$10:$B$1509,"&gt;="&amp;DATE(Ano,4,1),'Finanças'!$B$10:$B$1509,"&lt;="&amp;DATE(Ano,4+1,0)))</f>
        <v/>
      </c>
      <c r="I57" s="149" t="str">
        <f>IF($B57="","",SUMIFS('Finanças'!$F$10:$F$1509,'Finanças'!$C$10:$C$1509,"Receita",'Finanças'!$D$10:$D$1509,$B57,'Finanças'!$B$10:$B$1509,"&gt;="&amp;DATE(Ano,5,1),'Finanças'!$B$10:$B$1509,"&lt;="&amp;DATE(Ano,5+1,0)))</f>
        <v/>
      </c>
      <c r="J57" s="149" t="str">
        <f>IF($B57="","",SUMIFS('Finanças'!$F$10:$F$1509,'Finanças'!$C$10:$C$1509,"Receita",'Finanças'!$D$10:$D$1509,$B57,'Finanças'!$B$10:$B$1509,"&gt;="&amp;DATE(Ano,6,1),'Finanças'!$B$10:$B$1509,"&lt;="&amp;DATE(Ano,6+1,0)))</f>
        <v/>
      </c>
      <c r="K57" s="149" t="str">
        <f>IF($B57="","",SUMIFS('Finanças'!$F$10:$F$1509,'Finanças'!$C$10:$C$1509,"Receita",'Finanças'!$D$10:$D$1509,$B57,'Finanças'!$B$10:$B$1509,"&gt;="&amp;DATE(Ano,7,1),'Finanças'!$B$10:$B$1509,"&lt;="&amp;DATE(Ano,7+1,0)))</f>
        <v/>
      </c>
      <c r="L57" s="149" t="str">
        <f>IF($B57="","",SUMIFS('Finanças'!$F$10:$F$1509,'Finanças'!$C$10:$C$1509,"Receita",'Finanças'!$D$10:$D$1509,$B57,'Finanças'!$B$10:$B$1509,"&gt;="&amp;DATE(Ano,8,1),'Finanças'!$B$10:$B$1509,"&lt;="&amp;DATE(Ano,8+1,0)))</f>
        <v/>
      </c>
      <c r="M57" s="149" t="str">
        <f>IF($B57="","",SUMIFS('Finanças'!$F$10:$F$1509,'Finanças'!$C$10:$C$1509,"Receita",'Finanças'!$D$10:$D$1509,$B57,'Finanças'!$B$10:$B$1509,"&gt;="&amp;DATE(Ano,9,1),'Finanças'!$B$10:$B$1509,"&lt;="&amp;DATE(Ano,9+1,0)))</f>
        <v/>
      </c>
      <c r="N57" s="149" t="str">
        <f>IF($B57="","",SUMIFS('Finanças'!$F$10:$F$1509,'Finanças'!$C$10:$C$1509,"Receita",'Finanças'!$D$10:$D$1509,$B57,'Finanças'!$B$10:$B$1509,"&gt;="&amp;DATE(Ano,10,1),'Finanças'!$B$10:$B$1509,"&lt;="&amp;DATE(Ano,10+1,0)))</f>
        <v/>
      </c>
      <c r="O57" s="149" t="str">
        <f>IF($B57="","",SUMIFS('Finanças'!$F$10:$F$1509,'Finanças'!$C$10:$C$1509,"Receita",'Finanças'!$D$10:$D$1509,$B57,'Finanças'!$B$10:$B$1509,"&gt;="&amp;DATE(Ano,11,1),'Finanças'!$B$10:$B$1509,"&lt;="&amp;DATE(Ano,11+1,0)))</f>
        <v/>
      </c>
      <c r="P57" s="149" t="str">
        <f>IF($B57="","",SUMIFS('Finanças'!$F$10:$F$1509,'Finanças'!$C$10:$C$1509,"Receita",'Finanças'!$D$10:$D$1509,$B57,'Finanças'!$B$10:$B$1509,"&gt;="&amp;DATE(Ano,12,1),'Finanças'!$B$10:$B$1509,"&lt;="&amp;DATE(Ano,12+1,0)))</f>
        <v/>
      </c>
      <c r="Q57" s="149" t="str">
        <f>IF(B57="","",SUM(E57:P57))</f>
        <v/>
      </c>
      <c r="R57" s="149" t="str">
        <f>IF(B57="","",SUMPRODUCT((COLUMN($E57:$P57)-COLUMN($E57)+1&lt;=RefMes)*$E57:$P57)/RefMes)</f>
        <v/>
      </c>
      <c r="S57" s="149" t="str">
        <f>IF(B57="","",INDEX(E57:P57,RefMes))</f>
        <v/>
      </c>
      <c r="T57" s="150" t="str">
        <f>IF(OR(B57="",N(D57)=0),"",S57/D57)</f>
        <v/>
      </c>
      <c r="U57" s="138" t="str">
        <f>IF(T57="","",IF(T57&gt;=1,"✔ Atingido","▲ "&amp;ROUND(T57*100,0)&amp;"%"))</f>
        <v/>
      </c>
    </row>
    <row r="58">
      <c r="B58" s="138" t="str">
        <f>IF('Config'!$K$16="","",'Config'!$K$16)</f>
        <v/>
      </c>
      <c r="C58" s="138" t="n"/>
      <c r="D58" s="152" t="n"/>
      <c r="E58" s="149" t="str">
        <f>IF($B58="","",SUMIFS('Finanças'!$F$10:$F$1509,'Finanças'!$C$10:$C$1509,"Receita",'Finanças'!$D$10:$D$1509,$B58,'Finanças'!$B$10:$B$1509,"&gt;="&amp;DATE(Ano,1,1),'Finanças'!$B$10:$B$1509,"&lt;="&amp;DATE(Ano,1+1,0)))</f>
        <v/>
      </c>
      <c r="F58" s="149" t="str">
        <f>IF($B58="","",SUMIFS('Finanças'!$F$10:$F$1509,'Finanças'!$C$10:$C$1509,"Receita",'Finanças'!$D$10:$D$1509,$B58,'Finanças'!$B$10:$B$1509,"&gt;="&amp;DATE(Ano,2,1),'Finanças'!$B$10:$B$1509,"&lt;="&amp;DATE(Ano,2+1,0)))</f>
        <v/>
      </c>
      <c r="G58" s="149" t="str">
        <f>IF($B58="","",SUMIFS('Finanças'!$F$10:$F$1509,'Finanças'!$C$10:$C$1509,"Receita",'Finanças'!$D$10:$D$1509,$B58,'Finanças'!$B$10:$B$1509,"&gt;="&amp;DATE(Ano,3,1),'Finanças'!$B$10:$B$1509,"&lt;="&amp;DATE(Ano,3+1,0)))</f>
        <v/>
      </c>
      <c r="H58" s="149" t="str">
        <f>IF($B58="","",SUMIFS('Finanças'!$F$10:$F$1509,'Finanças'!$C$10:$C$1509,"Receita",'Finanças'!$D$10:$D$1509,$B58,'Finanças'!$B$10:$B$1509,"&gt;="&amp;DATE(Ano,4,1),'Finanças'!$B$10:$B$1509,"&lt;="&amp;DATE(Ano,4+1,0)))</f>
        <v/>
      </c>
      <c r="I58" s="149" t="str">
        <f>IF($B58="","",SUMIFS('Finanças'!$F$10:$F$1509,'Finanças'!$C$10:$C$1509,"Receita",'Finanças'!$D$10:$D$1509,$B58,'Finanças'!$B$10:$B$1509,"&gt;="&amp;DATE(Ano,5,1),'Finanças'!$B$10:$B$1509,"&lt;="&amp;DATE(Ano,5+1,0)))</f>
        <v/>
      </c>
      <c r="J58" s="149" t="str">
        <f>IF($B58="","",SUMIFS('Finanças'!$F$10:$F$1509,'Finanças'!$C$10:$C$1509,"Receita",'Finanças'!$D$10:$D$1509,$B58,'Finanças'!$B$10:$B$1509,"&gt;="&amp;DATE(Ano,6,1),'Finanças'!$B$10:$B$1509,"&lt;="&amp;DATE(Ano,6+1,0)))</f>
        <v/>
      </c>
      <c r="K58" s="149" t="str">
        <f>IF($B58="","",SUMIFS('Finanças'!$F$10:$F$1509,'Finanças'!$C$10:$C$1509,"Receita",'Finanças'!$D$10:$D$1509,$B58,'Finanças'!$B$10:$B$1509,"&gt;="&amp;DATE(Ano,7,1),'Finanças'!$B$10:$B$1509,"&lt;="&amp;DATE(Ano,7+1,0)))</f>
        <v/>
      </c>
      <c r="L58" s="149" t="str">
        <f>IF($B58="","",SUMIFS('Finanças'!$F$10:$F$1509,'Finanças'!$C$10:$C$1509,"Receita",'Finanças'!$D$10:$D$1509,$B58,'Finanças'!$B$10:$B$1509,"&gt;="&amp;DATE(Ano,8,1),'Finanças'!$B$10:$B$1509,"&lt;="&amp;DATE(Ano,8+1,0)))</f>
        <v/>
      </c>
      <c r="M58" s="149" t="str">
        <f>IF($B58="","",SUMIFS('Finanças'!$F$10:$F$1509,'Finanças'!$C$10:$C$1509,"Receita",'Finanças'!$D$10:$D$1509,$B58,'Finanças'!$B$10:$B$1509,"&gt;="&amp;DATE(Ano,9,1),'Finanças'!$B$10:$B$1509,"&lt;="&amp;DATE(Ano,9+1,0)))</f>
        <v/>
      </c>
      <c r="N58" s="149" t="str">
        <f>IF($B58="","",SUMIFS('Finanças'!$F$10:$F$1509,'Finanças'!$C$10:$C$1509,"Receita",'Finanças'!$D$10:$D$1509,$B58,'Finanças'!$B$10:$B$1509,"&gt;="&amp;DATE(Ano,10,1),'Finanças'!$B$10:$B$1509,"&lt;="&amp;DATE(Ano,10+1,0)))</f>
        <v/>
      </c>
      <c r="O58" s="149" t="str">
        <f>IF($B58="","",SUMIFS('Finanças'!$F$10:$F$1509,'Finanças'!$C$10:$C$1509,"Receita",'Finanças'!$D$10:$D$1509,$B58,'Finanças'!$B$10:$B$1509,"&gt;="&amp;DATE(Ano,11,1),'Finanças'!$B$10:$B$1509,"&lt;="&amp;DATE(Ano,11+1,0)))</f>
        <v/>
      </c>
      <c r="P58" s="149" t="str">
        <f>IF($B58="","",SUMIFS('Finanças'!$F$10:$F$1509,'Finanças'!$C$10:$C$1509,"Receita",'Finanças'!$D$10:$D$1509,$B58,'Finanças'!$B$10:$B$1509,"&gt;="&amp;DATE(Ano,12,1),'Finanças'!$B$10:$B$1509,"&lt;="&amp;DATE(Ano,12+1,0)))</f>
        <v/>
      </c>
      <c r="Q58" s="149" t="str">
        <f>IF(B58="","",SUM(E58:P58))</f>
        <v/>
      </c>
      <c r="R58" s="149" t="str">
        <f>IF(B58="","",SUMPRODUCT((COLUMN($E58:$P58)-COLUMN($E58)+1&lt;=RefMes)*$E58:$P58)/RefMes)</f>
        <v/>
      </c>
      <c r="S58" s="149" t="str">
        <f>IF(B58="","",INDEX(E58:P58,RefMes))</f>
        <v/>
      </c>
      <c r="T58" s="150" t="str">
        <f>IF(OR(B58="",N(D58)=0),"",S58/D58)</f>
        <v/>
      </c>
      <c r="U58" s="138" t="str">
        <f>IF(T58="","",IF(T58&gt;=1,"✔ Atingido","▲ "&amp;ROUND(T58*100,0)&amp;"%"))</f>
        <v/>
      </c>
    </row>
    <row r="59">
      <c r="B59" s="138" t="str">
        <f>IF('Config'!$K$17="","",'Config'!$K$17)</f>
        <v/>
      </c>
      <c r="C59" s="138" t="n"/>
      <c r="D59" s="152" t="n"/>
      <c r="E59" s="149" t="str">
        <f>IF($B59="","",SUMIFS('Finanças'!$F$10:$F$1509,'Finanças'!$C$10:$C$1509,"Receita",'Finanças'!$D$10:$D$1509,$B59,'Finanças'!$B$10:$B$1509,"&gt;="&amp;DATE(Ano,1,1),'Finanças'!$B$10:$B$1509,"&lt;="&amp;DATE(Ano,1+1,0)))</f>
        <v/>
      </c>
      <c r="F59" s="149" t="str">
        <f>IF($B59="","",SUMIFS('Finanças'!$F$10:$F$1509,'Finanças'!$C$10:$C$1509,"Receita",'Finanças'!$D$10:$D$1509,$B59,'Finanças'!$B$10:$B$1509,"&gt;="&amp;DATE(Ano,2,1),'Finanças'!$B$10:$B$1509,"&lt;="&amp;DATE(Ano,2+1,0)))</f>
        <v/>
      </c>
      <c r="G59" s="149" t="str">
        <f>IF($B59="","",SUMIFS('Finanças'!$F$10:$F$1509,'Finanças'!$C$10:$C$1509,"Receita",'Finanças'!$D$10:$D$1509,$B59,'Finanças'!$B$10:$B$1509,"&gt;="&amp;DATE(Ano,3,1),'Finanças'!$B$10:$B$1509,"&lt;="&amp;DATE(Ano,3+1,0)))</f>
        <v/>
      </c>
      <c r="H59" s="149" t="str">
        <f>IF($B59="","",SUMIFS('Finanças'!$F$10:$F$1509,'Finanças'!$C$10:$C$1509,"Receita",'Finanças'!$D$10:$D$1509,$B59,'Finanças'!$B$10:$B$1509,"&gt;="&amp;DATE(Ano,4,1),'Finanças'!$B$10:$B$1509,"&lt;="&amp;DATE(Ano,4+1,0)))</f>
        <v/>
      </c>
      <c r="I59" s="149" t="str">
        <f>IF($B59="","",SUMIFS('Finanças'!$F$10:$F$1509,'Finanças'!$C$10:$C$1509,"Receita",'Finanças'!$D$10:$D$1509,$B59,'Finanças'!$B$10:$B$1509,"&gt;="&amp;DATE(Ano,5,1),'Finanças'!$B$10:$B$1509,"&lt;="&amp;DATE(Ano,5+1,0)))</f>
        <v/>
      </c>
      <c r="J59" s="149" t="str">
        <f>IF($B59="","",SUMIFS('Finanças'!$F$10:$F$1509,'Finanças'!$C$10:$C$1509,"Receita",'Finanças'!$D$10:$D$1509,$B59,'Finanças'!$B$10:$B$1509,"&gt;="&amp;DATE(Ano,6,1),'Finanças'!$B$10:$B$1509,"&lt;="&amp;DATE(Ano,6+1,0)))</f>
        <v/>
      </c>
      <c r="K59" s="149" t="str">
        <f>IF($B59="","",SUMIFS('Finanças'!$F$10:$F$1509,'Finanças'!$C$10:$C$1509,"Receita",'Finanças'!$D$10:$D$1509,$B59,'Finanças'!$B$10:$B$1509,"&gt;="&amp;DATE(Ano,7,1),'Finanças'!$B$10:$B$1509,"&lt;="&amp;DATE(Ano,7+1,0)))</f>
        <v/>
      </c>
      <c r="L59" s="149" t="str">
        <f>IF($B59="","",SUMIFS('Finanças'!$F$10:$F$1509,'Finanças'!$C$10:$C$1509,"Receita",'Finanças'!$D$10:$D$1509,$B59,'Finanças'!$B$10:$B$1509,"&gt;="&amp;DATE(Ano,8,1),'Finanças'!$B$10:$B$1509,"&lt;="&amp;DATE(Ano,8+1,0)))</f>
        <v/>
      </c>
      <c r="M59" s="149" t="str">
        <f>IF($B59="","",SUMIFS('Finanças'!$F$10:$F$1509,'Finanças'!$C$10:$C$1509,"Receita",'Finanças'!$D$10:$D$1509,$B59,'Finanças'!$B$10:$B$1509,"&gt;="&amp;DATE(Ano,9,1),'Finanças'!$B$10:$B$1509,"&lt;="&amp;DATE(Ano,9+1,0)))</f>
        <v/>
      </c>
      <c r="N59" s="149" t="str">
        <f>IF($B59="","",SUMIFS('Finanças'!$F$10:$F$1509,'Finanças'!$C$10:$C$1509,"Receita",'Finanças'!$D$10:$D$1509,$B59,'Finanças'!$B$10:$B$1509,"&gt;="&amp;DATE(Ano,10,1),'Finanças'!$B$10:$B$1509,"&lt;="&amp;DATE(Ano,10+1,0)))</f>
        <v/>
      </c>
      <c r="O59" s="149" t="str">
        <f>IF($B59="","",SUMIFS('Finanças'!$F$10:$F$1509,'Finanças'!$C$10:$C$1509,"Receita",'Finanças'!$D$10:$D$1509,$B59,'Finanças'!$B$10:$B$1509,"&gt;="&amp;DATE(Ano,11,1),'Finanças'!$B$10:$B$1509,"&lt;="&amp;DATE(Ano,11+1,0)))</f>
        <v/>
      </c>
      <c r="P59" s="149" t="str">
        <f>IF($B59="","",SUMIFS('Finanças'!$F$10:$F$1509,'Finanças'!$C$10:$C$1509,"Receita",'Finanças'!$D$10:$D$1509,$B59,'Finanças'!$B$10:$B$1509,"&gt;="&amp;DATE(Ano,12,1),'Finanças'!$B$10:$B$1509,"&lt;="&amp;DATE(Ano,12+1,0)))</f>
        <v/>
      </c>
      <c r="Q59" s="149" t="str">
        <f>IF(B59="","",SUM(E59:P59))</f>
        <v/>
      </c>
      <c r="R59" s="149" t="str">
        <f>IF(B59="","",SUMPRODUCT((COLUMN($E59:$P59)-COLUMN($E59)+1&lt;=RefMes)*$E59:$P59)/RefMes)</f>
        <v/>
      </c>
      <c r="S59" s="149" t="str">
        <f>IF(B59="","",INDEX(E59:P59,RefMes))</f>
        <v/>
      </c>
      <c r="T59" s="150" t="str">
        <f>IF(OR(B59="",N(D59)=0),"",S59/D59)</f>
        <v/>
      </c>
      <c r="U59" s="138" t="str">
        <f>IF(T59="","",IF(T59&gt;=1,"✔ Atingido","▲ "&amp;ROUND(T59*100,0)&amp;"%"))</f>
        <v/>
      </c>
    </row>
    <row r="60">
      <c r="B60" s="138" t="str">
        <f>IF('Config'!$K$18="","",'Config'!$K$18)</f>
        <v/>
      </c>
      <c r="C60" s="138" t="n"/>
      <c r="D60" s="152" t="n"/>
      <c r="E60" s="149" t="str">
        <f>IF($B60="","",SUMIFS('Finanças'!$F$10:$F$1509,'Finanças'!$C$10:$C$1509,"Receita",'Finanças'!$D$10:$D$1509,$B60,'Finanças'!$B$10:$B$1509,"&gt;="&amp;DATE(Ano,1,1),'Finanças'!$B$10:$B$1509,"&lt;="&amp;DATE(Ano,1+1,0)))</f>
        <v/>
      </c>
      <c r="F60" s="149" t="str">
        <f>IF($B60="","",SUMIFS('Finanças'!$F$10:$F$1509,'Finanças'!$C$10:$C$1509,"Receita",'Finanças'!$D$10:$D$1509,$B60,'Finanças'!$B$10:$B$1509,"&gt;="&amp;DATE(Ano,2,1),'Finanças'!$B$10:$B$1509,"&lt;="&amp;DATE(Ano,2+1,0)))</f>
        <v/>
      </c>
      <c r="G60" s="149" t="str">
        <f>IF($B60="","",SUMIFS('Finanças'!$F$10:$F$1509,'Finanças'!$C$10:$C$1509,"Receita",'Finanças'!$D$10:$D$1509,$B60,'Finanças'!$B$10:$B$1509,"&gt;="&amp;DATE(Ano,3,1),'Finanças'!$B$10:$B$1509,"&lt;="&amp;DATE(Ano,3+1,0)))</f>
        <v/>
      </c>
      <c r="H60" s="149" t="str">
        <f>IF($B60="","",SUMIFS('Finanças'!$F$10:$F$1509,'Finanças'!$C$10:$C$1509,"Receita",'Finanças'!$D$10:$D$1509,$B60,'Finanças'!$B$10:$B$1509,"&gt;="&amp;DATE(Ano,4,1),'Finanças'!$B$10:$B$1509,"&lt;="&amp;DATE(Ano,4+1,0)))</f>
        <v/>
      </c>
      <c r="I60" s="149" t="str">
        <f>IF($B60="","",SUMIFS('Finanças'!$F$10:$F$1509,'Finanças'!$C$10:$C$1509,"Receita",'Finanças'!$D$10:$D$1509,$B60,'Finanças'!$B$10:$B$1509,"&gt;="&amp;DATE(Ano,5,1),'Finanças'!$B$10:$B$1509,"&lt;="&amp;DATE(Ano,5+1,0)))</f>
        <v/>
      </c>
      <c r="J60" s="149" t="str">
        <f>IF($B60="","",SUMIFS('Finanças'!$F$10:$F$1509,'Finanças'!$C$10:$C$1509,"Receita",'Finanças'!$D$10:$D$1509,$B60,'Finanças'!$B$10:$B$1509,"&gt;="&amp;DATE(Ano,6,1),'Finanças'!$B$10:$B$1509,"&lt;="&amp;DATE(Ano,6+1,0)))</f>
        <v/>
      </c>
      <c r="K60" s="149" t="str">
        <f>IF($B60="","",SUMIFS('Finanças'!$F$10:$F$1509,'Finanças'!$C$10:$C$1509,"Receita",'Finanças'!$D$10:$D$1509,$B60,'Finanças'!$B$10:$B$1509,"&gt;="&amp;DATE(Ano,7,1),'Finanças'!$B$10:$B$1509,"&lt;="&amp;DATE(Ano,7+1,0)))</f>
        <v/>
      </c>
      <c r="L60" s="149" t="str">
        <f>IF($B60="","",SUMIFS('Finanças'!$F$10:$F$1509,'Finanças'!$C$10:$C$1509,"Receita",'Finanças'!$D$10:$D$1509,$B60,'Finanças'!$B$10:$B$1509,"&gt;="&amp;DATE(Ano,8,1),'Finanças'!$B$10:$B$1509,"&lt;="&amp;DATE(Ano,8+1,0)))</f>
        <v/>
      </c>
      <c r="M60" s="149" t="str">
        <f>IF($B60="","",SUMIFS('Finanças'!$F$10:$F$1509,'Finanças'!$C$10:$C$1509,"Receita",'Finanças'!$D$10:$D$1509,$B60,'Finanças'!$B$10:$B$1509,"&gt;="&amp;DATE(Ano,9,1),'Finanças'!$B$10:$B$1509,"&lt;="&amp;DATE(Ano,9+1,0)))</f>
        <v/>
      </c>
      <c r="N60" s="149" t="str">
        <f>IF($B60="","",SUMIFS('Finanças'!$F$10:$F$1509,'Finanças'!$C$10:$C$1509,"Receita",'Finanças'!$D$10:$D$1509,$B60,'Finanças'!$B$10:$B$1509,"&gt;="&amp;DATE(Ano,10,1),'Finanças'!$B$10:$B$1509,"&lt;="&amp;DATE(Ano,10+1,0)))</f>
        <v/>
      </c>
      <c r="O60" s="149" t="str">
        <f>IF($B60="","",SUMIFS('Finanças'!$F$10:$F$1509,'Finanças'!$C$10:$C$1509,"Receita",'Finanças'!$D$10:$D$1509,$B60,'Finanças'!$B$10:$B$1509,"&gt;="&amp;DATE(Ano,11,1),'Finanças'!$B$10:$B$1509,"&lt;="&amp;DATE(Ano,11+1,0)))</f>
        <v/>
      </c>
      <c r="P60" s="149" t="str">
        <f>IF($B60="","",SUMIFS('Finanças'!$F$10:$F$1509,'Finanças'!$C$10:$C$1509,"Receita",'Finanças'!$D$10:$D$1509,$B60,'Finanças'!$B$10:$B$1509,"&gt;="&amp;DATE(Ano,12,1),'Finanças'!$B$10:$B$1509,"&lt;="&amp;DATE(Ano,12+1,0)))</f>
        <v/>
      </c>
      <c r="Q60" s="149" t="str">
        <f>IF(B60="","",SUM(E60:P60))</f>
        <v/>
      </c>
      <c r="R60" s="149" t="str">
        <f>IF(B60="","",SUMPRODUCT((COLUMN($E60:$P60)-COLUMN($E60)+1&lt;=RefMes)*$E60:$P60)/RefMes)</f>
        <v/>
      </c>
      <c r="S60" s="149" t="str">
        <f>IF(B60="","",INDEX(E60:P60,RefMes))</f>
        <v/>
      </c>
      <c r="T60" s="150" t="str">
        <f>IF(OR(B60="",N(D60)=0),"",S60/D60)</f>
        <v/>
      </c>
      <c r="U60" s="138" t="str">
        <f>IF(T60="","",IF(T60&gt;=1,"✔ Atingido","▲ "&amp;ROUND(T60*100,0)&amp;"%"))</f>
        <v/>
      </c>
    </row>
    <row r="61">
      <c r="B61" s="138" t="str">
        <f>IF('Config'!$K$19="","",'Config'!$K$19)</f>
        <v/>
      </c>
      <c r="C61" s="138" t="n"/>
      <c r="D61" s="152" t="n"/>
      <c r="E61" s="149" t="str">
        <f>IF($B61="","",SUMIFS('Finanças'!$F$10:$F$1509,'Finanças'!$C$10:$C$1509,"Receita",'Finanças'!$D$10:$D$1509,$B61,'Finanças'!$B$10:$B$1509,"&gt;="&amp;DATE(Ano,1,1),'Finanças'!$B$10:$B$1509,"&lt;="&amp;DATE(Ano,1+1,0)))</f>
        <v/>
      </c>
      <c r="F61" s="149" t="str">
        <f>IF($B61="","",SUMIFS('Finanças'!$F$10:$F$1509,'Finanças'!$C$10:$C$1509,"Receita",'Finanças'!$D$10:$D$1509,$B61,'Finanças'!$B$10:$B$1509,"&gt;="&amp;DATE(Ano,2,1),'Finanças'!$B$10:$B$1509,"&lt;="&amp;DATE(Ano,2+1,0)))</f>
        <v/>
      </c>
      <c r="G61" s="149" t="str">
        <f>IF($B61="","",SUMIFS('Finanças'!$F$10:$F$1509,'Finanças'!$C$10:$C$1509,"Receita",'Finanças'!$D$10:$D$1509,$B61,'Finanças'!$B$10:$B$1509,"&gt;="&amp;DATE(Ano,3,1),'Finanças'!$B$10:$B$1509,"&lt;="&amp;DATE(Ano,3+1,0)))</f>
        <v/>
      </c>
      <c r="H61" s="149" t="str">
        <f>IF($B61="","",SUMIFS('Finanças'!$F$10:$F$1509,'Finanças'!$C$10:$C$1509,"Receita",'Finanças'!$D$10:$D$1509,$B61,'Finanças'!$B$10:$B$1509,"&gt;="&amp;DATE(Ano,4,1),'Finanças'!$B$10:$B$1509,"&lt;="&amp;DATE(Ano,4+1,0)))</f>
        <v/>
      </c>
      <c r="I61" s="149" t="str">
        <f>IF($B61="","",SUMIFS('Finanças'!$F$10:$F$1509,'Finanças'!$C$10:$C$1509,"Receita",'Finanças'!$D$10:$D$1509,$B61,'Finanças'!$B$10:$B$1509,"&gt;="&amp;DATE(Ano,5,1),'Finanças'!$B$10:$B$1509,"&lt;="&amp;DATE(Ano,5+1,0)))</f>
        <v/>
      </c>
      <c r="J61" s="149" t="str">
        <f>IF($B61="","",SUMIFS('Finanças'!$F$10:$F$1509,'Finanças'!$C$10:$C$1509,"Receita",'Finanças'!$D$10:$D$1509,$B61,'Finanças'!$B$10:$B$1509,"&gt;="&amp;DATE(Ano,6,1),'Finanças'!$B$10:$B$1509,"&lt;="&amp;DATE(Ano,6+1,0)))</f>
        <v/>
      </c>
      <c r="K61" s="149" t="str">
        <f>IF($B61="","",SUMIFS('Finanças'!$F$10:$F$1509,'Finanças'!$C$10:$C$1509,"Receita",'Finanças'!$D$10:$D$1509,$B61,'Finanças'!$B$10:$B$1509,"&gt;="&amp;DATE(Ano,7,1),'Finanças'!$B$10:$B$1509,"&lt;="&amp;DATE(Ano,7+1,0)))</f>
        <v/>
      </c>
      <c r="L61" s="149" t="str">
        <f>IF($B61="","",SUMIFS('Finanças'!$F$10:$F$1509,'Finanças'!$C$10:$C$1509,"Receita",'Finanças'!$D$10:$D$1509,$B61,'Finanças'!$B$10:$B$1509,"&gt;="&amp;DATE(Ano,8,1),'Finanças'!$B$10:$B$1509,"&lt;="&amp;DATE(Ano,8+1,0)))</f>
        <v/>
      </c>
      <c r="M61" s="149" t="str">
        <f>IF($B61="","",SUMIFS('Finanças'!$F$10:$F$1509,'Finanças'!$C$10:$C$1509,"Receita",'Finanças'!$D$10:$D$1509,$B61,'Finanças'!$B$10:$B$1509,"&gt;="&amp;DATE(Ano,9,1),'Finanças'!$B$10:$B$1509,"&lt;="&amp;DATE(Ano,9+1,0)))</f>
        <v/>
      </c>
      <c r="N61" s="149" t="str">
        <f>IF($B61="","",SUMIFS('Finanças'!$F$10:$F$1509,'Finanças'!$C$10:$C$1509,"Receita",'Finanças'!$D$10:$D$1509,$B61,'Finanças'!$B$10:$B$1509,"&gt;="&amp;DATE(Ano,10,1),'Finanças'!$B$10:$B$1509,"&lt;="&amp;DATE(Ano,10+1,0)))</f>
        <v/>
      </c>
      <c r="O61" s="149" t="str">
        <f>IF($B61="","",SUMIFS('Finanças'!$F$10:$F$1509,'Finanças'!$C$10:$C$1509,"Receita",'Finanças'!$D$10:$D$1509,$B61,'Finanças'!$B$10:$B$1509,"&gt;="&amp;DATE(Ano,11,1),'Finanças'!$B$10:$B$1509,"&lt;="&amp;DATE(Ano,11+1,0)))</f>
        <v/>
      </c>
      <c r="P61" s="149" t="str">
        <f>IF($B61="","",SUMIFS('Finanças'!$F$10:$F$1509,'Finanças'!$C$10:$C$1509,"Receita",'Finanças'!$D$10:$D$1509,$B61,'Finanças'!$B$10:$B$1509,"&gt;="&amp;DATE(Ano,12,1),'Finanças'!$B$10:$B$1509,"&lt;="&amp;DATE(Ano,12+1,0)))</f>
        <v/>
      </c>
      <c r="Q61" s="149" t="str">
        <f>IF(B61="","",SUM(E61:P61))</f>
        <v/>
      </c>
      <c r="R61" s="149" t="str">
        <f>IF(B61="","",SUMPRODUCT((COLUMN($E61:$P61)-COLUMN($E61)+1&lt;=RefMes)*$E61:$P61)/RefMes)</f>
        <v/>
      </c>
      <c r="S61" s="149" t="str">
        <f>IF(B61="","",INDEX(E61:P61,RefMes))</f>
        <v/>
      </c>
      <c r="T61" s="150" t="str">
        <f>IF(OR(B61="",N(D61)=0),"",S61/D61)</f>
        <v/>
      </c>
      <c r="U61" s="138" t="str">
        <f>IF(T61="","",IF(T61&gt;=1,"✔ Atingido","▲ "&amp;ROUND(T61*100,0)&amp;"%"))</f>
        <v/>
      </c>
    </row>
    <row r="62">
      <c r="B62" s="138" t="str">
        <f>IF('Config'!$K$20="","",'Config'!$K$20)</f>
        <v/>
      </c>
      <c r="C62" s="138" t="n"/>
      <c r="D62" s="152" t="n"/>
      <c r="E62" s="149" t="str">
        <f>IF($B62="","",SUMIFS('Finanças'!$F$10:$F$1509,'Finanças'!$C$10:$C$1509,"Receita",'Finanças'!$D$10:$D$1509,$B62,'Finanças'!$B$10:$B$1509,"&gt;="&amp;DATE(Ano,1,1),'Finanças'!$B$10:$B$1509,"&lt;="&amp;DATE(Ano,1+1,0)))</f>
        <v/>
      </c>
      <c r="F62" s="149" t="str">
        <f>IF($B62="","",SUMIFS('Finanças'!$F$10:$F$1509,'Finanças'!$C$10:$C$1509,"Receita",'Finanças'!$D$10:$D$1509,$B62,'Finanças'!$B$10:$B$1509,"&gt;="&amp;DATE(Ano,2,1),'Finanças'!$B$10:$B$1509,"&lt;="&amp;DATE(Ano,2+1,0)))</f>
        <v/>
      </c>
      <c r="G62" s="149" t="str">
        <f>IF($B62="","",SUMIFS('Finanças'!$F$10:$F$1509,'Finanças'!$C$10:$C$1509,"Receita",'Finanças'!$D$10:$D$1509,$B62,'Finanças'!$B$10:$B$1509,"&gt;="&amp;DATE(Ano,3,1),'Finanças'!$B$10:$B$1509,"&lt;="&amp;DATE(Ano,3+1,0)))</f>
        <v/>
      </c>
      <c r="H62" s="149" t="str">
        <f>IF($B62="","",SUMIFS('Finanças'!$F$10:$F$1509,'Finanças'!$C$10:$C$1509,"Receita",'Finanças'!$D$10:$D$1509,$B62,'Finanças'!$B$10:$B$1509,"&gt;="&amp;DATE(Ano,4,1),'Finanças'!$B$10:$B$1509,"&lt;="&amp;DATE(Ano,4+1,0)))</f>
        <v/>
      </c>
      <c r="I62" s="149" t="str">
        <f>IF($B62="","",SUMIFS('Finanças'!$F$10:$F$1509,'Finanças'!$C$10:$C$1509,"Receita",'Finanças'!$D$10:$D$1509,$B62,'Finanças'!$B$10:$B$1509,"&gt;="&amp;DATE(Ano,5,1),'Finanças'!$B$10:$B$1509,"&lt;="&amp;DATE(Ano,5+1,0)))</f>
        <v/>
      </c>
      <c r="J62" s="149" t="str">
        <f>IF($B62="","",SUMIFS('Finanças'!$F$10:$F$1509,'Finanças'!$C$10:$C$1509,"Receita",'Finanças'!$D$10:$D$1509,$B62,'Finanças'!$B$10:$B$1509,"&gt;="&amp;DATE(Ano,6,1),'Finanças'!$B$10:$B$1509,"&lt;="&amp;DATE(Ano,6+1,0)))</f>
        <v/>
      </c>
      <c r="K62" s="149" t="str">
        <f>IF($B62="","",SUMIFS('Finanças'!$F$10:$F$1509,'Finanças'!$C$10:$C$1509,"Receita",'Finanças'!$D$10:$D$1509,$B62,'Finanças'!$B$10:$B$1509,"&gt;="&amp;DATE(Ano,7,1),'Finanças'!$B$10:$B$1509,"&lt;="&amp;DATE(Ano,7+1,0)))</f>
        <v/>
      </c>
      <c r="L62" s="149" t="str">
        <f>IF($B62="","",SUMIFS('Finanças'!$F$10:$F$1509,'Finanças'!$C$10:$C$1509,"Receita",'Finanças'!$D$10:$D$1509,$B62,'Finanças'!$B$10:$B$1509,"&gt;="&amp;DATE(Ano,8,1),'Finanças'!$B$10:$B$1509,"&lt;="&amp;DATE(Ano,8+1,0)))</f>
        <v/>
      </c>
      <c r="M62" s="149" t="str">
        <f>IF($B62="","",SUMIFS('Finanças'!$F$10:$F$1509,'Finanças'!$C$10:$C$1509,"Receita",'Finanças'!$D$10:$D$1509,$B62,'Finanças'!$B$10:$B$1509,"&gt;="&amp;DATE(Ano,9,1),'Finanças'!$B$10:$B$1509,"&lt;="&amp;DATE(Ano,9+1,0)))</f>
        <v/>
      </c>
      <c r="N62" s="149" t="str">
        <f>IF($B62="","",SUMIFS('Finanças'!$F$10:$F$1509,'Finanças'!$C$10:$C$1509,"Receita",'Finanças'!$D$10:$D$1509,$B62,'Finanças'!$B$10:$B$1509,"&gt;="&amp;DATE(Ano,10,1),'Finanças'!$B$10:$B$1509,"&lt;="&amp;DATE(Ano,10+1,0)))</f>
        <v/>
      </c>
      <c r="O62" s="149" t="str">
        <f>IF($B62="","",SUMIFS('Finanças'!$F$10:$F$1509,'Finanças'!$C$10:$C$1509,"Receita",'Finanças'!$D$10:$D$1509,$B62,'Finanças'!$B$10:$B$1509,"&gt;="&amp;DATE(Ano,11,1),'Finanças'!$B$10:$B$1509,"&lt;="&amp;DATE(Ano,11+1,0)))</f>
        <v/>
      </c>
      <c r="P62" s="149" t="str">
        <f>IF($B62="","",SUMIFS('Finanças'!$F$10:$F$1509,'Finanças'!$C$10:$C$1509,"Receita",'Finanças'!$D$10:$D$1509,$B62,'Finanças'!$B$10:$B$1509,"&gt;="&amp;DATE(Ano,12,1),'Finanças'!$B$10:$B$1509,"&lt;="&amp;DATE(Ano,12+1,0)))</f>
        <v/>
      </c>
      <c r="Q62" s="149" t="str">
        <f>IF(B62="","",SUM(E62:P62))</f>
        <v/>
      </c>
      <c r="R62" s="149" t="str">
        <f>IF(B62="","",SUMPRODUCT((COLUMN($E62:$P62)-COLUMN($E62)+1&lt;=RefMes)*$E62:$P62)/RefMes)</f>
        <v/>
      </c>
      <c r="S62" s="149" t="str">
        <f>IF(B62="","",INDEX(E62:P62,RefMes))</f>
        <v/>
      </c>
      <c r="T62" s="150" t="str">
        <f>IF(OR(B62="",N(D62)=0),"",S62/D62)</f>
        <v/>
      </c>
      <c r="U62" s="138" t="str">
        <f>IF(T62="","",IF(T62&gt;=1,"✔ Atingido","▲ "&amp;ROUND(T62*100,0)&amp;"%"))</f>
        <v/>
      </c>
    </row>
    <row r="63">
      <c r="B63" s="153" t="inlineStr">
        <is>
          <t>TOTAL</t>
        </is>
      </c>
      <c r="C63" s="154" t="n"/>
      <c r="D63" s="154">
        <f>SUM(D48:D62)</f>
        <v>0</v>
      </c>
      <c r="E63" s="154">
        <f>SUM(E48:E62)</f>
        <v>0</v>
      </c>
      <c r="F63" s="154">
        <f>SUM(F48:F62)</f>
        <v>0</v>
      </c>
      <c r="G63" s="154">
        <f>SUM(G48:G62)</f>
        <v>0</v>
      </c>
      <c r="H63" s="154">
        <f>SUM(H48:H62)</f>
        <v>0</v>
      </c>
      <c r="I63" s="154">
        <f>SUM(I48:I62)</f>
        <v>0</v>
      </c>
      <c r="J63" s="154">
        <f>SUM(J48:J62)</f>
        <v>0</v>
      </c>
      <c r="K63" s="154">
        <f>SUM(K48:K62)</f>
        <v>0</v>
      </c>
      <c r="L63" s="154">
        <f>SUM(L48:L62)</f>
        <v>0</v>
      </c>
      <c r="M63" s="154">
        <f>SUM(M48:M62)</f>
        <v>0</v>
      </c>
      <c r="N63" s="154">
        <f>SUM(N48:N62)</f>
        <v>0</v>
      </c>
      <c r="O63" s="154">
        <f>SUM(O48:O62)</f>
        <v>0</v>
      </c>
      <c r="P63" s="154">
        <f>SUM(P48:P62)</f>
        <v>0</v>
      </c>
      <c r="Q63" s="154">
        <f>SUM(Q48:Q62)</f>
        <v>0</v>
      </c>
      <c r="R63" s="154">
        <f>SUM(R48:R62)</f>
        <v>0</v>
      </c>
      <c r="S63" s="154">
        <f>SUM(S48:S62)</f>
        <v>0</v>
      </c>
      <c r="T63" s="155" t="str">
        <f>IF(D63&gt;0,S63/D63,"")</f>
        <v/>
      </c>
      <c r="U63" s="154" t="n"/>
    </row>
    <row r="65" ht="22" customHeight="1">
      <c r="B65" s="146" t="inlineStr">
        <is>
          <t>APORTES POR DESTINO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</row>
    <row r="66" ht="30" customHeight="1">
      <c r="B66" s="103" t="inlineStr">
        <is>
          <t>Categoria</t>
        </is>
      </c>
      <c r="C66" s="103" t="inlineStr"/>
      <c r="D66" s="103" t="inlineStr">
        <is>
          <t>Planejado / mês</t>
        </is>
      </c>
      <c r="E66" s="104" t="inlineStr">
        <is>
          <t>Jan</t>
        </is>
      </c>
      <c r="F66" s="104" t="inlineStr">
        <is>
          <t>Fev</t>
        </is>
      </c>
      <c r="G66" s="104" t="inlineStr">
        <is>
          <t>Mar</t>
        </is>
      </c>
      <c r="H66" s="104" t="inlineStr">
        <is>
          <t>Abr</t>
        </is>
      </c>
      <c r="I66" s="104" t="inlineStr">
        <is>
          <t>Mai</t>
        </is>
      </c>
      <c r="J66" s="104" t="inlineStr">
        <is>
          <t>Jun</t>
        </is>
      </c>
      <c r="K66" s="104" t="inlineStr">
        <is>
          <t>Jul</t>
        </is>
      </c>
      <c r="L66" s="104" t="inlineStr">
        <is>
          <t>Ago</t>
        </is>
      </c>
      <c r="M66" s="104" t="inlineStr">
        <is>
          <t>Set</t>
        </is>
      </c>
      <c r="N66" s="104" t="inlineStr">
        <is>
          <t>Out</t>
        </is>
      </c>
      <c r="O66" s="104" t="inlineStr">
        <is>
          <t>Nov</t>
        </is>
      </c>
      <c r="P66" s="104" t="inlineStr">
        <is>
          <t>Dez</t>
        </is>
      </c>
      <c r="Q66" s="104" t="inlineStr">
        <is>
          <t>Total ano</t>
        </is>
      </c>
      <c r="R66" s="104" t="inlineStr">
        <is>
          <t>Média/mês até a ref.</t>
        </is>
      </c>
      <c r="S66" s="104" t="inlineStr">
        <is>
          <t>Mês de referência</t>
        </is>
      </c>
      <c r="T66" s="104" t="inlineStr">
        <is>
          <t>% do plano</t>
        </is>
      </c>
      <c r="U66" s="104" t="inlineStr">
        <is>
          <t>Status no mês</t>
        </is>
      </c>
    </row>
    <row r="67">
      <c r="B67" s="138" t="str">
        <f>IF('Config'!$L$6="","",'Config'!$L$6)</f>
        <v>Reserva de emergência</v>
      </c>
      <c r="C67" s="138" t="n"/>
      <c r="D67" s="152" t="n"/>
      <c r="E67" s="149">
        <f>IF($B67="","",SUMIFS('Finanças'!$F$10:$F$1509,'Finanças'!$C$10:$C$1509,"Aporte",'Finanças'!$D$10:$D$1509,$B67,'Finanças'!$B$10:$B$1509,"&gt;="&amp;DATE(Ano,1,1),'Finanças'!$B$10:$B$1509,"&lt;="&amp;DATE(Ano,1+1,0)))</f>
        <v>0</v>
      </c>
      <c r="F67" s="149">
        <f>IF($B67="","",SUMIFS('Finanças'!$F$10:$F$1509,'Finanças'!$C$10:$C$1509,"Aporte",'Finanças'!$D$10:$D$1509,$B67,'Finanças'!$B$10:$B$1509,"&gt;="&amp;DATE(Ano,2,1),'Finanças'!$B$10:$B$1509,"&lt;="&amp;DATE(Ano,2+1,0)))</f>
        <v>0</v>
      </c>
      <c r="G67" s="149">
        <f>IF($B67="","",SUMIFS('Finanças'!$F$10:$F$1509,'Finanças'!$C$10:$C$1509,"Aporte",'Finanças'!$D$10:$D$1509,$B67,'Finanças'!$B$10:$B$1509,"&gt;="&amp;DATE(Ano,3,1),'Finanças'!$B$10:$B$1509,"&lt;="&amp;DATE(Ano,3+1,0)))</f>
        <v>0</v>
      </c>
      <c r="H67" s="149">
        <f>IF($B67="","",SUMIFS('Finanças'!$F$10:$F$1509,'Finanças'!$C$10:$C$1509,"Aporte",'Finanças'!$D$10:$D$1509,$B67,'Finanças'!$B$10:$B$1509,"&gt;="&amp;DATE(Ano,4,1),'Finanças'!$B$10:$B$1509,"&lt;="&amp;DATE(Ano,4+1,0)))</f>
        <v>0</v>
      </c>
      <c r="I67" s="149">
        <f>IF($B67="","",SUMIFS('Finanças'!$F$10:$F$1509,'Finanças'!$C$10:$C$1509,"Aporte",'Finanças'!$D$10:$D$1509,$B67,'Finanças'!$B$10:$B$1509,"&gt;="&amp;DATE(Ano,5,1),'Finanças'!$B$10:$B$1509,"&lt;="&amp;DATE(Ano,5+1,0)))</f>
        <v>0</v>
      </c>
      <c r="J67" s="149">
        <f>IF($B67="","",SUMIFS('Finanças'!$F$10:$F$1509,'Finanças'!$C$10:$C$1509,"Aporte",'Finanças'!$D$10:$D$1509,$B67,'Finanças'!$B$10:$B$1509,"&gt;="&amp;DATE(Ano,6,1),'Finanças'!$B$10:$B$1509,"&lt;="&amp;DATE(Ano,6+1,0)))</f>
        <v>0</v>
      </c>
      <c r="K67" s="149">
        <f>IF($B67="","",SUMIFS('Finanças'!$F$10:$F$1509,'Finanças'!$C$10:$C$1509,"Aporte",'Finanças'!$D$10:$D$1509,$B67,'Finanças'!$B$10:$B$1509,"&gt;="&amp;DATE(Ano,7,1),'Finanças'!$B$10:$B$1509,"&lt;="&amp;DATE(Ano,7+1,0)))</f>
        <v>0</v>
      </c>
      <c r="L67" s="149">
        <f>IF($B67="","",SUMIFS('Finanças'!$F$10:$F$1509,'Finanças'!$C$10:$C$1509,"Aporte",'Finanças'!$D$10:$D$1509,$B67,'Finanças'!$B$10:$B$1509,"&gt;="&amp;DATE(Ano,8,1),'Finanças'!$B$10:$B$1509,"&lt;="&amp;DATE(Ano,8+1,0)))</f>
        <v>0</v>
      </c>
      <c r="M67" s="149">
        <f>IF($B67="","",SUMIFS('Finanças'!$F$10:$F$1509,'Finanças'!$C$10:$C$1509,"Aporte",'Finanças'!$D$10:$D$1509,$B67,'Finanças'!$B$10:$B$1509,"&gt;="&amp;DATE(Ano,9,1),'Finanças'!$B$10:$B$1509,"&lt;="&amp;DATE(Ano,9+1,0)))</f>
        <v>0</v>
      </c>
      <c r="N67" s="149">
        <f>IF($B67="","",SUMIFS('Finanças'!$F$10:$F$1509,'Finanças'!$C$10:$C$1509,"Aporte",'Finanças'!$D$10:$D$1509,$B67,'Finanças'!$B$10:$B$1509,"&gt;="&amp;DATE(Ano,10,1),'Finanças'!$B$10:$B$1509,"&lt;="&amp;DATE(Ano,10+1,0)))</f>
        <v>0</v>
      </c>
      <c r="O67" s="149">
        <f>IF($B67="","",SUMIFS('Finanças'!$F$10:$F$1509,'Finanças'!$C$10:$C$1509,"Aporte",'Finanças'!$D$10:$D$1509,$B67,'Finanças'!$B$10:$B$1509,"&gt;="&amp;DATE(Ano,11,1),'Finanças'!$B$10:$B$1509,"&lt;="&amp;DATE(Ano,11+1,0)))</f>
        <v>0</v>
      </c>
      <c r="P67" s="149">
        <f>IF($B67="","",SUMIFS('Finanças'!$F$10:$F$1509,'Finanças'!$C$10:$C$1509,"Aporte",'Finanças'!$D$10:$D$1509,$B67,'Finanças'!$B$10:$B$1509,"&gt;="&amp;DATE(Ano,12,1),'Finanças'!$B$10:$B$1509,"&lt;="&amp;DATE(Ano,12+1,0)))</f>
        <v>0</v>
      </c>
      <c r="Q67" s="149">
        <f>IF(B67="","",SUM(E67:P67))</f>
        <v>0</v>
      </c>
      <c r="R67" s="149">
        <f>IF(B67="","",SUMPRODUCT((COLUMN($E67:$P67)-COLUMN($E67)+1&lt;=RefMes)*$E67:$P67)/RefMes)</f>
        <v>0</v>
      </c>
      <c r="S67" s="149">
        <f>IF(B67="","",INDEX(E67:P67,RefMes))</f>
        <v>0</v>
      </c>
      <c r="T67" s="150" t="str">
        <f>IF(OR(B67="",N(D67)=0),"",S67/D67)</f>
        <v/>
      </c>
      <c r="U67" s="138" t="str">
        <f>IF(T67="","",IF(T67&gt;=1,"✔ Atingido","▲ "&amp;ROUND(T67*100,0)&amp;"%"))</f>
        <v/>
      </c>
    </row>
    <row r="68">
      <c r="B68" s="138" t="str">
        <f>IF('Config'!$L$7="","",'Config'!$L$7)</f>
        <v>Investimentos</v>
      </c>
      <c r="C68" s="138" t="n"/>
      <c r="D68" s="152" t="n"/>
      <c r="E68" s="149">
        <f>IF($B68="","",SUMIFS('Finanças'!$F$10:$F$1509,'Finanças'!$C$10:$C$1509,"Aporte",'Finanças'!$D$10:$D$1509,$B68,'Finanças'!$B$10:$B$1509,"&gt;="&amp;DATE(Ano,1,1),'Finanças'!$B$10:$B$1509,"&lt;="&amp;DATE(Ano,1+1,0)))</f>
        <v>0</v>
      </c>
      <c r="F68" s="149">
        <f>IF($B68="","",SUMIFS('Finanças'!$F$10:$F$1509,'Finanças'!$C$10:$C$1509,"Aporte",'Finanças'!$D$10:$D$1509,$B68,'Finanças'!$B$10:$B$1509,"&gt;="&amp;DATE(Ano,2,1),'Finanças'!$B$10:$B$1509,"&lt;="&amp;DATE(Ano,2+1,0)))</f>
        <v>0</v>
      </c>
      <c r="G68" s="149">
        <f>IF($B68="","",SUMIFS('Finanças'!$F$10:$F$1509,'Finanças'!$C$10:$C$1509,"Aporte",'Finanças'!$D$10:$D$1509,$B68,'Finanças'!$B$10:$B$1509,"&gt;="&amp;DATE(Ano,3,1),'Finanças'!$B$10:$B$1509,"&lt;="&amp;DATE(Ano,3+1,0)))</f>
        <v>0</v>
      </c>
      <c r="H68" s="149">
        <f>IF($B68="","",SUMIFS('Finanças'!$F$10:$F$1509,'Finanças'!$C$10:$C$1509,"Aporte",'Finanças'!$D$10:$D$1509,$B68,'Finanças'!$B$10:$B$1509,"&gt;="&amp;DATE(Ano,4,1),'Finanças'!$B$10:$B$1509,"&lt;="&amp;DATE(Ano,4+1,0)))</f>
        <v>0</v>
      </c>
      <c r="I68" s="149">
        <f>IF($B68="","",SUMIFS('Finanças'!$F$10:$F$1509,'Finanças'!$C$10:$C$1509,"Aporte",'Finanças'!$D$10:$D$1509,$B68,'Finanças'!$B$10:$B$1509,"&gt;="&amp;DATE(Ano,5,1),'Finanças'!$B$10:$B$1509,"&lt;="&amp;DATE(Ano,5+1,0)))</f>
        <v>0</v>
      </c>
      <c r="J68" s="149">
        <f>IF($B68="","",SUMIFS('Finanças'!$F$10:$F$1509,'Finanças'!$C$10:$C$1509,"Aporte",'Finanças'!$D$10:$D$1509,$B68,'Finanças'!$B$10:$B$1509,"&gt;="&amp;DATE(Ano,6,1),'Finanças'!$B$10:$B$1509,"&lt;="&amp;DATE(Ano,6+1,0)))</f>
        <v>0</v>
      </c>
      <c r="K68" s="149">
        <f>IF($B68="","",SUMIFS('Finanças'!$F$10:$F$1509,'Finanças'!$C$10:$C$1509,"Aporte",'Finanças'!$D$10:$D$1509,$B68,'Finanças'!$B$10:$B$1509,"&gt;="&amp;DATE(Ano,7,1),'Finanças'!$B$10:$B$1509,"&lt;="&amp;DATE(Ano,7+1,0)))</f>
        <v>0</v>
      </c>
      <c r="L68" s="149">
        <f>IF($B68="","",SUMIFS('Finanças'!$F$10:$F$1509,'Finanças'!$C$10:$C$1509,"Aporte",'Finanças'!$D$10:$D$1509,$B68,'Finanças'!$B$10:$B$1509,"&gt;="&amp;DATE(Ano,8,1),'Finanças'!$B$10:$B$1509,"&lt;="&amp;DATE(Ano,8+1,0)))</f>
        <v>0</v>
      </c>
      <c r="M68" s="149">
        <f>IF($B68="","",SUMIFS('Finanças'!$F$10:$F$1509,'Finanças'!$C$10:$C$1509,"Aporte",'Finanças'!$D$10:$D$1509,$B68,'Finanças'!$B$10:$B$1509,"&gt;="&amp;DATE(Ano,9,1),'Finanças'!$B$10:$B$1509,"&lt;="&amp;DATE(Ano,9+1,0)))</f>
        <v>0</v>
      </c>
      <c r="N68" s="149">
        <f>IF($B68="","",SUMIFS('Finanças'!$F$10:$F$1509,'Finanças'!$C$10:$C$1509,"Aporte",'Finanças'!$D$10:$D$1509,$B68,'Finanças'!$B$10:$B$1509,"&gt;="&amp;DATE(Ano,10,1),'Finanças'!$B$10:$B$1509,"&lt;="&amp;DATE(Ano,10+1,0)))</f>
        <v>0</v>
      </c>
      <c r="O68" s="149">
        <f>IF($B68="","",SUMIFS('Finanças'!$F$10:$F$1509,'Finanças'!$C$10:$C$1509,"Aporte",'Finanças'!$D$10:$D$1509,$B68,'Finanças'!$B$10:$B$1509,"&gt;="&amp;DATE(Ano,11,1),'Finanças'!$B$10:$B$1509,"&lt;="&amp;DATE(Ano,11+1,0)))</f>
        <v>0</v>
      </c>
      <c r="P68" s="149">
        <f>IF($B68="","",SUMIFS('Finanças'!$F$10:$F$1509,'Finanças'!$C$10:$C$1509,"Aporte",'Finanças'!$D$10:$D$1509,$B68,'Finanças'!$B$10:$B$1509,"&gt;="&amp;DATE(Ano,12,1),'Finanças'!$B$10:$B$1509,"&lt;="&amp;DATE(Ano,12+1,0)))</f>
        <v>0</v>
      </c>
      <c r="Q68" s="149">
        <f>IF(B68="","",SUM(E68:P68))</f>
        <v>0</v>
      </c>
      <c r="R68" s="149">
        <f>IF(B68="","",SUMPRODUCT((COLUMN($E68:$P68)-COLUMN($E68)+1&lt;=RefMes)*$E68:$P68)/RefMes)</f>
        <v>0</v>
      </c>
      <c r="S68" s="149">
        <f>IF(B68="","",INDEX(E68:P68,RefMes))</f>
        <v>0</v>
      </c>
      <c r="T68" s="150" t="str">
        <f>IF(OR(B68="",N(D68)=0),"",S68/D68)</f>
        <v/>
      </c>
      <c r="U68" s="138" t="str">
        <f>IF(T68="","",IF(T68&gt;=1,"✔ Atingido","▲ "&amp;ROUND(T68*100,0)&amp;"%"))</f>
        <v/>
      </c>
    </row>
    <row r="69">
      <c r="B69" s="138" t="str">
        <f>IF('Config'!$L$8="","",'Config'!$L$8)</f>
        <v>Previdência</v>
      </c>
      <c r="C69" s="138" t="n"/>
      <c r="D69" s="152" t="n"/>
      <c r="E69" s="149">
        <f>IF($B69="","",SUMIFS('Finanças'!$F$10:$F$1509,'Finanças'!$C$10:$C$1509,"Aporte",'Finanças'!$D$10:$D$1509,$B69,'Finanças'!$B$10:$B$1509,"&gt;="&amp;DATE(Ano,1,1),'Finanças'!$B$10:$B$1509,"&lt;="&amp;DATE(Ano,1+1,0)))</f>
        <v>0</v>
      </c>
      <c r="F69" s="149">
        <f>IF($B69="","",SUMIFS('Finanças'!$F$10:$F$1509,'Finanças'!$C$10:$C$1509,"Aporte",'Finanças'!$D$10:$D$1509,$B69,'Finanças'!$B$10:$B$1509,"&gt;="&amp;DATE(Ano,2,1),'Finanças'!$B$10:$B$1509,"&lt;="&amp;DATE(Ano,2+1,0)))</f>
        <v>0</v>
      </c>
      <c r="G69" s="149">
        <f>IF($B69="","",SUMIFS('Finanças'!$F$10:$F$1509,'Finanças'!$C$10:$C$1509,"Aporte",'Finanças'!$D$10:$D$1509,$B69,'Finanças'!$B$10:$B$1509,"&gt;="&amp;DATE(Ano,3,1),'Finanças'!$B$10:$B$1509,"&lt;="&amp;DATE(Ano,3+1,0)))</f>
        <v>0</v>
      </c>
      <c r="H69" s="149">
        <f>IF($B69="","",SUMIFS('Finanças'!$F$10:$F$1509,'Finanças'!$C$10:$C$1509,"Aporte",'Finanças'!$D$10:$D$1509,$B69,'Finanças'!$B$10:$B$1509,"&gt;="&amp;DATE(Ano,4,1),'Finanças'!$B$10:$B$1509,"&lt;="&amp;DATE(Ano,4+1,0)))</f>
        <v>0</v>
      </c>
      <c r="I69" s="149">
        <f>IF($B69="","",SUMIFS('Finanças'!$F$10:$F$1509,'Finanças'!$C$10:$C$1509,"Aporte",'Finanças'!$D$10:$D$1509,$B69,'Finanças'!$B$10:$B$1509,"&gt;="&amp;DATE(Ano,5,1),'Finanças'!$B$10:$B$1509,"&lt;="&amp;DATE(Ano,5+1,0)))</f>
        <v>0</v>
      </c>
      <c r="J69" s="149">
        <f>IF($B69="","",SUMIFS('Finanças'!$F$10:$F$1509,'Finanças'!$C$10:$C$1509,"Aporte",'Finanças'!$D$10:$D$1509,$B69,'Finanças'!$B$10:$B$1509,"&gt;="&amp;DATE(Ano,6,1),'Finanças'!$B$10:$B$1509,"&lt;="&amp;DATE(Ano,6+1,0)))</f>
        <v>0</v>
      </c>
      <c r="K69" s="149">
        <f>IF($B69="","",SUMIFS('Finanças'!$F$10:$F$1509,'Finanças'!$C$10:$C$1509,"Aporte",'Finanças'!$D$10:$D$1509,$B69,'Finanças'!$B$10:$B$1509,"&gt;="&amp;DATE(Ano,7,1),'Finanças'!$B$10:$B$1509,"&lt;="&amp;DATE(Ano,7+1,0)))</f>
        <v>0</v>
      </c>
      <c r="L69" s="149">
        <f>IF($B69="","",SUMIFS('Finanças'!$F$10:$F$1509,'Finanças'!$C$10:$C$1509,"Aporte",'Finanças'!$D$10:$D$1509,$B69,'Finanças'!$B$10:$B$1509,"&gt;="&amp;DATE(Ano,8,1),'Finanças'!$B$10:$B$1509,"&lt;="&amp;DATE(Ano,8+1,0)))</f>
        <v>0</v>
      </c>
      <c r="M69" s="149">
        <f>IF($B69="","",SUMIFS('Finanças'!$F$10:$F$1509,'Finanças'!$C$10:$C$1509,"Aporte",'Finanças'!$D$10:$D$1509,$B69,'Finanças'!$B$10:$B$1509,"&gt;="&amp;DATE(Ano,9,1),'Finanças'!$B$10:$B$1509,"&lt;="&amp;DATE(Ano,9+1,0)))</f>
        <v>0</v>
      </c>
      <c r="N69" s="149">
        <f>IF($B69="","",SUMIFS('Finanças'!$F$10:$F$1509,'Finanças'!$C$10:$C$1509,"Aporte",'Finanças'!$D$10:$D$1509,$B69,'Finanças'!$B$10:$B$1509,"&gt;="&amp;DATE(Ano,10,1),'Finanças'!$B$10:$B$1509,"&lt;="&amp;DATE(Ano,10+1,0)))</f>
        <v>0</v>
      </c>
      <c r="O69" s="149">
        <f>IF($B69="","",SUMIFS('Finanças'!$F$10:$F$1509,'Finanças'!$C$10:$C$1509,"Aporte",'Finanças'!$D$10:$D$1509,$B69,'Finanças'!$B$10:$B$1509,"&gt;="&amp;DATE(Ano,11,1),'Finanças'!$B$10:$B$1509,"&lt;="&amp;DATE(Ano,11+1,0)))</f>
        <v>0</v>
      </c>
      <c r="P69" s="149">
        <f>IF($B69="","",SUMIFS('Finanças'!$F$10:$F$1509,'Finanças'!$C$10:$C$1509,"Aporte",'Finanças'!$D$10:$D$1509,$B69,'Finanças'!$B$10:$B$1509,"&gt;="&amp;DATE(Ano,12,1),'Finanças'!$B$10:$B$1509,"&lt;="&amp;DATE(Ano,12+1,0)))</f>
        <v>0</v>
      </c>
      <c r="Q69" s="149">
        <f>IF(B69="","",SUM(E69:P69))</f>
        <v>0</v>
      </c>
      <c r="R69" s="149">
        <f>IF(B69="","",SUMPRODUCT((COLUMN($E69:$P69)-COLUMN($E69)+1&lt;=RefMes)*$E69:$P69)/RefMes)</f>
        <v>0</v>
      </c>
      <c r="S69" s="149">
        <f>IF(B69="","",INDEX(E69:P69,RefMes))</f>
        <v>0</v>
      </c>
      <c r="T69" s="150" t="str">
        <f>IF(OR(B69="",N(D69)=0),"",S69/D69)</f>
        <v/>
      </c>
      <c r="U69" s="138" t="str">
        <f>IF(T69="","",IF(T69&gt;=1,"✔ Atingido","▲ "&amp;ROUND(T69*100,0)&amp;"%"))</f>
        <v/>
      </c>
    </row>
    <row r="70">
      <c r="B70" s="138" t="str">
        <f>IF('Config'!$L$9="","",'Config'!$L$9)</f>
        <v>Objetivo específico</v>
      </c>
      <c r="C70" s="138" t="n"/>
      <c r="D70" s="152" t="n"/>
      <c r="E70" s="149">
        <f>IF($B70="","",SUMIFS('Finanças'!$F$10:$F$1509,'Finanças'!$C$10:$C$1509,"Aporte",'Finanças'!$D$10:$D$1509,$B70,'Finanças'!$B$10:$B$1509,"&gt;="&amp;DATE(Ano,1,1),'Finanças'!$B$10:$B$1509,"&lt;="&amp;DATE(Ano,1+1,0)))</f>
        <v>0</v>
      </c>
      <c r="F70" s="149">
        <f>IF($B70="","",SUMIFS('Finanças'!$F$10:$F$1509,'Finanças'!$C$10:$C$1509,"Aporte",'Finanças'!$D$10:$D$1509,$B70,'Finanças'!$B$10:$B$1509,"&gt;="&amp;DATE(Ano,2,1),'Finanças'!$B$10:$B$1509,"&lt;="&amp;DATE(Ano,2+1,0)))</f>
        <v>0</v>
      </c>
      <c r="G70" s="149">
        <f>IF($B70="","",SUMIFS('Finanças'!$F$10:$F$1509,'Finanças'!$C$10:$C$1509,"Aporte",'Finanças'!$D$10:$D$1509,$B70,'Finanças'!$B$10:$B$1509,"&gt;="&amp;DATE(Ano,3,1),'Finanças'!$B$10:$B$1509,"&lt;="&amp;DATE(Ano,3+1,0)))</f>
        <v>0</v>
      </c>
      <c r="H70" s="149">
        <f>IF($B70="","",SUMIFS('Finanças'!$F$10:$F$1509,'Finanças'!$C$10:$C$1509,"Aporte",'Finanças'!$D$10:$D$1509,$B70,'Finanças'!$B$10:$B$1509,"&gt;="&amp;DATE(Ano,4,1),'Finanças'!$B$10:$B$1509,"&lt;="&amp;DATE(Ano,4+1,0)))</f>
        <v>0</v>
      </c>
      <c r="I70" s="149">
        <f>IF($B70="","",SUMIFS('Finanças'!$F$10:$F$1509,'Finanças'!$C$10:$C$1509,"Aporte",'Finanças'!$D$10:$D$1509,$B70,'Finanças'!$B$10:$B$1509,"&gt;="&amp;DATE(Ano,5,1),'Finanças'!$B$10:$B$1509,"&lt;="&amp;DATE(Ano,5+1,0)))</f>
        <v>0</v>
      </c>
      <c r="J70" s="149">
        <f>IF($B70="","",SUMIFS('Finanças'!$F$10:$F$1509,'Finanças'!$C$10:$C$1509,"Aporte",'Finanças'!$D$10:$D$1509,$B70,'Finanças'!$B$10:$B$1509,"&gt;="&amp;DATE(Ano,6,1),'Finanças'!$B$10:$B$1509,"&lt;="&amp;DATE(Ano,6+1,0)))</f>
        <v>0</v>
      </c>
      <c r="K70" s="149">
        <f>IF($B70="","",SUMIFS('Finanças'!$F$10:$F$1509,'Finanças'!$C$10:$C$1509,"Aporte",'Finanças'!$D$10:$D$1509,$B70,'Finanças'!$B$10:$B$1509,"&gt;="&amp;DATE(Ano,7,1),'Finanças'!$B$10:$B$1509,"&lt;="&amp;DATE(Ano,7+1,0)))</f>
        <v>0</v>
      </c>
      <c r="L70" s="149">
        <f>IF($B70="","",SUMIFS('Finanças'!$F$10:$F$1509,'Finanças'!$C$10:$C$1509,"Aporte",'Finanças'!$D$10:$D$1509,$B70,'Finanças'!$B$10:$B$1509,"&gt;="&amp;DATE(Ano,8,1),'Finanças'!$B$10:$B$1509,"&lt;="&amp;DATE(Ano,8+1,0)))</f>
        <v>0</v>
      </c>
      <c r="M70" s="149">
        <f>IF($B70="","",SUMIFS('Finanças'!$F$10:$F$1509,'Finanças'!$C$10:$C$1509,"Aporte",'Finanças'!$D$10:$D$1509,$B70,'Finanças'!$B$10:$B$1509,"&gt;="&amp;DATE(Ano,9,1),'Finanças'!$B$10:$B$1509,"&lt;="&amp;DATE(Ano,9+1,0)))</f>
        <v>0</v>
      </c>
      <c r="N70" s="149">
        <f>IF($B70="","",SUMIFS('Finanças'!$F$10:$F$1509,'Finanças'!$C$10:$C$1509,"Aporte",'Finanças'!$D$10:$D$1509,$B70,'Finanças'!$B$10:$B$1509,"&gt;="&amp;DATE(Ano,10,1),'Finanças'!$B$10:$B$1509,"&lt;="&amp;DATE(Ano,10+1,0)))</f>
        <v>0</v>
      </c>
      <c r="O70" s="149">
        <f>IF($B70="","",SUMIFS('Finanças'!$F$10:$F$1509,'Finanças'!$C$10:$C$1509,"Aporte",'Finanças'!$D$10:$D$1509,$B70,'Finanças'!$B$10:$B$1509,"&gt;="&amp;DATE(Ano,11,1),'Finanças'!$B$10:$B$1509,"&lt;="&amp;DATE(Ano,11+1,0)))</f>
        <v>0</v>
      </c>
      <c r="P70" s="149">
        <f>IF($B70="","",SUMIFS('Finanças'!$F$10:$F$1509,'Finanças'!$C$10:$C$1509,"Aporte",'Finanças'!$D$10:$D$1509,$B70,'Finanças'!$B$10:$B$1509,"&gt;="&amp;DATE(Ano,12,1),'Finanças'!$B$10:$B$1509,"&lt;="&amp;DATE(Ano,12+1,0)))</f>
        <v>0</v>
      </c>
      <c r="Q70" s="149">
        <f>IF(B70="","",SUM(E70:P70))</f>
        <v>0</v>
      </c>
      <c r="R70" s="149">
        <f>IF(B70="","",SUMPRODUCT((COLUMN($E70:$P70)-COLUMN($E70)+1&lt;=RefMes)*$E70:$P70)/RefMes)</f>
        <v>0</v>
      </c>
      <c r="S70" s="149">
        <f>IF(B70="","",INDEX(E70:P70,RefMes))</f>
        <v>0</v>
      </c>
      <c r="T70" s="150" t="str">
        <f>IF(OR(B70="",N(D70)=0),"",S70/D70)</f>
        <v/>
      </c>
      <c r="U70" s="138" t="str">
        <f>IF(T70="","",IF(T70&gt;=1,"✔ Atingido","▲ "&amp;ROUND(T70*100,0)&amp;"%"))</f>
        <v/>
      </c>
    </row>
    <row r="71">
      <c r="B71" s="138" t="str">
        <f>IF('Config'!$L$10="","",'Config'!$L$10)</f>
        <v/>
      </c>
      <c r="C71" s="138" t="n"/>
      <c r="D71" s="152" t="n"/>
      <c r="E71" s="149" t="str">
        <f>IF($B71="","",SUMIFS('Finanças'!$F$10:$F$1509,'Finanças'!$C$10:$C$1509,"Aporte",'Finanças'!$D$10:$D$1509,$B71,'Finanças'!$B$10:$B$1509,"&gt;="&amp;DATE(Ano,1,1),'Finanças'!$B$10:$B$1509,"&lt;="&amp;DATE(Ano,1+1,0)))</f>
        <v/>
      </c>
      <c r="F71" s="149" t="str">
        <f>IF($B71="","",SUMIFS('Finanças'!$F$10:$F$1509,'Finanças'!$C$10:$C$1509,"Aporte",'Finanças'!$D$10:$D$1509,$B71,'Finanças'!$B$10:$B$1509,"&gt;="&amp;DATE(Ano,2,1),'Finanças'!$B$10:$B$1509,"&lt;="&amp;DATE(Ano,2+1,0)))</f>
        <v/>
      </c>
      <c r="G71" s="149" t="str">
        <f>IF($B71="","",SUMIFS('Finanças'!$F$10:$F$1509,'Finanças'!$C$10:$C$1509,"Aporte",'Finanças'!$D$10:$D$1509,$B71,'Finanças'!$B$10:$B$1509,"&gt;="&amp;DATE(Ano,3,1),'Finanças'!$B$10:$B$1509,"&lt;="&amp;DATE(Ano,3+1,0)))</f>
        <v/>
      </c>
      <c r="H71" s="149" t="str">
        <f>IF($B71="","",SUMIFS('Finanças'!$F$10:$F$1509,'Finanças'!$C$10:$C$1509,"Aporte",'Finanças'!$D$10:$D$1509,$B71,'Finanças'!$B$10:$B$1509,"&gt;="&amp;DATE(Ano,4,1),'Finanças'!$B$10:$B$1509,"&lt;="&amp;DATE(Ano,4+1,0)))</f>
        <v/>
      </c>
      <c r="I71" s="149" t="str">
        <f>IF($B71="","",SUMIFS('Finanças'!$F$10:$F$1509,'Finanças'!$C$10:$C$1509,"Aporte",'Finanças'!$D$10:$D$1509,$B71,'Finanças'!$B$10:$B$1509,"&gt;="&amp;DATE(Ano,5,1),'Finanças'!$B$10:$B$1509,"&lt;="&amp;DATE(Ano,5+1,0)))</f>
        <v/>
      </c>
      <c r="J71" s="149" t="str">
        <f>IF($B71="","",SUMIFS('Finanças'!$F$10:$F$1509,'Finanças'!$C$10:$C$1509,"Aporte",'Finanças'!$D$10:$D$1509,$B71,'Finanças'!$B$10:$B$1509,"&gt;="&amp;DATE(Ano,6,1),'Finanças'!$B$10:$B$1509,"&lt;="&amp;DATE(Ano,6+1,0)))</f>
        <v/>
      </c>
      <c r="K71" s="149" t="str">
        <f>IF($B71="","",SUMIFS('Finanças'!$F$10:$F$1509,'Finanças'!$C$10:$C$1509,"Aporte",'Finanças'!$D$10:$D$1509,$B71,'Finanças'!$B$10:$B$1509,"&gt;="&amp;DATE(Ano,7,1),'Finanças'!$B$10:$B$1509,"&lt;="&amp;DATE(Ano,7+1,0)))</f>
        <v/>
      </c>
      <c r="L71" s="149" t="str">
        <f>IF($B71="","",SUMIFS('Finanças'!$F$10:$F$1509,'Finanças'!$C$10:$C$1509,"Aporte",'Finanças'!$D$10:$D$1509,$B71,'Finanças'!$B$10:$B$1509,"&gt;="&amp;DATE(Ano,8,1),'Finanças'!$B$10:$B$1509,"&lt;="&amp;DATE(Ano,8+1,0)))</f>
        <v/>
      </c>
      <c r="M71" s="149" t="str">
        <f>IF($B71="","",SUMIFS('Finanças'!$F$10:$F$1509,'Finanças'!$C$10:$C$1509,"Aporte",'Finanças'!$D$10:$D$1509,$B71,'Finanças'!$B$10:$B$1509,"&gt;="&amp;DATE(Ano,9,1),'Finanças'!$B$10:$B$1509,"&lt;="&amp;DATE(Ano,9+1,0)))</f>
        <v/>
      </c>
      <c r="N71" s="149" t="str">
        <f>IF($B71="","",SUMIFS('Finanças'!$F$10:$F$1509,'Finanças'!$C$10:$C$1509,"Aporte",'Finanças'!$D$10:$D$1509,$B71,'Finanças'!$B$10:$B$1509,"&gt;="&amp;DATE(Ano,10,1),'Finanças'!$B$10:$B$1509,"&lt;="&amp;DATE(Ano,10+1,0)))</f>
        <v/>
      </c>
      <c r="O71" s="149" t="str">
        <f>IF($B71="","",SUMIFS('Finanças'!$F$10:$F$1509,'Finanças'!$C$10:$C$1509,"Aporte",'Finanças'!$D$10:$D$1509,$B71,'Finanças'!$B$10:$B$1509,"&gt;="&amp;DATE(Ano,11,1),'Finanças'!$B$10:$B$1509,"&lt;="&amp;DATE(Ano,11+1,0)))</f>
        <v/>
      </c>
      <c r="P71" s="149" t="str">
        <f>IF($B71="","",SUMIFS('Finanças'!$F$10:$F$1509,'Finanças'!$C$10:$C$1509,"Aporte",'Finanças'!$D$10:$D$1509,$B71,'Finanças'!$B$10:$B$1509,"&gt;="&amp;DATE(Ano,12,1),'Finanças'!$B$10:$B$1509,"&lt;="&amp;DATE(Ano,12+1,0)))</f>
        <v/>
      </c>
      <c r="Q71" s="149" t="str">
        <f>IF(B71="","",SUM(E71:P71))</f>
        <v/>
      </c>
      <c r="R71" s="149" t="str">
        <f>IF(B71="","",SUMPRODUCT((COLUMN($E71:$P71)-COLUMN($E71)+1&lt;=RefMes)*$E71:$P71)/RefMes)</f>
        <v/>
      </c>
      <c r="S71" s="149" t="str">
        <f>IF(B71="","",INDEX(E71:P71,RefMes))</f>
        <v/>
      </c>
      <c r="T71" s="150" t="str">
        <f>IF(OR(B71="",N(D71)=0),"",S71/D71)</f>
        <v/>
      </c>
      <c r="U71" s="138" t="str">
        <f>IF(T71="","",IF(T71&gt;=1,"✔ Atingido","▲ "&amp;ROUND(T71*100,0)&amp;"%"))</f>
        <v/>
      </c>
    </row>
    <row r="72">
      <c r="B72" s="138" t="str">
        <f>IF('Config'!$L$11="","",'Config'!$L$11)</f>
        <v/>
      </c>
      <c r="C72" s="138" t="n"/>
      <c r="D72" s="152" t="n"/>
      <c r="E72" s="149" t="str">
        <f>IF($B72="","",SUMIFS('Finanças'!$F$10:$F$1509,'Finanças'!$C$10:$C$1509,"Aporte",'Finanças'!$D$10:$D$1509,$B72,'Finanças'!$B$10:$B$1509,"&gt;="&amp;DATE(Ano,1,1),'Finanças'!$B$10:$B$1509,"&lt;="&amp;DATE(Ano,1+1,0)))</f>
        <v/>
      </c>
      <c r="F72" s="149" t="str">
        <f>IF($B72="","",SUMIFS('Finanças'!$F$10:$F$1509,'Finanças'!$C$10:$C$1509,"Aporte",'Finanças'!$D$10:$D$1509,$B72,'Finanças'!$B$10:$B$1509,"&gt;="&amp;DATE(Ano,2,1),'Finanças'!$B$10:$B$1509,"&lt;="&amp;DATE(Ano,2+1,0)))</f>
        <v/>
      </c>
      <c r="G72" s="149" t="str">
        <f>IF($B72="","",SUMIFS('Finanças'!$F$10:$F$1509,'Finanças'!$C$10:$C$1509,"Aporte",'Finanças'!$D$10:$D$1509,$B72,'Finanças'!$B$10:$B$1509,"&gt;="&amp;DATE(Ano,3,1),'Finanças'!$B$10:$B$1509,"&lt;="&amp;DATE(Ano,3+1,0)))</f>
        <v/>
      </c>
      <c r="H72" s="149" t="str">
        <f>IF($B72="","",SUMIFS('Finanças'!$F$10:$F$1509,'Finanças'!$C$10:$C$1509,"Aporte",'Finanças'!$D$10:$D$1509,$B72,'Finanças'!$B$10:$B$1509,"&gt;="&amp;DATE(Ano,4,1),'Finanças'!$B$10:$B$1509,"&lt;="&amp;DATE(Ano,4+1,0)))</f>
        <v/>
      </c>
      <c r="I72" s="149" t="str">
        <f>IF($B72="","",SUMIFS('Finanças'!$F$10:$F$1509,'Finanças'!$C$10:$C$1509,"Aporte",'Finanças'!$D$10:$D$1509,$B72,'Finanças'!$B$10:$B$1509,"&gt;="&amp;DATE(Ano,5,1),'Finanças'!$B$10:$B$1509,"&lt;="&amp;DATE(Ano,5+1,0)))</f>
        <v/>
      </c>
      <c r="J72" s="149" t="str">
        <f>IF($B72="","",SUMIFS('Finanças'!$F$10:$F$1509,'Finanças'!$C$10:$C$1509,"Aporte",'Finanças'!$D$10:$D$1509,$B72,'Finanças'!$B$10:$B$1509,"&gt;="&amp;DATE(Ano,6,1),'Finanças'!$B$10:$B$1509,"&lt;="&amp;DATE(Ano,6+1,0)))</f>
        <v/>
      </c>
      <c r="K72" s="149" t="str">
        <f>IF($B72="","",SUMIFS('Finanças'!$F$10:$F$1509,'Finanças'!$C$10:$C$1509,"Aporte",'Finanças'!$D$10:$D$1509,$B72,'Finanças'!$B$10:$B$1509,"&gt;="&amp;DATE(Ano,7,1),'Finanças'!$B$10:$B$1509,"&lt;="&amp;DATE(Ano,7+1,0)))</f>
        <v/>
      </c>
      <c r="L72" s="149" t="str">
        <f>IF($B72="","",SUMIFS('Finanças'!$F$10:$F$1509,'Finanças'!$C$10:$C$1509,"Aporte",'Finanças'!$D$10:$D$1509,$B72,'Finanças'!$B$10:$B$1509,"&gt;="&amp;DATE(Ano,8,1),'Finanças'!$B$10:$B$1509,"&lt;="&amp;DATE(Ano,8+1,0)))</f>
        <v/>
      </c>
      <c r="M72" s="149" t="str">
        <f>IF($B72="","",SUMIFS('Finanças'!$F$10:$F$1509,'Finanças'!$C$10:$C$1509,"Aporte",'Finanças'!$D$10:$D$1509,$B72,'Finanças'!$B$10:$B$1509,"&gt;="&amp;DATE(Ano,9,1),'Finanças'!$B$10:$B$1509,"&lt;="&amp;DATE(Ano,9+1,0)))</f>
        <v/>
      </c>
      <c r="N72" s="149" t="str">
        <f>IF($B72="","",SUMIFS('Finanças'!$F$10:$F$1509,'Finanças'!$C$10:$C$1509,"Aporte",'Finanças'!$D$10:$D$1509,$B72,'Finanças'!$B$10:$B$1509,"&gt;="&amp;DATE(Ano,10,1),'Finanças'!$B$10:$B$1509,"&lt;="&amp;DATE(Ano,10+1,0)))</f>
        <v/>
      </c>
      <c r="O72" s="149" t="str">
        <f>IF($B72="","",SUMIFS('Finanças'!$F$10:$F$1509,'Finanças'!$C$10:$C$1509,"Aporte",'Finanças'!$D$10:$D$1509,$B72,'Finanças'!$B$10:$B$1509,"&gt;="&amp;DATE(Ano,11,1),'Finanças'!$B$10:$B$1509,"&lt;="&amp;DATE(Ano,11+1,0)))</f>
        <v/>
      </c>
      <c r="P72" s="149" t="str">
        <f>IF($B72="","",SUMIFS('Finanças'!$F$10:$F$1509,'Finanças'!$C$10:$C$1509,"Aporte",'Finanças'!$D$10:$D$1509,$B72,'Finanças'!$B$10:$B$1509,"&gt;="&amp;DATE(Ano,12,1),'Finanças'!$B$10:$B$1509,"&lt;="&amp;DATE(Ano,12+1,0)))</f>
        <v/>
      </c>
      <c r="Q72" s="149" t="str">
        <f>IF(B72="","",SUM(E72:P72))</f>
        <v/>
      </c>
      <c r="R72" s="149" t="str">
        <f>IF(B72="","",SUMPRODUCT((COLUMN($E72:$P72)-COLUMN($E72)+1&lt;=RefMes)*$E72:$P72)/RefMes)</f>
        <v/>
      </c>
      <c r="S72" s="149" t="str">
        <f>IF(B72="","",INDEX(E72:P72,RefMes))</f>
        <v/>
      </c>
      <c r="T72" s="150" t="str">
        <f>IF(OR(B72="",N(D72)=0),"",S72/D72)</f>
        <v/>
      </c>
      <c r="U72" s="138" t="str">
        <f>IF(T72="","",IF(T72&gt;=1,"✔ Atingido","▲ "&amp;ROUND(T72*100,0)&amp;"%"))</f>
        <v/>
      </c>
    </row>
    <row r="73">
      <c r="B73" s="138" t="str">
        <f>IF('Config'!$L$12="","",'Config'!$L$12)</f>
        <v/>
      </c>
      <c r="C73" s="138" t="n"/>
      <c r="D73" s="152" t="n"/>
      <c r="E73" s="149" t="str">
        <f>IF($B73="","",SUMIFS('Finanças'!$F$10:$F$1509,'Finanças'!$C$10:$C$1509,"Aporte",'Finanças'!$D$10:$D$1509,$B73,'Finanças'!$B$10:$B$1509,"&gt;="&amp;DATE(Ano,1,1),'Finanças'!$B$10:$B$1509,"&lt;="&amp;DATE(Ano,1+1,0)))</f>
        <v/>
      </c>
      <c r="F73" s="149" t="str">
        <f>IF($B73="","",SUMIFS('Finanças'!$F$10:$F$1509,'Finanças'!$C$10:$C$1509,"Aporte",'Finanças'!$D$10:$D$1509,$B73,'Finanças'!$B$10:$B$1509,"&gt;="&amp;DATE(Ano,2,1),'Finanças'!$B$10:$B$1509,"&lt;="&amp;DATE(Ano,2+1,0)))</f>
        <v/>
      </c>
      <c r="G73" s="149" t="str">
        <f>IF($B73="","",SUMIFS('Finanças'!$F$10:$F$1509,'Finanças'!$C$10:$C$1509,"Aporte",'Finanças'!$D$10:$D$1509,$B73,'Finanças'!$B$10:$B$1509,"&gt;="&amp;DATE(Ano,3,1),'Finanças'!$B$10:$B$1509,"&lt;="&amp;DATE(Ano,3+1,0)))</f>
        <v/>
      </c>
      <c r="H73" s="149" t="str">
        <f>IF($B73="","",SUMIFS('Finanças'!$F$10:$F$1509,'Finanças'!$C$10:$C$1509,"Aporte",'Finanças'!$D$10:$D$1509,$B73,'Finanças'!$B$10:$B$1509,"&gt;="&amp;DATE(Ano,4,1),'Finanças'!$B$10:$B$1509,"&lt;="&amp;DATE(Ano,4+1,0)))</f>
        <v/>
      </c>
      <c r="I73" s="149" t="str">
        <f>IF($B73="","",SUMIFS('Finanças'!$F$10:$F$1509,'Finanças'!$C$10:$C$1509,"Aporte",'Finanças'!$D$10:$D$1509,$B73,'Finanças'!$B$10:$B$1509,"&gt;="&amp;DATE(Ano,5,1),'Finanças'!$B$10:$B$1509,"&lt;="&amp;DATE(Ano,5+1,0)))</f>
        <v/>
      </c>
      <c r="J73" s="149" t="str">
        <f>IF($B73="","",SUMIFS('Finanças'!$F$10:$F$1509,'Finanças'!$C$10:$C$1509,"Aporte",'Finanças'!$D$10:$D$1509,$B73,'Finanças'!$B$10:$B$1509,"&gt;="&amp;DATE(Ano,6,1),'Finanças'!$B$10:$B$1509,"&lt;="&amp;DATE(Ano,6+1,0)))</f>
        <v/>
      </c>
      <c r="K73" s="149" t="str">
        <f>IF($B73="","",SUMIFS('Finanças'!$F$10:$F$1509,'Finanças'!$C$10:$C$1509,"Aporte",'Finanças'!$D$10:$D$1509,$B73,'Finanças'!$B$10:$B$1509,"&gt;="&amp;DATE(Ano,7,1),'Finanças'!$B$10:$B$1509,"&lt;="&amp;DATE(Ano,7+1,0)))</f>
        <v/>
      </c>
      <c r="L73" s="149" t="str">
        <f>IF($B73="","",SUMIFS('Finanças'!$F$10:$F$1509,'Finanças'!$C$10:$C$1509,"Aporte",'Finanças'!$D$10:$D$1509,$B73,'Finanças'!$B$10:$B$1509,"&gt;="&amp;DATE(Ano,8,1),'Finanças'!$B$10:$B$1509,"&lt;="&amp;DATE(Ano,8+1,0)))</f>
        <v/>
      </c>
      <c r="M73" s="149" t="str">
        <f>IF($B73="","",SUMIFS('Finanças'!$F$10:$F$1509,'Finanças'!$C$10:$C$1509,"Aporte",'Finanças'!$D$10:$D$1509,$B73,'Finanças'!$B$10:$B$1509,"&gt;="&amp;DATE(Ano,9,1),'Finanças'!$B$10:$B$1509,"&lt;="&amp;DATE(Ano,9+1,0)))</f>
        <v/>
      </c>
      <c r="N73" s="149" t="str">
        <f>IF($B73="","",SUMIFS('Finanças'!$F$10:$F$1509,'Finanças'!$C$10:$C$1509,"Aporte",'Finanças'!$D$10:$D$1509,$B73,'Finanças'!$B$10:$B$1509,"&gt;="&amp;DATE(Ano,10,1),'Finanças'!$B$10:$B$1509,"&lt;="&amp;DATE(Ano,10+1,0)))</f>
        <v/>
      </c>
      <c r="O73" s="149" t="str">
        <f>IF($B73="","",SUMIFS('Finanças'!$F$10:$F$1509,'Finanças'!$C$10:$C$1509,"Aporte",'Finanças'!$D$10:$D$1509,$B73,'Finanças'!$B$10:$B$1509,"&gt;="&amp;DATE(Ano,11,1),'Finanças'!$B$10:$B$1509,"&lt;="&amp;DATE(Ano,11+1,0)))</f>
        <v/>
      </c>
      <c r="P73" s="149" t="str">
        <f>IF($B73="","",SUMIFS('Finanças'!$F$10:$F$1509,'Finanças'!$C$10:$C$1509,"Aporte",'Finanças'!$D$10:$D$1509,$B73,'Finanças'!$B$10:$B$1509,"&gt;="&amp;DATE(Ano,12,1),'Finanças'!$B$10:$B$1509,"&lt;="&amp;DATE(Ano,12+1,0)))</f>
        <v/>
      </c>
      <c r="Q73" s="149" t="str">
        <f>IF(B73="","",SUM(E73:P73))</f>
        <v/>
      </c>
      <c r="R73" s="149" t="str">
        <f>IF(B73="","",SUMPRODUCT((COLUMN($E73:$P73)-COLUMN($E73)+1&lt;=RefMes)*$E73:$P73)/RefMes)</f>
        <v/>
      </c>
      <c r="S73" s="149" t="str">
        <f>IF(B73="","",INDEX(E73:P73,RefMes))</f>
        <v/>
      </c>
      <c r="T73" s="150" t="str">
        <f>IF(OR(B73="",N(D73)=0),"",S73/D73)</f>
        <v/>
      </c>
      <c r="U73" s="138" t="str">
        <f>IF(T73="","",IF(T73&gt;=1,"✔ Atingido","▲ "&amp;ROUND(T73*100,0)&amp;"%"))</f>
        <v/>
      </c>
    </row>
    <row r="74">
      <c r="B74" s="138" t="str">
        <f>IF('Config'!$L$13="","",'Config'!$L$13)</f>
        <v/>
      </c>
      <c r="C74" s="138" t="n"/>
      <c r="D74" s="152" t="n"/>
      <c r="E74" s="149" t="str">
        <f>IF($B74="","",SUMIFS('Finanças'!$F$10:$F$1509,'Finanças'!$C$10:$C$1509,"Aporte",'Finanças'!$D$10:$D$1509,$B74,'Finanças'!$B$10:$B$1509,"&gt;="&amp;DATE(Ano,1,1),'Finanças'!$B$10:$B$1509,"&lt;="&amp;DATE(Ano,1+1,0)))</f>
        <v/>
      </c>
      <c r="F74" s="149" t="str">
        <f>IF($B74="","",SUMIFS('Finanças'!$F$10:$F$1509,'Finanças'!$C$10:$C$1509,"Aporte",'Finanças'!$D$10:$D$1509,$B74,'Finanças'!$B$10:$B$1509,"&gt;="&amp;DATE(Ano,2,1),'Finanças'!$B$10:$B$1509,"&lt;="&amp;DATE(Ano,2+1,0)))</f>
        <v/>
      </c>
      <c r="G74" s="149" t="str">
        <f>IF($B74="","",SUMIFS('Finanças'!$F$10:$F$1509,'Finanças'!$C$10:$C$1509,"Aporte",'Finanças'!$D$10:$D$1509,$B74,'Finanças'!$B$10:$B$1509,"&gt;="&amp;DATE(Ano,3,1),'Finanças'!$B$10:$B$1509,"&lt;="&amp;DATE(Ano,3+1,0)))</f>
        <v/>
      </c>
      <c r="H74" s="149" t="str">
        <f>IF($B74="","",SUMIFS('Finanças'!$F$10:$F$1509,'Finanças'!$C$10:$C$1509,"Aporte",'Finanças'!$D$10:$D$1509,$B74,'Finanças'!$B$10:$B$1509,"&gt;="&amp;DATE(Ano,4,1),'Finanças'!$B$10:$B$1509,"&lt;="&amp;DATE(Ano,4+1,0)))</f>
        <v/>
      </c>
      <c r="I74" s="149" t="str">
        <f>IF($B74="","",SUMIFS('Finanças'!$F$10:$F$1509,'Finanças'!$C$10:$C$1509,"Aporte",'Finanças'!$D$10:$D$1509,$B74,'Finanças'!$B$10:$B$1509,"&gt;="&amp;DATE(Ano,5,1),'Finanças'!$B$10:$B$1509,"&lt;="&amp;DATE(Ano,5+1,0)))</f>
        <v/>
      </c>
      <c r="J74" s="149" t="str">
        <f>IF($B74="","",SUMIFS('Finanças'!$F$10:$F$1509,'Finanças'!$C$10:$C$1509,"Aporte",'Finanças'!$D$10:$D$1509,$B74,'Finanças'!$B$10:$B$1509,"&gt;="&amp;DATE(Ano,6,1),'Finanças'!$B$10:$B$1509,"&lt;="&amp;DATE(Ano,6+1,0)))</f>
        <v/>
      </c>
      <c r="K74" s="149" t="str">
        <f>IF($B74="","",SUMIFS('Finanças'!$F$10:$F$1509,'Finanças'!$C$10:$C$1509,"Aporte",'Finanças'!$D$10:$D$1509,$B74,'Finanças'!$B$10:$B$1509,"&gt;="&amp;DATE(Ano,7,1),'Finanças'!$B$10:$B$1509,"&lt;="&amp;DATE(Ano,7+1,0)))</f>
        <v/>
      </c>
      <c r="L74" s="149" t="str">
        <f>IF($B74="","",SUMIFS('Finanças'!$F$10:$F$1509,'Finanças'!$C$10:$C$1509,"Aporte",'Finanças'!$D$10:$D$1509,$B74,'Finanças'!$B$10:$B$1509,"&gt;="&amp;DATE(Ano,8,1),'Finanças'!$B$10:$B$1509,"&lt;="&amp;DATE(Ano,8+1,0)))</f>
        <v/>
      </c>
      <c r="M74" s="149" t="str">
        <f>IF($B74="","",SUMIFS('Finanças'!$F$10:$F$1509,'Finanças'!$C$10:$C$1509,"Aporte",'Finanças'!$D$10:$D$1509,$B74,'Finanças'!$B$10:$B$1509,"&gt;="&amp;DATE(Ano,9,1),'Finanças'!$B$10:$B$1509,"&lt;="&amp;DATE(Ano,9+1,0)))</f>
        <v/>
      </c>
      <c r="N74" s="149" t="str">
        <f>IF($B74="","",SUMIFS('Finanças'!$F$10:$F$1509,'Finanças'!$C$10:$C$1509,"Aporte",'Finanças'!$D$10:$D$1509,$B74,'Finanças'!$B$10:$B$1509,"&gt;="&amp;DATE(Ano,10,1),'Finanças'!$B$10:$B$1509,"&lt;="&amp;DATE(Ano,10+1,0)))</f>
        <v/>
      </c>
      <c r="O74" s="149" t="str">
        <f>IF($B74="","",SUMIFS('Finanças'!$F$10:$F$1509,'Finanças'!$C$10:$C$1509,"Aporte",'Finanças'!$D$10:$D$1509,$B74,'Finanças'!$B$10:$B$1509,"&gt;="&amp;DATE(Ano,11,1),'Finanças'!$B$10:$B$1509,"&lt;="&amp;DATE(Ano,11+1,0)))</f>
        <v/>
      </c>
      <c r="P74" s="149" t="str">
        <f>IF($B74="","",SUMIFS('Finanças'!$F$10:$F$1509,'Finanças'!$C$10:$C$1509,"Aporte",'Finanças'!$D$10:$D$1509,$B74,'Finanças'!$B$10:$B$1509,"&gt;="&amp;DATE(Ano,12,1),'Finanças'!$B$10:$B$1509,"&lt;="&amp;DATE(Ano,12+1,0)))</f>
        <v/>
      </c>
      <c r="Q74" s="149" t="str">
        <f>IF(B74="","",SUM(E74:P74))</f>
        <v/>
      </c>
      <c r="R74" s="149" t="str">
        <f>IF(B74="","",SUMPRODUCT((COLUMN($E74:$P74)-COLUMN($E74)+1&lt;=RefMes)*$E74:$P74)/RefMes)</f>
        <v/>
      </c>
      <c r="S74" s="149" t="str">
        <f>IF(B74="","",INDEX(E74:P74,RefMes))</f>
        <v/>
      </c>
      <c r="T74" s="150" t="str">
        <f>IF(OR(B74="",N(D74)=0),"",S74/D74)</f>
        <v/>
      </c>
      <c r="U74" s="138" t="str">
        <f>IF(T74="","",IF(T74&gt;=1,"✔ Atingido","▲ "&amp;ROUND(T74*100,0)&amp;"%"))</f>
        <v/>
      </c>
    </row>
    <row r="75">
      <c r="B75" s="153" t="inlineStr">
        <is>
          <t>TOTAL</t>
        </is>
      </c>
      <c r="C75" s="154" t="n"/>
      <c r="D75" s="154">
        <f>SUM(D67:D74)</f>
        <v>0</v>
      </c>
      <c r="E75" s="154">
        <f>SUM(E67:E74)</f>
        <v>0</v>
      </c>
      <c r="F75" s="154">
        <f>SUM(F67:F74)</f>
        <v>0</v>
      </c>
      <c r="G75" s="154">
        <f>SUM(G67:G74)</f>
        <v>0</v>
      </c>
      <c r="H75" s="154">
        <f>SUM(H67:H74)</f>
        <v>0</v>
      </c>
      <c r="I75" s="154">
        <f>SUM(I67:I74)</f>
        <v>0</v>
      </c>
      <c r="J75" s="154">
        <f>SUM(J67:J74)</f>
        <v>0</v>
      </c>
      <c r="K75" s="154">
        <f>SUM(K67:K74)</f>
        <v>0</v>
      </c>
      <c r="L75" s="154">
        <f>SUM(L67:L74)</f>
        <v>0</v>
      </c>
      <c r="M75" s="154">
        <f>SUM(M67:M74)</f>
        <v>0</v>
      </c>
      <c r="N75" s="154">
        <f>SUM(N67:N74)</f>
        <v>0</v>
      </c>
      <c r="O75" s="154">
        <f>SUM(O67:O74)</f>
        <v>0</v>
      </c>
      <c r="P75" s="154">
        <f>SUM(P67:P74)</f>
        <v>0</v>
      </c>
      <c r="Q75" s="154">
        <f>SUM(Q67:Q74)</f>
        <v>0</v>
      </c>
      <c r="R75" s="154">
        <f>SUM(R67:R74)</f>
        <v>0</v>
      </c>
      <c r="S75" s="154">
        <f>SUM(S67:S74)</f>
        <v>0</v>
      </c>
      <c r="T75" s="155" t="str">
        <f>IF(D75&gt;0,S75/D75,"")</f>
        <v/>
      </c>
      <c r="U75" s="154" t="n"/>
    </row>
    <row r="77" ht="22" customHeight="1">
      <c r="B77" s="146" t="inlineStr">
        <is>
          <t>PATRIMÔNIO · preencha os saldos no fim de cada mês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</row>
    <row r="78" ht="30" customHeight="1">
      <c r="B78" s="103" t="inlineStr">
        <is>
          <t>Item</t>
        </is>
      </c>
      <c r="C78" s="103" t="inlineStr"/>
      <c r="D78" s="103" t="inlineStr"/>
      <c r="E78" s="103" t="inlineStr">
        <is>
          <t>Jan</t>
        </is>
      </c>
      <c r="F78" s="103" t="inlineStr">
        <is>
          <t>Fev</t>
        </is>
      </c>
      <c r="G78" s="103" t="inlineStr">
        <is>
          <t>Mar</t>
        </is>
      </c>
      <c r="H78" s="103" t="inlineStr">
        <is>
          <t>Abr</t>
        </is>
      </c>
      <c r="I78" s="103" t="inlineStr">
        <is>
          <t>Mai</t>
        </is>
      </c>
      <c r="J78" s="103" t="inlineStr">
        <is>
          <t>Jun</t>
        </is>
      </c>
      <c r="K78" s="103" t="inlineStr">
        <is>
          <t>Jul</t>
        </is>
      </c>
      <c r="L78" s="103" t="inlineStr">
        <is>
          <t>Ago</t>
        </is>
      </c>
      <c r="M78" s="103" t="inlineStr">
        <is>
          <t>Set</t>
        </is>
      </c>
      <c r="N78" s="103" t="inlineStr">
        <is>
          <t>Out</t>
        </is>
      </c>
      <c r="O78" s="103" t="inlineStr">
        <is>
          <t>Nov</t>
        </is>
      </c>
      <c r="P78" s="103" t="inlineStr">
        <is>
          <t>Dez</t>
        </is>
      </c>
      <c r="Q78" s="104" t="inlineStr"/>
      <c r="R78" s="104" t="inlineStr"/>
      <c r="S78" s="104" t="inlineStr">
        <is>
          <t>Mês de referência</t>
        </is>
      </c>
      <c r="T78" s="104" t="inlineStr"/>
      <c r="U78" s="104" t="inlineStr"/>
    </row>
    <row r="79">
      <c r="B79" s="138" t="inlineStr">
        <is>
          <t>Contas &amp; dinheiro em caixa</t>
        </is>
      </c>
      <c r="C79" s="138" t="n"/>
      <c r="D79" s="138" t="n"/>
      <c r="E79" s="157" t="n"/>
      <c r="F79" s="157" t="n"/>
      <c r="G79" s="157" t="n"/>
      <c r="H79" s="157" t="n"/>
      <c r="I79" s="157" t="n"/>
      <c r="J79" s="157" t="n"/>
      <c r="K79" s="157" t="n"/>
      <c r="L79" s="157" t="n"/>
      <c r="M79" s="157" t="n"/>
      <c r="N79" s="157" t="n"/>
      <c r="O79" s="157" t="n"/>
      <c r="P79" s="157" t="n"/>
      <c r="Q79" s="149" t="n"/>
      <c r="R79" s="149" t="n"/>
      <c r="S79" s="149" t="str">
        <f>IF($V$84=0,"",INDEX(E79:P79,$V$84))</f>
        <v/>
      </c>
      <c r="T79" s="149" t="n"/>
      <c r="U79" s="149" t="n"/>
    </row>
    <row r="80">
      <c r="B80" s="138" t="inlineStr">
        <is>
          <t>Reserva de emergência</t>
        </is>
      </c>
      <c r="C80" s="138" t="n"/>
      <c r="D80" s="138" t="n"/>
      <c r="E80" s="157" t="n"/>
      <c r="F80" s="157" t="n"/>
      <c r="G80" s="157" t="n"/>
      <c r="H80" s="157" t="n"/>
      <c r="I80" s="157" t="n"/>
      <c r="J80" s="157" t="n"/>
      <c r="K80" s="157" t="n"/>
      <c r="L80" s="157" t="n"/>
      <c r="M80" s="157" t="n"/>
      <c r="N80" s="157" t="n"/>
      <c r="O80" s="157" t="n"/>
      <c r="P80" s="157" t="n"/>
      <c r="Q80" s="149" t="n"/>
      <c r="R80" s="149" t="n"/>
      <c r="S80" s="149" t="str">
        <f>IF($V$84=0,"",INDEX(E80:P80,$V$84))</f>
        <v/>
      </c>
      <c r="T80" s="149" t="n"/>
      <c r="U80" s="149" t="n"/>
    </row>
    <row r="81">
      <c r="B81" s="138" t="inlineStr">
        <is>
          <t>Investimentos</t>
        </is>
      </c>
      <c r="C81" s="138" t="n"/>
      <c r="D81" s="138" t="n"/>
      <c r="E81" s="157" t="n"/>
      <c r="F81" s="157" t="n"/>
      <c r="G81" s="157" t="n"/>
      <c r="H81" s="157" t="n"/>
      <c r="I81" s="157" t="n"/>
      <c r="J81" s="157" t="n"/>
      <c r="K81" s="157" t="n"/>
      <c r="L81" s="157" t="n"/>
      <c r="M81" s="157" t="n"/>
      <c r="N81" s="157" t="n"/>
      <c r="O81" s="157" t="n"/>
      <c r="P81" s="157" t="n"/>
      <c r="Q81" s="149" t="n"/>
      <c r="R81" s="149" t="n"/>
      <c r="S81" s="149" t="str">
        <f>IF($V$84=0,"",INDEX(E81:P81,$V$84))</f>
        <v/>
      </c>
      <c r="T81" s="149" t="n"/>
      <c r="U81" s="149" t="n"/>
    </row>
    <row r="82">
      <c r="B82" s="138" t="inlineStr">
        <is>
          <t>Outros bens (carro, imóvel…)</t>
        </is>
      </c>
      <c r="C82" s="138" t="n"/>
      <c r="D82" s="138" t="n"/>
      <c r="E82" s="157" t="n"/>
      <c r="F82" s="157" t="n"/>
      <c r="G82" s="157" t="n"/>
      <c r="H82" s="157" t="n"/>
      <c r="I82" s="157" t="n"/>
      <c r="J82" s="157" t="n"/>
      <c r="K82" s="157" t="n"/>
      <c r="L82" s="157" t="n"/>
      <c r="M82" s="157" t="n"/>
      <c r="N82" s="157" t="n"/>
      <c r="O82" s="157" t="n"/>
      <c r="P82" s="157" t="n"/>
      <c r="Q82" s="149" t="n"/>
      <c r="R82" s="149" t="n"/>
      <c r="S82" s="149" t="str">
        <f>IF($V$84=0,"",INDEX(E82:P82,$V$84))</f>
        <v/>
      </c>
      <c r="T82" s="149" t="n"/>
      <c r="U82" s="149" t="n"/>
    </row>
    <row r="83">
      <c r="B83" s="138" t="inlineStr">
        <is>
          <t>(−) Dívidas</t>
        </is>
      </c>
      <c r="C83" s="138" t="n"/>
      <c r="D83" s="138" t="n"/>
      <c r="E83" s="157" t="n"/>
      <c r="F83" s="157" t="n"/>
      <c r="G83" s="157" t="n"/>
      <c r="H83" s="157" t="n"/>
      <c r="I83" s="157" t="n"/>
      <c r="J83" s="157" t="n"/>
      <c r="K83" s="157" t="n"/>
      <c r="L83" s="157" t="n"/>
      <c r="M83" s="157" t="n"/>
      <c r="N83" s="157" t="n"/>
      <c r="O83" s="157" t="n"/>
      <c r="P83" s="157" t="n"/>
      <c r="Q83" s="149" t="n"/>
      <c r="R83" s="149" t="n"/>
      <c r="S83" s="149" t="str">
        <f>IF($V$84=0,"",INDEX(E83:P83,$V$84))</f>
        <v/>
      </c>
      <c r="T83" s="149" t="n"/>
      <c r="U83" s="149" t="n"/>
    </row>
    <row r="84">
      <c r="B84" s="105" t="inlineStr">
        <is>
          <t>PATRIMÔNIO LÍQUIDO</t>
        </is>
      </c>
      <c r="C84" s="138" t="n"/>
      <c r="D84" s="138" t="n"/>
      <c r="E84" s="158" t="str">
        <f>IF(COUNT(E79:E83)=0,"",N(E79)+N(E80)+N(E81)+N(E82)-N(E83))</f>
        <v/>
      </c>
      <c r="F84" s="158" t="str">
        <f>IF(COUNT(F79:F83)=0,"",N(F79)+N(F80)+N(F81)+N(F82)-N(F83))</f>
        <v/>
      </c>
      <c r="G84" s="158" t="str">
        <f>IF(COUNT(G79:G83)=0,"",N(G79)+N(G80)+N(G81)+N(G82)-N(G83))</f>
        <v/>
      </c>
      <c r="H84" s="158" t="str">
        <f>IF(COUNT(H79:H83)=0,"",N(H79)+N(H80)+N(H81)+N(H82)-N(H83))</f>
        <v/>
      </c>
      <c r="I84" s="158" t="str">
        <f>IF(COUNT(I79:I83)=0,"",N(I79)+N(I80)+N(I81)+N(I82)-N(I83))</f>
        <v/>
      </c>
      <c r="J84" s="158" t="str">
        <f>IF(COUNT(J79:J83)=0,"",N(J79)+N(J80)+N(J81)+N(J82)-N(J83))</f>
        <v/>
      </c>
      <c r="K84" s="158" t="str">
        <f>IF(COUNT(K79:K83)=0,"",N(K79)+N(K80)+N(K81)+N(K82)-N(K83))</f>
        <v/>
      </c>
      <c r="L84" s="158" t="str">
        <f>IF(COUNT(L79:L83)=0,"",N(L79)+N(L80)+N(L81)+N(L82)-N(L83))</f>
        <v/>
      </c>
      <c r="M84" s="158" t="str">
        <f>IF(COUNT(M79:M83)=0,"",N(M79)+N(M80)+N(M81)+N(M82)-N(M83))</f>
        <v/>
      </c>
      <c r="N84" s="158" t="str">
        <f>IF(COUNT(N79:N83)=0,"",N(N79)+N(N80)+N(N81)+N(N82)-N(N83))</f>
        <v/>
      </c>
      <c r="O84" s="158" t="str">
        <f>IF(COUNT(O79:O83)=0,"",N(O79)+N(O80)+N(O81)+N(O82)-N(O83))</f>
        <v/>
      </c>
      <c r="P84" s="158" t="str">
        <f>IF(COUNT(P79:P83)=0,"",N(P79)+N(P80)+N(P81)+N(P82)-N(P83))</f>
        <v/>
      </c>
      <c r="Q84" s="149" t="n"/>
      <c r="R84" s="149" t="n"/>
      <c r="S84" s="149" t="str">
        <f>IF($V$84=0,"",INDEX(E84:P84,$V$84))</f>
        <v/>
      </c>
      <c r="T84" s="156" t="str">
        <f>IF($V$84=0,"",IF($V$84=RefMes,"","dado de "&amp;INDEX(Meses,$V$84)))</f>
        <v/>
      </c>
      <c r="U84" s="149" t="n"/>
      <c r="V84">
        <f>SUMPRODUCT(MAX(($E$84:$P$84&lt;&gt;"")*(COLUMN($E$84:$P$84)-COLUMN($E$84)+1&lt;=RefMes)*(COLUMN($E$84:$P$84)-COLUMN($E$84)+1)))</f>
        <v>0</v>
      </c>
    </row>
    <row r="85">
      <c r="B85" s="138" t="inlineStr">
        <is>
          <t>Variação no mês</t>
        </is>
      </c>
      <c r="C85" s="138" t="n"/>
      <c r="D85" s="138" t="n"/>
      <c r="E85" s="149" t="str">
        <f>""</f>
        <v/>
      </c>
      <c r="F85" s="149" t="str">
        <f>IF(OR(F84="",E84=""),"",F84-E84)</f>
        <v/>
      </c>
      <c r="G85" s="149" t="str">
        <f>IF(OR(G84="",F84=""),"",G84-F84)</f>
        <v/>
      </c>
      <c r="H85" s="149" t="str">
        <f>IF(OR(H84="",G84=""),"",H84-G84)</f>
        <v/>
      </c>
      <c r="I85" s="149" t="str">
        <f>IF(OR(I84="",H84=""),"",I84-H84)</f>
        <v/>
      </c>
      <c r="J85" s="149" t="str">
        <f>IF(OR(J84="",I84=""),"",J84-I84)</f>
        <v/>
      </c>
      <c r="K85" s="149" t="str">
        <f>IF(OR(K84="",J84=""),"",K84-J84)</f>
        <v/>
      </c>
      <c r="L85" s="149" t="str">
        <f>IF(OR(L84="",K84=""),"",L84-K84)</f>
        <v/>
      </c>
      <c r="M85" s="149" t="str">
        <f>IF(OR(M84="",L84=""),"",M84-L84)</f>
        <v/>
      </c>
      <c r="N85" s="149" t="str">
        <f>IF(OR(N84="",M84=""),"",N84-M84)</f>
        <v/>
      </c>
      <c r="O85" s="149" t="str">
        <f>IF(OR(O84="",N84=""),"",O84-N84)</f>
        <v/>
      </c>
      <c r="P85" s="149" t="str">
        <f>IF(OR(P84="",O84=""),"",P84-O84)</f>
        <v/>
      </c>
      <c r="Q85" s="149" t="n"/>
      <c r="R85" s="149" t="n"/>
      <c r="S85" s="149" t="str">
        <f>IF($V$84=0,"",INDEX(E85:P85,$V$84))</f>
        <v/>
      </c>
      <c r="T85" s="149" t="n"/>
      <c r="U85" s="149" t="n"/>
    </row>
    <row r="86">
      <c r="B86" s="138" t="inlineStr">
        <is>
          <t>Reserva cobre (meses de despesa)</t>
        </is>
      </c>
      <c r="C86" s="138" t="n"/>
      <c r="D86" s="138" t="n"/>
      <c r="E86" s="159" t="str">
        <f>IF(OR(E80="",SUM($E$8:E8)=0),"",E80/(SUM($E$8:E8)/COUNTIF($E$8:E8,"&gt;0")))</f>
        <v/>
      </c>
      <c r="F86" s="159" t="str">
        <f>IF(OR(F80="",SUM($E$8:F8)=0),"",F80/(SUM($E$8:F8)/COUNTIF($E$8:F8,"&gt;0")))</f>
        <v/>
      </c>
      <c r="G86" s="159" t="str">
        <f>IF(OR(G80="",SUM($E$8:G8)=0),"",G80/(SUM($E$8:G8)/COUNTIF($E$8:G8,"&gt;0")))</f>
        <v/>
      </c>
      <c r="H86" s="159" t="str">
        <f>IF(OR(H80="",SUM($E$8:H8)=0),"",H80/(SUM($E$8:H8)/COUNTIF($E$8:H8,"&gt;0")))</f>
        <v/>
      </c>
      <c r="I86" s="159" t="str">
        <f>IF(OR(I80="",SUM($E$8:I8)=0),"",I80/(SUM($E$8:I8)/COUNTIF($E$8:I8,"&gt;0")))</f>
        <v/>
      </c>
      <c r="J86" s="159" t="str">
        <f>IF(OR(J80="",SUM($E$8:J8)=0),"",J80/(SUM($E$8:J8)/COUNTIF($E$8:J8,"&gt;0")))</f>
        <v/>
      </c>
      <c r="K86" s="159" t="str">
        <f>IF(OR(K80="",SUM($E$8:K8)=0),"",K80/(SUM($E$8:K8)/COUNTIF($E$8:K8,"&gt;0")))</f>
        <v/>
      </c>
      <c r="L86" s="159" t="str">
        <f>IF(OR(L80="",SUM($E$8:L8)=0),"",L80/(SUM($E$8:L8)/COUNTIF($E$8:L8,"&gt;0")))</f>
        <v/>
      </c>
      <c r="M86" s="159" t="str">
        <f>IF(OR(M80="",SUM($E$8:M8)=0),"",M80/(SUM($E$8:M8)/COUNTIF($E$8:M8,"&gt;0")))</f>
        <v/>
      </c>
      <c r="N86" s="159" t="str">
        <f>IF(OR(N80="",SUM($E$8:N8)=0),"",N80/(SUM($E$8:N8)/COUNTIF($E$8:N8,"&gt;0")))</f>
        <v/>
      </c>
      <c r="O86" s="159" t="str">
        <f>IF(OR(O80="",SUM($E$8:O8)=0),"",O80/(SUM($E$8:O8)/COUNTIF($E$8:O8,"&gt;0")))</f>
        <v/>
      </c>
      <c r="P86" s="159" t="str">
        <f>IF(OR(P80="",SUM($E$8:P8)=0),"",P80/(SUM($E$8:P8)/COUNTIF($E$8:P8,"&gt;0")))</f>
        <v/>
      </c>
      <c r="Q86" s="149" t="n"/>
      <c r="R86" s="149" t="n"/>
      <c r="S86" s="159" t="str">
        <f>IF($V$84=0,"",INDEX(E86:P86,$V$84))</f>
        <v/>
      </c>
      <c r="T86" s="149" t="n"/>
      <c r="U86" s="149" t="str">
        <f>IF(S86="","",IF(S86&gt;=MetaReserva,"✔ Meta atingida","▲ Meta: "&amp;MetaReserva&amp;" meses"))</f>
        <v/>
      </c>
    </row>
    <row r="88" ht="22" customHeight="1">
      <c r="B88" s="146" t="inlineStr">
        <is>
          <t>DISTRIBUIÇÃO DA RECEITA NO MÊS · referência 50/30/20</t>
        </is>
      </c>
      <c r="C88" s="147" t="n"/>
      <c r="D88" s="147" t="n"/>
      <c r="E88" s="147" t="n"/>
      <c r="F88" s="147" t="n"/>
      <c r="G88" s="147" t="n"/>
      <c r="H88" s="147" t="n"/>
      <c r="I88" s="147" t="n"/>
      <c r="J88" s="147" t="n"/>
      <c r="K88" s="147" t="n"/>
      <c r="L88" s="147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</row>
    <row r="89" ht="30" customHeight="1">
      <c r="B89" s="104" t="inlineStr">
        <is>
          <t>Destino</t>
        </is>
      </c>
      <c r="C89" s="104" t="inlineStr">
        <is>
          <t>Valor</t>
        </is>
      </c>
      <c r="D89" s="104" t="inlineStr">
        <is>
          <t>% da receita</t>
        </is>
      </c>
      <c r="E89" s="104" t="inlineStr">
        <is>
          <t>Referência</t>
        </is>
      </c>
      <c r="F89" s="112" t="n"/>
      <c r="G89" s="104" t="inlineStr">
        <is>
          <t>Leitura</t>
        </is>
      </c>
      <c r="L89" s="112" t="n"/>
    </row>
    <row r="90">
      <c r="B90" s="138" t="inlineStr">
        <is>
          <t>Essencial</t>
        </is>
      </c>
      <c r="C90" s="160">
        <f>SUMIFS($S$18:$S$42,$C$18:$C$42,"Essencial")</f>
        <v>0</v>
      </c>
      <c r="D90" s="161" t="str">
        <f>IF(S7&gt;0,C90/S7,"")</f>
        <v/>
      </c>
      <c r="E90" s="161" t="n">
        <v>0.5</v>
      </c>
      <c r="F90" s="138" t="n"/>
      <c r="G90" s="138" t="str">
        <f>IF(D90="","",IF(D90&lt;=E90+0.02,"✔ Dentro da referência","▲ Acima da referência"))</f>
        <v/>
      </c>
      <c r="H90" s="138" t="n"/>
      <c r="I90" s="138" t="n"/>
      <c r="J90" s="138" t="n"/>
      <c r="K90" s="138" t="n"/>
      <c r="L90" s="138" t="n"/>
    </row>
    <row r="91">
      <c r="B91" s="138" t="inlineStr">
        <is>
          <t>Estilo de vida</t>
        </is>
      </c>
      <c r="C91" s="160">
        <f>SUMIFS($S$18:$S$42,$C$18:$C$42,"Estilo de vida")</f>
        <v>0</v>
      </c>
      <c r="D91" s="161" t="str">
        <f>IF(S7&gt;0,C91/S7,"")</f>
        <v/>
      </c>
      <c r="E91" s="161" t="n">
        <v>0.3</v>
      </c>
      <c r="F91" s="138" t="n"/>
      <c r="G91" s="138" t="str">
        <f>IF(D91="","",IF(D91&lt;=E91+0.02,"✔ Dentro da referência","▲ Acima da referência"))</f>
        <v/>
      </c>
      <c r="H91" s="138" t="n"/>
      <c r="I91" s="138" t="n"/>
      <c r="J91" s="138" t="n"/>
      <c r="K91" s="138" t="n"/>
      <c r="L91" s="138" t="n"/>
    </row>
    <row r="92">
      <c r="B92" s="138" t="inlineStr">
        <is>
          <t>Crescimento</t>
        </is>
      </c>
      <c r="C92" s="160">
        <f>SUMIFS($S$18:$S$42,$C$18:$C$42,"Crescimento")</f>
        <v>0</v>
      </c>
      <c r="D92" s="161" t="str">
        <f>IF(S7&gt;0,C92/S7,"")</f>
        <v/>
      </c>
      <c r="E92" s="161" t="inlineStr">
        <is>
          <t>—</t>
        </is>
      </c>
      <c r="F92" s="138" t="n"/>
      <c r="G92" s="138" t="str">
        <f>IF(D92="","","○ Investimento em você: cursos, livros")</f>
        <v/>
      </c>
      <c r="H92" s="138" t="n"/>
      <c r="I92" s="138" t="n"/>
      <c r="J92" s="138" t="n"/>
      <c r="K92" s="138" t="n"/>
      <c r="L92" s="138" t="n"/>
    </row>
    <row r="93">
      <c r="B93" s="138" t="inlineStr">
        <is>
          <t>Poupança (resultado do mês)</t>
        </is>
      </c>
      <c r="C93" s="160">
        <f>MAX(0,S9)</f>
        <v>0</v>
      </c>
      <c r="D93" s="161" t="str">
        <f>IF(S7&gt;0,C93/S7,"")</f>
        <v/>
      </c>
      <c r="E93" s="161" t="n">
        <v>0.2</v>
      </c>
      <c r="F93" s="138" t="n"/>
      <c r="G93" s="138" t="str">
        <f>IF(D93="","",IF(D93&gt;=E93,"✔ Dentro da referência","▲ Abaixo da referência"))</f>
        <v/>
      </c>
      <c r="H93" s="138" t="n"/>
      <c r="I93" s="138" t="n"/>
      <c r="J93" s="138" t="n"/>
      <c r="K93" s="138" t="n"/>
      <c r="L93" s="138" t="n"/>
    </row>
  </sheetData>
  <mergeCells count="10">
    <mergeCell ref="E91:F91"/>
    <mergeCell ref="E90:F90"/>
    <mergeCell ref="G89:L89"/>
    <mergeCell ref="G90:L90"/>
    <mergeCell ref="G93:L93"/>
    <mergeCell ref="E89:F89"/>
    <mergeCell ref="E93:F93"/>
    <mergeCell ref="E92:F92"/>
    <mergeCell ref="G91:L91"/>
    <mergeCell ref="G92:L92"/>
  </mergeCells>
  <conditionalFormatting sqref="U7:U14">
    <cfRule type="expression" priority="1" dxfId="5">
      <formula>LEFT(U7,1)="✔"</formula>
    </cfRule>
    <cfRule type="expression" priority="2" dxfId="6">
      <formula>LEFT(U7,1)="▲"</formula>
    </cfRule>
    <cfRule type="expression" priority="3" dxfId="7">
      <formula>LEFT(U7,1)="✖"</formula>
    </cfRule>
    <cfRule type="expression" priority="4" dxfId="8">
      <formula>LEFT(U7,1)="○"</formula>
    </cfRule>
    <cfRule type="expression" priority="5" dxfId="8">
      <formula>LEFT(U7,1)="‖"</formula>
    </cfRule>
    <cfRule type="expression" priority="6" dxfId="8">
      <formula>LEFT(U7,1)="–"</formula>
    </cfRule>
  </conditionalFormatting>
  <conditionalFormatting sqref="U18:U42">
    <cfRule type="expression" priority="7" dxfId="5">
      <formula>LEFT(U18,1)="✔"</formula>
    </cfRule>
    <cfRule type="expression" priority="8" dxfId="6">
      <formula>LEFT(U18,1)="▲"</formula>
    </cfRule>
    <cfRule type="expression" priority="9" dxfId="7">
      <formula>LEFT(U18,1)="✖"</formula>
    </cfRule>
    <cfRule type="expression" priority="10" dxfId="8">
      <formula>LEFT(U18,1)="○"</formula>
    </cfRule>
    <cfRule type="expression" priority="11" dxfId="8">
      <formula>LEFT(U18,1)="‖"</formula>
    </cfRule>
    <cfRule type="expression" priority="12" dxfId="8">
      <formula>LEFT(U18,1)="–"</formula>
    </cfRule>
  </conditionalFormatting>
  <conditionalFormatting sqref="T18:T42">
    <cfRule type="dataBar" priority="13">
      <dataBar showValue="1">
        <cfvo type="num" val="0"/>
        <cfvo type="num" val="1"/>
        <color rgb="002A78D6"/>
      </dataBar>
    </cfRule>
  </conditionalFormatting>
  <conditionalFormatting sqref="E44:S44">
    <cfRule type="expression" priority="14" dxfId="14">
      <formula>ABS(E44)&gt;0.005</formula>
    </cfRule>
  </conditionalFormatting>
  <conditionalFormatting sqref="U48:U62">
    <cfRule type="expression" priority="15" dxfId="5">
      <formula>LEFT(U48,1)="✔"</formula>
    </cfRule>
    <cfRule type="expression" priority="16" dxfId="6">
      <formula>LEFT(U48,1)="▲"</formula>
    </cfRule>
    <cfRule type="expression" priority="17" dxfId="7">
      <formula>LEFT(U48,1)="✖"</formula>
    </cfRule>
    <cfRule type="expression" priority="18" dxfId="8">
      <formula>LEFT(U48,1)="○"</formula>
    </cfRule>
    <cfRule type="expression" priority="19" dxfId="8">
      <formula>LEFT(U48,1)="‖"</formula>
    </cfRule>
    <cfRule type="expression" priority="20" dxfId="8">
      <formula>LEFT(U48,1)="–"</formula>
    </cfRule>
  </conditionalFormatting>
  <conditionalFormatting sqref="T48:T62">
    <cfRule type="dataBar" priority="21">
      <dataBar showValue="1">
        <cfvo type="num" val="0"/>
        <cfvo type="num" val="1"/>
        <color rgb="002A78D6"/>
      </dataBar>
    </cfRule>
  </conditionalFormatting>
  <conditionalFormatting sqref="U67:U74">
    <cfRule type="expression" priority="22" dxfId="5">
      <formula>LEFT(U67,1)="✔"</formula>
    </cfRule>
    <cfRule type="expression" priority="23" dxfId="6">
      <formula>LEFT(U67,1)="▲"</formula>
    </cfRule>
    <cfRule type="expression" priority="24" dxfId="7">
      <formula>LEFT(U67,1)="✖"</formula>
    </cfRule>
    <cfRule type="expression" priority="25" dxfId="8">
      <formula>LEFT(U67,1)="○"</formula>
    </cfRule>
    <cfRule type="expression" priority="26" dxfId="8">
      <formula>LEFT(U67,1)="‖"</formula>
    </cfRule>
    <cfRule type="expression" priority="27" dxfId="8">
      <formula>LEFT(U67,1)="–"</formula>
    </cfRule>
  </conditionalFormatting>
  <conditionalFormatting sqref="T67:T74">
    <cfRule type="dataBar" priority="28">
      <dataBar showValue="1">
        <cfvo type="num" val="0"/>
        <cfvo type="num" val="1"/>
        <color rgb="002A78D6"/>
      </dataBar>
    </cfRule>
  </conditionalFormatting>
  <conditionalFormatting sqref="U79:U86">
    <cfRule type="expression" priority="29" dxfId="5">
      <formula>LEFT(U79,1)="✔"</formula>
    </cfRule>
    <cfRule type="expression" priority="30" dxfId="6">
      <formula>LEFT(U79,1)="▲"</formula>
    </cfRule>
    <cfRule type="expression" priority="31" dxfId="7">
      <formula>LEFT(U79,1)="✖"</formula>
    </cfRule>
    <cfRule type="expression" priority="32" dxfId="8">
      <formula>LEFT(U79,1)="○"</formula>
    </cfRule>
    <cfRule type="expression" priority="33" dxfId="8">
      <formula>LEFT(U79,1)="‖"</formula>
    </cfRule>
    <cfRule type="expression" priority="34" dxfId="8">
      <formula>LEFT(U79,1)="–"</formula>
    </cfRule>
  </conditionalFormatting>
  <conditionalFormatting sqref="G90:G93">
    <cfRule type="expression" priority="35" dxfId="5">
      <formula>LEFT(G90,1)="✔"</formula>
    </cfRule>
    <cfRule type="expression" priority="36" dxfId="6">
      <formula>LEFT(G90,1)="▲"</formula>
    </cfRule>
    <cfRule type="expression" priority="37" dxfId="7">
      <formula>LEFT(G90,1)="✖"</formula>
    </cfRule>
    <cfRule type="expression" priority="38" dxfId="8">
      <formula>LEFT(G90,1)="○"</formula>
    </cfRule>
    <cfRule type="expression" priority="39" dxfId="8">
      <formula>LEFT(G90,1)="‖"</formula>
    </cfRule>
    <cfRule type="expression" priority="40" dxfId="8">
      <formula>LEFT(G90,1)="–"</formula>
    </cfRule>
  </conditionalFormatting>
  <conditionalFormatting sqref="D90:D93">
    <cfRule type="dataBar" priority="41">
      <dataBar showValue="1">
        <cfvo type="num" val="0"/>
        <cfvo type="num" val="1"/>
        <color rgb="001BAF7A"/>
      </dataBar>
    </cfRule>
  </conditionalFormatting>
  <dataValidations count="4">
    <dataValidation sqref="D18:D42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D48:D62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D67:D74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E79:P83" showDropDown="0" showInputMessage="0" showErrorMessage="1" allowBlank="1" errorTitle="Valor inválido" error="Use um número entre -100000000 e 100000000." type="decimal" operator="between">
      <formula1>-100000000</formula1>
      <formula2>100000000</formula2>
    </dataValidation>
  </dataValidations>
  <hyperlinks>
    <hyperlink ref="U1" location="'Dashboard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B6834"/>
    <outlinePr summaryBelow="1" summaryRight="1"/>
    <pageSetUpPr/>
  </sheetPr>
  <dimension ref="A1:Z376"/>
  <sheetViews>
    <sheetView showGridLines="0" tabSelected="0" zoomScale="10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6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7" customWidth="1" min="9" max="9"/>
    <col width="9" customWidth="1" min="10" max="10"/>
    <col width="9" customWidth="1" min="11" max="11"/>
    <col width="8" customWidth="1" min="12" max="12"/>
    <col width="7" customWidth="1" min="13" max="13"/>
    <col width="10" customWidth="1" min="14" max="14"/>
    <col width="42" customWidth="1" min="15" max="15"/>
    <col width="3" customWidth="1" min="16" max="16"/>
    <col width="11" customWidth="1" min="17" max="17"/>
    <col width="12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  <col width="11" customWidth="1" min="26" max="26"/>
  </cols>
  <sheetData>
    <row r="1" ht="34" customHeight="1">
      <c r="A1" s="162" t="n"/>
      <c r="B1" s="97" t="inlineStr">
        <is>
          <t>Saúde &amp; bem-estar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98" t="inlineStr">
        <is>
          <t>◀ Dashboard</t>
        </is>
      </c>
    </row>
    <row r="2" ht="18" customHeight="1">
      <c r="A2" s="162" t="n"/>
      <c r="B2" s="99" t="inlineStr">
        <is>
          <t>Uma linha por dia (as datas já estão prontas). Leva 1 minuto: sono, humor, energia, treino. Peso pode ser semanal.</t>
        </is>
      </c>
    </row>
    <row r="3" ht="16" customHeight="1">
      <c r="A3" s="162" t="n"/>
      <c r="B3" s="100" t="inlineStr">
        <is>
          <t>Legenda:  branco = você preenche  ·  cinza = automático (não editar)  ·  ✔ ok   ▲ atenção   ✖ crítico   ○ sem dados</t>
        </is>
      </c>
      <c r="O3" s="163" t="str">
        <f>HYPERLINK("#'Saúde'!B"&amp;MAX(11,IdxHoje+10),"→ Ir para a linha de hoje")</f>
        <v>→ Ir para a linha de hoje</v>
      </c>
    </row>
    <row r="4" ht="8" customHeight="1"/>
    <row r="5" ht="16" customHeight="1">
      <c r="B5" s="164" t="inlineStr">
        <is>
          <t>SONO MÉDIO</t>
        </is>
      </c>
      <c r="C5" s="165" t="n"/>
      <c r="D5" s="164" t="inlineStr">
        <is>
          <t>QUALIDADE DO SONO</t>
        </is>
      </c>
      <c r="E5" s="165" t="n"/>
      <c r="F5" s="164" t="inlineStr">
        <is>
          <t>HUMOR MÉDIO</t>
        </is>
      </c>
      <c r="G5" s="165" t="n"/>
      <c r="H5" s="164" t="inlineStr">
        <is>
          <t>TREINOS NO MÊS</t>
        </is>
      </c>
      <c r="I5" s="165" t="n"/>
      <c r="J5" s="164" t="inlineStr">
        <is>
          <t>PASSOS POR DIA</t>
        </is>
      </c>
      <c r="K5" s="165" t="n"/>
      <c r="L5" s="164" t="inlineStr">
        <is>
          <t>PESO ATUAL</t>
        </is>
      </c>
      <c r="M5" s="166" t="n"/>
      <c r="N5" s="165" t="n"/>
      <c r="O5" s="167" t="inlineStr">
        <is>
          <t>DIAS COM REGISTRO NO MÊS</t>
        </is>
      </c>
    </row>
    <row r="6" ht="28" customHeight="1">
      <c r="B6" s="168" t="str">
        <f>IFERROR(AVERAGEIFS($D$11:$D$376,$B$11:$B$376,"&gt;="&amp;RefIni,$B$11:$B$376,"&lt;="&amp;RefFim),"–")</f>
        <v>–</v>
      </c>
      <c r="C6" s="32" t="n"/>
      <c r="D6" s="169" t="str">
        <f>IFERROR(AVERAGEIFS($E$11:$E$376,$B$11:$B$376,"&gt;="&amp;RefIni,$B$11:$B$376,"&lt;="&amp;RefFim),"–")</f>
        <v>–</v>
      </c>
      <c r="E6" s="32" t="n"/>
      <c r="F6" s="169" t="str">
        <f>IFERROR(AVERAGEIFS($F$11:$F$376,$B$11:$B$376,"&gt;="&amp;RefIni,$B$11:$B$376,"&lt;="&amp;RefFim),"–")</f>
        <v>–</v>
      </c>
      <c r="G6" s="32" t="n"/>
      <c r="H6" s="123">
        <f>COUNTIFS($I$11:$I$376,"?*",$B$11:$B$376,"&gt;="&amp;RefIni,$B$11:$B$376,"&lt;="&amp;RefFim)</f>
        <v>0</v>
      </c>
      <c r="I6" s="32" t="n"/>
      <c r="J6" s="170" t="str">
        <f>IFERROR(AVERAGEIFS($K$11:$K$376,$B$11:$B$376,"&gt;="&amp;RefIni,$B$11:$B$376,"&lt;="&amp;RefFim),"–")</f>
        <v>–</v>
      </c>
      <c r="K6" s="32" t="n"/>
      <c r="L6" s="171" t="str">
        <f>IF('Cálculos'!$C$151=0,"–",INDEX($L$11:$L$376,'Cálculos'!$C$151))</f>
        <v>–</v>
      </c>
      <c r="M6" s="31" t="n"/>
      <c r="N6" s="32" t="n"/>
      <c r="O6" s="122">
        <f>SUMPRODUCT(($B$11:$B$376&gt;=RefIni)*($B$11:$B$376&lt;=RefFim)*((($D$11:$D$376&lt;&gt;"")+($F$11:$F$376&lt;&gt;"")+($I$11:$I$376&lt;&gt;""))&gt;0))</f>
        <v>0</v>
      </c>
    </row>
    <row r="7" ht="25" customHeight="1">
      <c r="B7" s="127" t="str">
        <f>IF(ISNUMBER(B6),IF(B6&gt;=MetaSono,"✔ ","▲ ")&amp;"meta "&amp;FIXED(MetaSono,1)&amp;" h","○ Sem registros")</f>
        <v>○ Sem registros</v>
      </c>
      <c r="C7" s="38" t="n"/>
      <c r="D7" s="127" t="str">
        <f>"1 = péssima · 5 = ótima"</f>
        <v>1 = péssima · 5 = ótima</v>
      </c>
      <c r="E7" s="38" t="n"/>
      <c r="F7" s="127" t="str">
        <f>IF(ISNUMBER(F6),IF(F6&gt;=3.5,"✔ ",IF(F6&gt;=2.5,"▲ ","✖ ")),"")&amp;"Energia "&amp;IFERROR(FIXED(AVERAGEIFS($G$11:$G$376,$B$11:$B$376,"&gt;="&amp;RefIni,$B$11:$B$376,"&lt;="&amp;RefFim),1),"–")&amp;" · Estresse "&amp;IFERROR(FIXED(AVERAGEIFS($H$11:$H$376,$B$11:$B$376,"&gt;="&amp;RefIni,$B$11:$B$376,"&lt;="&amp;RefFim),1),"–")</f>
        <v>Energia – · Estresse –</v>
      </c>
      <c r="G7" s="38" t="n"/>
      <c r="H7" s="127" t="str">
        <f>IF(DiasRef=0,"○ Mês ainda não começou",IF(H6&gt;=MetaTreinosSem*DiasRef/7,"✔ ","▲ ")&amp;"meta "&amp;ROUND(MetaTreinosSem*DiasRef/7,0)&amp;" · "&amp;FIXED(SUMIFS($J$11:$J$376,$B$11:$B$376,"&gt;="&amp;RefIni,$B$11:$B$376,"&lt;="&amp;RefFim),0)&amp;" min")</f>
        <v>▲ meta 1 · 0 min</v>
      </c>
      <c r="I7" s="38" t="n"/>
      <c r="J7" s="127" t="str">
        <f>IF(ISNUMBER(J6),IF(J6&gt;=MetaPassos,"✔ ","▲ ")&amp;"meta "&amp;FIXED(MetaPassos,0),"○ Sem registros")</f>
        <v>○ Sem registros</v>
      </c>
      <c r="K7" s="38" t="n"/>
      <c r="L7" s="127" t="str">
        <f>IF('Cálculos'!$C$152=0,"○ Sem pesagens","Início do ano "&amp;FIXED(INDEX($L$11:$L$376,'Cálculos'!$C$152),1)&amp;IF(ISNUMBER(PesoAlvo)," · alvo "&amp;FIXED(PesoAlvo,1),""))</f>
        <v>○ Sem pesagens</v>
      </c>
      <c r="M7" s="37" t="n"/>
      <c r="N7" s="38" t="n"/>
      <c r="O7" s="126" t="str">
        <f>IF(DiasRef=0,"","de "&amp;DiasRef&amp;" dias já decorridos · "&amp;IFERROR(ROUND(O6/DiasRef*100,0),0)&amp;"%")</f>
        <v>de 2 dias já decorridos · 0%</v>
      </c>
    </row>
    <row r="9" ht="22" customHeight="1">
      <c r="Q9" s="172" t="inlineStr">
        <is>
          <t>RESUMO POR MÊS</t>
        </is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</row>
    <row r="10" ht="34" customHeight="1">
      <c r="B10" s="104" t="inlineStr">
        <is>
          <t>Data</t>
        </is>
      </c>
      <c r="C10" s="104" t="inlineStr">
        <is>
          <t>Dia</t>
        </is>
      </c>
      <c r="D10" s="103" t="inlineStr">
        <is>
          <t>Sono (h)</t>
        </is>
      </c>
      <c r="E10" s="103" t="inlineStr">
        <is>
          <t>Qualid. sono (1–5)</t>
        </is>
      </c>
      <c r="F10" s="103" t="inlineStr">
        <is>
          <t>Humor (1–5)</t>
        </is>
      </c>
      <c r="G10" s="103" t="inlineStr">
        <is>
          <t>Energia (1–5)</t>
        </is>
      </c>
      <c r="H10" s="103" t="inlineStr">
        <is>
          <t>Estresse (1–5)</t>
        </is>
      </c>
      <c r="I10" s="103" t="inlineStr">
        <is>
          <t>Treino</t>
        </is>
      </c>
      <c r="J10" s="103" t="inlineStr">
        <is>
          <t>Treino (min)</t>
        </is>
      </c>
      <c r="K10" s="103" t="inlineStr">
        <is>
          <t>Passos</t>
        </is>
      </c>
      <c r="L10" s="103" t="inlineStr">
        <is>
          <t>Peso (kg)</t>
        </is>
      </c>
      <c r="M10" s="103" t="inlineStr">
        <is>
          <t>Água (L)</t>
        </is>
      </c>
      <c r="N10" s="103" t="inlineStr">
        <is>
          <t>Alimentação (1–5)</t>
        </is>
      </c>
      <c r="O10" s="103" t="inlineStr">
        <is>
          <t>Notas · como me senti, o que marcou o dia</t>
        </is>
      </c>
      <c r="Q10" s="104" t="inlineStr">
        <is>
          <t>Mês</t>
        </is>
      </c>
      <c r="R10" s="104" t="inlineStr">
        <is>
          <t>Sono (h)</t>
        </is>
      </c>
      <c r="S10" s="104" t="inlineStr">
        <is>
          <t>Humor</t>
        </is>
      </c>
      <c r="T10" s="104" t="inlineStr">
        <is>
          <t>Energia</t>
        </is>
      </c>
      <c r="U10" s="104" t="inlineStr">
        <is>
          <t>Estresse</t>
        </is>
      </c>
      <c r="V10" s="104" t="inlineStr">
        <is>
          <t>Treinos</t>
        </is>
      </c>
      <c r="W10" s="104" t="inlineStr">
        <is>
          <t>Min. treino</t>
        </is>
      </c>
      <c r="X10" s="104" t="inlineStr">
        <is>
          <t>Passos/dia</t>
        </is>
      </c>
      <c r="Y10" s="104" t="inlineStr">
        <is>
          <t>Peso (kg)</t>
        </is>
      </c>
      <c r="Z10" s="104" t="inlineStr">
        <is>
          <t>Dias c/ registro</t>
        </is>
      </c>
    </row>
    <row r="11">
      <c r="B11" s="137">
        <f>DATE(Ano,1,1)</f>
        <v>46023.0</v>
      </c>
      <c r="C11" s="128" t="str">
        <f>IF(B11="","",CHOOSE(WEEKDAY(B11),"Dom","Seg","Ter","Qua","Qui","Sex","Sáb"))</f>
        <v>Qui</v>
      </c>
      <c r="D11" s="174" t="n"/>
      <c r="E11" s="106" t="n"/>
      <c r="F11" s="106" t="n"/>
      <c r="G11" s="106" t="n"/>
      <c r="H11" s="106" t="n"/>
      <c r="I11" s="129" t="n"/>
      <c r="J11" s="106" t="n"/>
      <c r="K11" s="175" t="n"/>
      <c r="L11" s="174" t="n"/>
      <c r="M11" s="174" t="n"/>
      <c r="N11" s="106" t="n"/>
      <c r="O11" s="129" t="n"/>
      <c r="Q11" s="176" t="inlineStr">
        <is>
          <t>Jan</t>
        </is>
      </c>
      <c r="R11" s="176" t="str">
        <f>IFERROR(AVERAGEIFS($D$11:$D$376,$B$11:$B$376,"&gt;="&amp;DATE(Ano,1,1),$B$11:$B$376,"&lt;="&amp;DATE(Ano,1+1,0)),"")</f>
        <v/>
      </c>
      <c r="S11" s="176" t="str">
        <f>IFERROR(AVERAGEIFS($F$11:$F$376,$B$11:$B$376,"&gt;="&amp;DATE(Ano,1,1),$B$11:$B$376,"&lt;="&amp;DATE(Ano,1+1,0)),"")</f>
        <v/>
      </c>
      <c r="T11" s="176" t="str">
        <f>IFERROR(AVERAGEIFS($G$11:$G$376,$B$11:$B$376,"&gt;="&amp;DATE(Ano,1,1),$B$11:$B$376,"&lt;="&amp;DATE(Ano,1+1,0)),"")</f>
        <v/>
      </c>
      <c r="U11" s="176" t="str">
        <f>IFERROR(AVERAGEIFS($H$11:$H$376,$B$11:$B$376,"&gt;="&amp;DATE(Ano,1,1),$B$11:$B$376,"&lt;="&amp;DATE(Ano,1+1,0)),"")</f>
        <v/>
      </c>
      <c r="V11" s="136">
        <f>COUNTIFS($I$11:$I$376,"?*",$B$11:$B$376,"&gt;="&amp;DATE(Ano,1,1),$B$11:$B$376,"&lt;="&amp;DATE(Ano,1+1,0))</f>
        <v>0</v>
      </c>
      <c r="W11" s="136">
        <f>SUMIFS($J$11:$J$376,$B$11:$B$376,"&gt;="&amp;DATE(Ano,1,1),$B$11:$B$376,"&lt;="&amp;DATE(Ano,1+1,0))</f>
        <v>0</v>
      </c>
      <c r="X11" s="177" t="str">
        <f>IFERROR(AVERAGEIFS($K$11:$K$376,$B$11:$B$376,"&gt;="&amp;DATE(Ano,1,1),$B$11:$B$376,"&lt;="&amp;DATE(Ano,1+1,0)),"")</f>
        <v/>
      </c>
      <c r="Y11" s="176" t="str">
        <f>IFERROR(AVERAGEIFS($L$11:$L$376,$B$11:$B$376,"&gt;="&amp;DATE(Ano,1,1),$B$11:$B$376,"&lt;="&amp;DATE(Ano,1+1,0)),"")</f>
        <v/>
      </c>
      <c r="Z11" s="136">
        <f>SUMPRODUCT(($B$11:$B$376&gt;=DATE(Ano,1,1))*($B$11:$B$376&lt;=DATE(Ano,1+1,0))*((($D$11:$D$376&lt;&gt;"")+($F$11:$F$376&lt;&gt;"")+($I$11:$I$376&lt;&gt;""))&gt;0))</f>
        <v>0</v>
      </c>
    </row>
    <row r="12">
      <c r="B12" s="137">
        <f>IF(B11="","",IF(YEAR(B11+1)=Ano,B11+1,""))</f>
        <v>46024.0</v>
      </c>
      <c r="C12" s="128" t="str">
        <f>IF(B12="","",CHOOSE(WEEKDAY(B12),"Dom","Seg","Ter","Qua","Qui","Sex","Sáb"))</f>
        <v>Sex</v>
      </c>
      <c r="D12" s="174" t="n"/>
      <c r="E12" s="106" t="n"/>
      <c r="F12" s="106" t="n"/>
      <c r="G12" s="106" t="n"/>
      <c r="H12" s="106" t="n"/>
      <c r="I12" s="129" t="n"/>
      <c r="J12" s="106" t="n"/>
      <c r="K12" s="175" t="n"/>
      <c r="L12" s="174" t="n"/>
      <c r="M12" s="174" t="n"/>
      <c r="N12" s="106" t="n"/>
      <c r="O12" s="129" t="n"/>
      <c r="Q12" s="176" t="inlineStr">
        <is>
          <t>Fev</t>
        </is>
      </c>
      <c r="R12" s="176" t="str">
        <f>IFERROR(AVERAGEIFS($D$11:$D$376,$B$11:$B$376,"&gt;="&amp;DATE(Ano,2,1),$B$11:$B$376,"&lt;="&amp;DATE(Ano,2+1,0)),"")</f>
        <v/>
      </c>
      <c r="S12" s="176" t="str">
        <f>IFERROR(AVERAGEIFS($F$11:$F$376,$B$11:$B$376,"&gt;="&amp;DATE(Ano,2,1),$B$11:$B$376,"&lt;="&amp;DATE(Ano,2+1,0)),"")</f>
        <v/>
      </c>
      <c r="T12" s="176" t="str">
        <f>IFERROR(AVERAGEIFS($G$11:$G$376,$B$11:$B$376,"&gt;="&amp;DATE(Ano,2,1),$B$11:$B$376,"&lt;="&amp;DATE(Ano,2+1,0)),"")</f>
        <v/>
      </c>
      <c r="U12" s="176" t="str">
        <f>IFERROR(AVERAGEIFS($H$11:$H$376,$B$11:$B$376,"&gt;="&amp;DATE(Ano,2,1),$B$11:$B$376,"&lt;="&amp;DATE(Ano,2+1,0)),"")</f>
        <v/>
      </c>
      <c r="V12" s="136">
        <f>COUNTIFS($I$11:$I$376,"?*",$B$11:$B$376,"&gt;="&amp;DATE(Ano,2,1),$B$11:$B$376,"&lt;="&amp;DATE(Ano,2+1,0))</f>
        <v>0</v>
      </c>
      <c r="W12" s="136">
        <f>SUMIFS($J$11:$J$376,$B$11:$B$376,"&gt;="&amp;DATE(Ano,2,1),$B$11:$B$376,"&lt;="&amp;DATE(Ano,2+1,0))</f>
        <v>0</v>
      </c>
      <c r="X12" s="177" t="str">
        <f>IFERROR(AVERAGEIFS($K$11:$K$376,$B$11:$B$376,"&gt;="&amp;DATE(Ano,2,1),$B$11:$B$376,"&lt;="&amp;DATE(Ano,2+1,0)),"")</f>
        <v/>
      </c>
      <c r="Y12" s="176" t="str">
        <f>IFERROR(AVERAGEIFS($L$11:$L$376,$B$11:$B$376,"&gt;="&amp;DATE(Ano,2,1),$B$11:$B$376,"&lt;="&amp;DATE(Ano,2+1,0)),"")</f>
        <v/>
      </c>
      <c r="Z12" s="136">
        <f>SUMPRODUCT(($B$11:$B$376&gt;=DATE(Ano,2,1))*($B$11:$B$376&lt;=DATE(Ano,2+1,0))*((($D$11:$D$376&lt;&gt;"")+($F$11:$F$376&lt;&gt;"")+($I$11:$I$376&lt;&gt;""))&gt;0))</f>
        <v>0</v>
      </c>
    </row>
    <row r="13">
      <c r="B13" s="137">
        <f>IF(B12="","",IF(YEAR(B12+1)=Ano,B12+1,""))</f>
        <v>46025.0</v>
      </c>
      <c r="C13" s="128" t="str">
        <f>IF(B13="","",CHOOSE(WEEKDAY(B13),"Dom","Seg","Ter","Qua","Qui","Sex","Sáb"))</f>
        <v>Sáb</v>
      </c>
      <c r="D13" s="174" t="n"/>
      <c r="E13" s="106" t="n"/>
      <c r="F13" s="106" t="n"/>
      <c r="G13" s="106" t="n"/>
      <c r="H13" s="106" t="n"/>
      <c r="I13" s="129" t="n"/>
      <c r="J13" s="106" t="n"/>
      <c r="K13" s="175" t="n"/>
      <c r="L13" s="174" t="n"/>
      <c r="M13" s="174" t="n"/>
      <c r="N13" s="106" t="n"/>
      <c r="O13" s="129" t="n"/>
      <c r="Q13" s="176" t="inlineStr">
        <is>
          <t>Mar</t>
        </is>
      </c>
      <c r="R13" s="176" t="str">
        <f>IFERROR(AVERAGEIFS($D$11:$D$376,$B$11:$B$376,"&gt;="&amp;DATE(Ano,3,1),$B$11:$B$376,"&lt;="&amp;DATE(Ano,3+1,0)),"")</f>
        <v/>
      </c>
      <c r="S13" s="176" t="str">
        <f>IFERROR(AVERAGEIFS($F$11:$F$376,$B$11:$B$376,"&gt;="&amp;DATE(Ano,3,1),$B$11:$B$376,"&lt;="&amp;DATE(Ano,3+1,0)),"")</f>
        <v/>
      </c>
      <c r="T13" s="176" t="str">
        <f>IFERROR(AVERAGEIFS($G$11:$G$376,$B$11:$B$376,"&gt;="&amp;DATE(Ano,3,1),$B$11:$B$376,"&lt;="&amp;DATE(Ano,3+1,0)),"")</f>
        <v/>
      </c>
      <c r="U13" s="176" t="str">
        <f>IFERROR(AVERAGEIFS($H$11:$H$376,$B$11:$B$376,"&gt;="&amp;DATE(Ano,3,1),$B$11:$B$376,"&lt;="&amp;DATE(Ano,3+1,0)),"")</f>
        <v/>
      </c>
      <c r="V13" s="136">
        <f>COUNTIFS($I$11:$I$376,"?*",$B$11:$B$376,"&gt;="&amp;DATE(Ano,3,1),$B$11:$B$376,"&lt;="&amp;DATE(Ano,3+1,0))</f>
        <v>0</v>
      </c>
      <c r="W13" s="136">
        <f>SUMIFS($J$11:$J$376,$B$11:$B$376,"&gt;="&amp;DATE(Ano,3,1),$B$11:$B$376,"&lt;="&amp;DATE(Ano,3+1,0))</f>
        <v>0</v>
      </c>
      <c r="X13" s="177" t="str">
        <f>IFERROR(AVERAGEIFS($K$11:$K$376,$B$11:$B$376,"&gt;="&amp;DATE(Ano,3,1),$B$11:$B$376,"&lt;="&amp;DATE(Ano,3+1,0)),"")</f>
        <v/>
      </c>
      <c r="Y13" s="176" t="str">
        <f>IFERROR(AVERAGEIFS($L$11:$L$376,$B$11:$B$376,"&gt;="&amp;DATE(Ano,3,1),$B$11:$B$376,"&lt;="&amp;DATE(Ano,3+1,0)),"")</f>
        <v/>
      </c>
      <c r="Z13" s="136">
        <f>SUMPRODUCT(($B$11:$B$376&gt;=DATE(Ano,3,1))*($B$11:$B$376&lt;=DATE(Ano,3+1,0))*((($D$11:$D$376&lt;&gt;"")+($F$11:$F$376&lt;&gt;"")+($I$11:$I$376&lt;&gt;""))&gt;0))</f>
        <v>0</v>
      </c>
    </row>
    <row r="14">
      <c r="B14" s="137">
        <f>IF(B13="","",IF(YEAR(B13+1)=Ano,B13+1,""))</f>
        <v>46026.0</v>
      </c>
      <c r="C14" s="128" t="str">
        <f>IF(B14="","",CHOOSE(WEEKDAY(B14),"Dom","Seg","Ter","Qua","Qui","Sex","Sáb"))</f>
        <v>Dom</v>
      </c>
      <c r="D14" s="174" t="n"/>
      <c r="E14" s="106" t="n"/>
      <c r="F14" s="106" t="n"/>
      <c r="G14" s="106" t="n"/>
      <c r="H14" s="106" t="n"/>
      <c r="I14" s="129" t="n"/>
      <c r="J14" s="106" t="n"/>
      <c r="K14" s="175" t="n"/>
      <c r="L14" s="174" t="n"/>
      <c r="M14" s="174" t="n"/>
      <c r="N14" s="106" t="n"/>
      <c r="O14" s="129" t="n"/>
      <c r="Q14" s="176" t="inlineStr">
        <is>
          <t>Abr</t>
        </is>
      </c>
      <c r="R14" s="176" t="str">
        <f>IFERROR(AVERAGEIFS($D$11:$D$376,$B$11:$B$376,"&gt;="&amp;DATE(Ano,4,1),$B$11:$B$376,"&lt;="&amp;DATE(Ano,4+1,0)),"")</f>
        <v/>
      </c>
      <c r="S14" s="176" t="str">
        <f>IFERROR(AVERAGEIFS($F$11:$F$376,$B$11:$B$376,"&gt;="&amp;DATE(Ano,4,1),$B$11:$B$376,"&lt;="&amp;DATE(Ano,4+1,0)),"")</f>
        <v/>
      </c>
      <c r="T14" s="176" t="str">
        <f>IFERROR(AVERAGEIFS($G$11:$G$376,$B$11:$B$376,"&gt;="&amp;DATE(Ano,4,1),$B$11:$B$376,"&lt;="&amp;DATE(Ano,4+1,0)),"")</f>
        <v/>
      </c>
      <c r="U14" s="176" t="str">
        <f>IFERROR(AVERAGEIFS($H$11:$H$376,$B$11:$B$376,"&gt;="&amp;DATE(Ano,4,1),$B$11:$B$376,"&lt;="&amp;DATE(Ano,4+1,0)),"")</f>
        <v/>
      </c>
      <c r="V14" s="136">
        <f>COUNTIFS($I$11:$I$376,"?*",$B$11:$B$376,"&gt;="&amp;DATE(Ano,4,1),$B$11:$B$376,"&lt;="&amp;DATE(Ano,4+1,0))</f>
        <v>0</v>
      </c>
      <c r="W14" s="136">
        <f>SUMIFS($J$11:$J$376,$B$11:$B$376,"&gt;="&amp;DATE(Ano,4,1),$B$11:$B$376,"&lt;="&amp;DATE(Ano,4+1,0))</f>
        <v>0</v>
      </c>
      <c r="X14" s="177" t="str">
        <f>IFERROR(AVERAGEIFS($K$11:$K$376,$B$11:$B$376,"&gt;="&amp;DATE(Ano,4,1),$B$11:$B$376,"&lt;="&amp;DATE(Ano,4+1,0)),"")</f>
        <v/>
      </c>
      <c r="Y14" s="176" t="str">
        <f>IFERROR(AVERAGEIFS($L$11:$L$376,$B$11:$B$376,"&gt;="&amp;DATE(Ano,4,1),$B$11:$B$376,"&lt;="&amp;DATE(Ano,4+1,0)),"")</f>
        <v/>
      </c>
      <c r="Z14" s="136">
        <f>SUMPRODUCT(($B$11:$B$376&gt;=DATE(Ano,4,1))*($B$11:$B$376&lt;=DATE(Ano,4+1,0))*((($D$11:$D$376&lt;&gt;"")+($F$11:$F$376&lt;&gt;"")+($I$11:$I$376&lt;&gt;""))&gt;0))</f>
        <v>0</v>
      </c>
    </row>
    <row r="15">
      <c r="B15" s="137">
        <f>IF(B14="","",IF(YEAR(B14+1)=Ano,B14+1,""))</f>
        <v>46027.0</v>
      </c>
      <c r="C15" s="128" t="str">
        <f>IF(B15="","",CHOOSE(WEEKDAY(B15),"Dom","Seg","Ter","Qua","Qui","Sex","Sáb"))</f>
        <v>Seg</v>
      </c>
      <c r="D15" s="174" t="n"/>
      <c r="E15" s="106" t="n"/>
      <c r="F15" s="106" t="n"/>
      <c r="G15" s="106" t="n"/>
      <c r="H15" s="106" t="n"/>
      <c r="I15" s="129" t="n"/>
      <c r="J15" s="106" t="n"/>
      <c r="K15" s="175" t="n"/>
      <c r="L15" s="174" t="n"/>
      <c r="M15" s="174" t="n"/>
      <c r="N15" s="106" t="n"/>
      <c r="O15" s="129" t="n"/>
      <c r="Q15" s="176" t="inlineStr">
        <is>
          <t>Mai</t>
        </is>
      </c>
      <c r="R15" s="176" t="str">
        <f>IFERROR(AVERAGEIFS($D$11:$D$376,$B$11:$B$376,"&gt;="&amp;DATE(Ano,5,1),$B$11:$B$376,"&lt;="&amp;DATE(Ano,5+1,0)),"")</f>
        <v/>
      </c>
      <c r="S15" s="176" t="str">
        <f>IFERROR(AVERAGEIFS($F$11:$F$376,$B$11:$B$376,"&gt;="&amp;DATE(Ano,5,1),$B$11:$B$376,"&lt;="&amp;DATE(Ano,5+1,0)),"")</f>
        <v/>
      </c>
      <c r="T15" s="176" t="str">
        <f>IFERROR(AVERAGEIFS($G$11:$G$376,$B$11:$B$376,"&gt;="&amp;DATE(Ano,5,1),$B$11:$B$376,"&lt;="&amp;DATE(Ano,5+1,0)),"")</f>
        <v/>
      </c>
      <c r="U15" s="176" t="str">
        <f>IFERROR(AVERAGEIFS($H$11:$H$376,$B$11:$B$376,"&gt;="&amp;DATE(Ano,5,1),$B$11:$B$376,"&lt;="&amp;DATE(Ano,5+1,0)),"")</f>
        <v/>
      </c>
      <c r="V15" s="136">
        <f>COUNTIFS($I$11:$I$376,"?*",$B$11:$B$376,"&gt;="&amp;DATE(Ano,5,1),$B$11:$B$376,"&lt;="&amp;DATE(Ano,5+1,0))</f>
        <v>0</v>
      </c>
      <c r="W15" s="136">
        <f>SUMIFS($J$11:$J$376,$B$11:$B$376,"&gt;="&amp;DATE(Ano,5,1),$B$11:$B$376,"&lt;="&amp;DATE(Ano,5+1,0))</f>
        <v>0</v>
      </c>
      <c r="X15" s="177" t="str">
        <f>IFERROR(AVERAGEIFS($K$11:$K$376,$B$11:$B$376,"&gt;="&amp;DATE(Ano,5,1),$B$11:$B$376,"&lt;="&amp;DATE(Ano,5+1,0)),"")</f>
        <v/>
      </c>
      <c r="Y15" s="176" t="str">
        <f>IFERROR(AVERAGEIFS($L$11:$L$376,$B$11:$B$376,"&gt;="&amp;DATE(Ano,5,1),$B$11:$B$376,"&lt;="&amp;DATE(Ano,5+1,0)),"")</f>
        <v/>
      </c>
      <c r="Z15" s="136">
        <f>SUMPRODUCT(($B$11:$B$376&gt;=DATE(Ano,5,1))*($B$11:$B$376&lt;=DATE(Ano,5+1,0))*((($D$11:$D$376&lt;&gt;"")+($F$11:$F$376&lt;&gt;"")+($I$11:$I$376&lt;&gt;""))&gt;0))</f>
        <v>0</v>
      </c>
    </row>
    <row r="16">
      <c r="B16" s="137">
        <f>IF(B15="","",IF(YEAR(B15+1)=Ano,B15+1,""))</f>
        <v>46028.0</v>
      </c>
      <c r="C16" s="128" t="str">
        <f>IF(B16="","",CHOOSE(WEEKDAY(B16),"Dom","Seg","Ter","Qua","Qui","Sex","Sáb"))</f>
        <v>Ter</v>
      </c>
      <c r="D16" s="174" t="n"/>
      <c r="E16" s="106" t="n"/>
      <c r="F16" s="106" t="n"/>
      <c r="G16" s="106" t="n"/>
      <c r="H16" s="106" t="n"/>
      <c r="I16" s="129" t="n"/>
      <c r="J16" s="106" t="n"/>
      <c r="K16" s="175" t="n"/>
      <c r="L16" s="174" t="n"/>
      <c r="M16" s="174" t="n"/>
      <c r="N16" s="106" t="n"/>
      <c r="O16" s="129" t="n"/>
      <c r="Q16" s="176" t="inlineStr">
        <is>
          <t>Jun</t>
        </is>
      </c>
      <c r="R16" s="176" t="str">
        <f>IFERROR(AVERAGEIFS($D$11:$D$376,$B$11:$B$376,"&gt;="&amp;DATE(Ano,6,1),$B$11:$B$376,"&lt;="&amp;DATE(Ano,6+1,0)),"")</f>
        <v/>
      </c>
      <c r="S16" s="176" t="str">
        <f>IFERROR(AVERAGEIFS($F$11:$F$376,$B$11:$B$376,"&gt;="&amp;DATE(Ano,6,1),$B$11:$B$376,"&lt;="&amp;DATE(Ano,6+1,0)),"")</f>
        <v/>
      </c>
      <c r="T16" s="176" t="str">
        <f>IFERROR(AVERAGEIFS($G$11:$G$376,$B$11:$B$376,"&gt;="&amp;DATE(Ano,6,1),$B$11:$B$376,"&lt;="&amp;DATE(Ano,6+1,0)),"")</f>
        <v/>
      </c>
      <c r="U16" s="176" t="str">
        <f>IFERROR(AVERAGEIFS($H$11:$H$376,$B$11:$B$376,"&gt;="&amp;DATE(Ano,6,1),$B$11:$B$376,"&lt;="&amp;DATE(Ano,6+1,0)),"")</f>
        <v/>
      </c>
      <c r="V16" s="136">
        <f>COUNTIFS($I$11:$I$376,"?*",$B$11:$B$376,"&gt;="&amp;DATE(Ano,6,1),$B$11:$B$376,"&lt;="&amp;DATE(Ano,6+1,0))</f>
        <v>0</v>
      </c>
      <c r="W16" s="136">
        <f>SUMIFS($J$11:$J$376,$B$11:$B$376,"&gt;="&amp;DATE(Ano,6,1),$B$11:$B$376,"&lt;="&amp;DATE(Ano,6+1,0))</f>
        <v>0</v>
      </c>
      <c r="X16" s="177" t="str">
        <f>IFERROR(AVERAGEIFS($K$11:$K$376,$B$11:$B$376,"&gt;="&amp;DATE(Ano,6,1),$B$11:$B$376,"&lt;="&amp;DATE(Ano,6+1,0)),"")</f>
        <v/>
      </c>
      <c r="Y16" s="176" t="str">
        <f>IFERROR(AVERAGEIFS($L$11:$L$376,$B$11:$B$376,"&gt;="&amp;DATE(Ano,6,1),$B$11:$B$376,"&lt;="&amp;DATE(Ano,6+1,0)),"")</f>
        <v/>
      </c>
      <c r="Z16" s="136">
        <f>SUMPRODUCT(($B$11:$B$376&gt;=DATE(Ano,6,1))*($B$11:$B$376&lt;=DATE(Ano,6+1,0))*((($D$11:$D$376&lt;&gt;"")+($F$11:$F$376&lt;&gt;"")+($I$11:$I$376&lt;&gt;""))&gt;0))</f>
        <v>0</v>
      </c>
    </row>
    <row r="17">
      <c r="B17" s="137">
        <f>IF(B16="","",IF(YEAR(B16+1)=Ano,B16+1,""))</f>
        <v>46029.0</v>
      </c>
      <c r="C17" s="128" t="str">
        <f>IF(B17="","",CHOOSE(WEEKDAY(B17),"Dom","Seg","Ter","Qua","Qui","Sex","Sáb"))</f>
        <v>Qua</v>
      </c>
      <c r="D17" s="174" t="n"/>
      <c r="E17" s="106" t="n"/>
      <c r="F17" s="106" t="n"/>
      <c r="G17" s="106" t="n"/>
      <c r="H17" s="106" t="n"/>
      <c r="I17" s="129" t="n"/>
      <c r="J17" s="106" t="n"/>
      <c r="K17" s="175" t="n"/>
      <c r="L17" s="174" t="n"/>
      <c r="M17" s="174" t="n"/>
      <c r="N17" s="106" t="n"/>
      <c r="O17" s="129" t="n"/>
      <c r="Q17" s="176" t="inlineStr">
        <is>
          <t>Jul</t>
        </is>
      </c>
      <c r="R17" s="176" t="str">
        <f>IFERROR(AVERAGEIFS($D$11:$D$376,$B$11:$B$376,"&gt;="&amp;DATE(Ano,7,1),$B$11:$B$376,"&lt;="&amp;DATE(Ano,7+1,0)),"")</f>
        <v/>
      </c>
      <c r="S17" s="176" t="str">
        <f>IFERROR(AVERAGEIFS($F$11:$F$376,$B$11:$B$376,"&gt;="&amp;DATE(Ano,7,1),$B$11:$B$376,"&lt;="&amp;DATE(Ano,7+1,0)),"")</f>
        <v/>
      </c>
      <c r="T17" s="176" t="str">
        <f>IFERROR(AVERAGEIFS($G$11:$G$376,$B$11:$B$376,"&gt;="&amp;DATE(Ano,7,1),$B$11:$B$376,"&lt;="&amp;DATE(Ano,7+1,0)),"")</f>
        <v/>
      </c>
      <c r="U17" s="176" t="str">
        <f>IFERROR(AVERAGEIFS($H$11:$H$376,$B$11:$B$376,"&gt;="&amp;DATE(Ano,7,1),$B$11:$B$376,"&lt;="&amp;DATE(Ano,7+1,0)),"")</f>
        <v/>
      </c>
      <c r="V17" s="136">
        <f>COUNTIFS($I$11:$I$376,"?*",$B$11:$B$376,"&gt;="&amp;DATE(Ano,7,1),$B$11:$B$376,"&lt;="&amp;DATE(Ano,7+1,0))</f>
        <v>0</v>
      </c>
      <c r="W17" s="136">
        <f>SUMIFS($J$11:$J$376,$B$11:$B$376,"&gt;="&amp;DATE(Ano,7,1),$B$11:$B$376,"&lt;="&amp;DATE(Ano,7+1,0))</f>
        <v>0</v>
      </c>
      <c r="X17" s="177" t="str">
        <f>IFERROR(AVERAGEIFS($K$11:$K$376,$B$11:$B$376,"&gt;="&amp;DATE(Ano,7,1),$B$11:$B$376,"&lt;="&amp;DATE(Ano,7+1,0)),"")</f>
        <v/>
      </c>
      <c r="Y17" s="176" t="str">
        <f>IFERROR(AVERAGEIFS($L$11:$L$376,$B$11:$B$376,"&gt;="&amp;DATE(Ano,7,1),$B$11:$B$376,"&lt;="&amp;DATE(Ano,7+1,0)),"")</f>
        <v/>
      </c>
      <c r="Z17" s="136">
        <f>SUMPRODUCT(($B$11:$B$376&gt;=DATE(Ano,7,1))*($B$11:$B$376&lt;=DATE(Ano,7+1,0))*((($D$11:$D$376&lt;&gt;"")+($F$11:$F$376&lt;&gt;"")+($I$11:$I$376&lt;&gt;""))&gt;0))</f>
        <v>0</v>
      </c>
    </row>
    <row r="18">
      <c r="B18" s="137">
        <f>IF(B17="","",IF(YEAR(B17+1)=Ano,B17+1,""))</f>
        <v>46030.0</v>
      </c>
      <c r="C18" s="128" t="str">
        <f>IF(B18="","",CHOOSE(WEEKDAY(B18),"Dom","Seg","Ter","Qua","Qui","Sex","Sáb"))</f>
        <v>Qui</v>
      </c>
      <c r="D18" s="174" t="n"/>
      <c r="E18" s="106" t="n"/>
      <c r="F18" s="106" t="n"/>
      <c r="G18" s="106" t="n"/>
      <c r="H18" s="106" t="n"/>
      <c r="I18" s="129" t="n"/>
      <c r="J18" s="106" t="n"/>
      <c r="K18" s="175" t="n"/>
      <c r="L18" s="174" t="n"/>
      <c r="M18" s="174" t="n"/>
      <c r="N18" s="106" t="n"/>
      <c r="O18" s="129" t="n"/>
      <c r="Q18" s="176" t="inlineStr">
        <is>
          <t>Ago</t>
        </is>
      </c>
      <c r="R18" s="176" t="str">
        <f>IFERROR(AVERAGEIFS($D$11:$D$376,$B$11:$B$376,"&gt;="&amp;DATE(Ano,8,1),$B$11:$B$376,"&lt;="&amp;DATE(Ano,8+1,0)),"")</f>
        <v/>
      </c>
      <c r="S18" s="176" t="str">
        <f>IFERROR(AVERAGEIFS($F$11:$F$376,$B$11:$B$376,"&gt;="&amp;DATE(Ano,8,1),$B$11:$B$376,"&lt;="&amp;DATE(Ano,8+1,0)),"")</f>
        <v/>
      </c>
      <c r="T18" s="176" t="str">
        <f>IFERROR(AVERAGEIFS($G$11:$G$376,$B$11:$B$376,"&gt;="&amp;DATE(Ano,8,1),$B$11:$B$376,"&lt;="&amp;DATE(Ano,8+1,0)),"")</f>
        <v/>
      </c>
      <c r="U18" s="176" t="str">
        <f>IFERROR(AVERAGEIFS($H$11:$H$376,$B$11:$B$376,"&gt;="&amp;DATE(Ano,8,1),$B$11:$B$376,"&lt;="&amp;DATE(Ano,8+1,0)),"")</f>
        <v/>
      </c>
      <c r="V18" s="136">
        <f>COUNTIFS($I$11:$I$376,"?*",$B$11:$B$376,"&gt;="&amp;DATE(Ano,8,1),$B$11:$B$376,"&lt;="&amp;DATE(Ano,8+1,0))</f>
        <v>0</v>
      </c>
      <c r="W18" s="136">
        <f>SUMIFS($J$11:$J$376,$B$11:$B$376,"&gt;="&amp;DATE(Ano,8,1),$B$11:$B$376,"&lt;="&amp;DATE(Ano,8+1,0))</f>
        <v>0</v>
      </c>
      <c r="X18" s="177" t="str">
        <f>IFERROR(AVERAGEIFS($K$11:$K$376,$B$11:$B$376,"&gt;="&amp;DATE(Ano,8,1),$B$11:$B$376,"&lt;="&amp;DATE(Ano,8+1,0)),"")</f>
        <v/>
      </c>
      <c r="Y18" s="176" t="str">
        <f>IFERROR(AVERAGEIFS($L$11:$L$376,$B$11:$B$376,"&gt;="&amp;DATE(Ano,8,1),$B$11:$B$376,"&lt;="&amp;DATE(Ano,8+1,0)),"")</f>
        <v/>
      </c>
      <c r="Z18" s="136">
        <f>SUMPRODUCT(($B$11:$B$376&gt;=DATE(Ano,8,1))*($B$11:$B$376&lt;=DATE(Ano,8+1,0))*((($D$11:$D$376&lt;&gt;"")+($F$11:$F$376&lt;&gt;"")+($I$11:$I$376&lt;&gt;""))&gt;0))</f>
        <v>0</v>
      </c>
    </row>
    <row r="19">
      <c r="B19" s="137">
        <f>IF(B18="","",IF(YEAR(B18+1)=Ano,B18+1,""))</f>
        <v>46031.0</v>
      </c>
      <c r="C19" s="128" t="str">
        <f>IF(B19="","",CHOOSE(WEEKDAY(B19),"Dom","Seg","Ter","Qua","Qui","Sex","Sáb"))</f>
        <v>Sex</v>
      </c>
      <c r="D19" s="174" t="n"/>
      <c r="E19" s="106" t="n"/>
      <c r="F19" s="106" t="n"/>
      <c r="G19" s="106" t="n"/>
      <c r="H19" s="106" t="n"/>
      <c r="I19" s="129" t="n"/>
      <c r="J19" s="106" t="n"/>
      <c r="K19" s="175" t="n"/>
      <c r="L19" s="174" t="n"/>
      <c r="M19" s="174" t="n"/>
      <c r="N19" s="106" t="n"/>
      <c r="O19" s="129" t="n"/>
      <c r="Q19" s="176" t="inlineStr">
        <is>
          <t>Set</t>
        </is>
      </c>
      <c r="R19" s="176" t="str">
        <f>IFERROR(AVERAGEIFS($D$11:$D$376,$B$11:$B$376,"&gt;="&amp;DATE(Ano,9,1),$B$11:$B$376,"&lt;="&amp;DATE(Ano,9+1,0)),"")</f>
        <v/>
      </c>
      <c r="S19" s="176" t="str">
        <f>IFERROR(AVERAGEIFS($F$11:$F$376,$B$11:$B$376,"&gt;="&amp;DATE(Ano,9,1),$B$11:$B$376,"&lt;="&amp;DATE(Ano,9+1,0)),"")</f>
        <v/>
      </c>
      <c r="T19" s="176" t="str">
        <f>IFERROR(AVERAGEIFS($G$11:$G$376,$B$11:$B$376,"&gt;="&amp;DATE(Ano,9,1),$B$11:$B$376,"&lt;="&amp;DATE(Ano,9+1,0)),"")</f>
        <v/>
      </c>
      <c r="U19" s="176" t="str">
        <f>IFERROR(AVERAGEIFS($H$11:$H$376,$B$11:$B$376,"&gt;="&amp;DATE(Ano,9,1),$B$11:$B$376,"&lt;="&amp;DATE(Ano,9+1,0)),"")</f>
        <v/>
      </c>
      <c r="V19" s="136">
        <f>COUNTIFS($I$11:$I$376,"?*",$B$11:$B$376,"&gt;="&amp;DATE(Ano,9,1),$B$11:$B$376,"&lt;="&amp;DATE(Ano,9+1,0))</f>
        <v>0</v>
      </c>
      <c r="W19" s="136">
        <f>SUMIFS($J$11:$J$376,$B$11:$B$376,"&gt;="&amp;DATE(Ano,9,1),$B$11:$B$376,"&lt;="&amp;DATE(Ano,9+1,0))</f>
        <v>0</v>
      </c>
      <c r="X19" s="177" t="str">
        <f>IFERROR(AVERAGEIFS($K$11:$K$376,$B$11:$B$376,"&gt;="&amp;DATE(Ano,9,1),$B$11:$B$376,"&lt;="&amp;DATE(Ano,9+1,0)),"")</f>
        <v/>
      </c>
      <c r="Y19" s="176" t="str">
        <f>IFERROR(AVERAGEIFS($L$11:$L$376,$B$11:$B$376,"&gt;="&amp;DATE(Ano,9,1),$B$11:$B$376,"&lt;="&amp;DATE(Ano,9+1,0)),"")</f>
        <v/>
      </c>
      <c r="Z19" s="136">
        <f>SUMPRODUCT(($B$11:$B$376&gt;=DATE(Ano,9,1))*($B$11:$B$376&lt;=DATE(Ano,9+1,0))*((($D$11:$D$376&lt;&gt;"")+($F$11:$F$376&lt;&gt;"")+($I$11:$I$376&lt;&gt;""))&gt;0))</f>
        <v>0</v>
      </c>
    </row>
    <row r="20">
      <c r="B20" s="137">
        <f>IF(B19="","",IF(YEAR(B19+1)=Ano,B19+1,""))</f>
        <v>46032.0</v>
      </c>
      <c r="C20" s="128" t="str">
        <f>IF(B20="","",CHOOSE(WEEKDAY(B20),"Dom","Seg","Ter","Qua","Qui","Sex","Sáb"))</f>
        <v>Sáb</v>
      </c>
      <c r="D20" s="174" t="n"/>
      <c r="E20" s="106" t="n"/>
      <c r="F20" s="106" t="n"/>
      <c r="G20" s="106" t="n"/>
      <c r="H20" s="106" t="n"/>
      <c r="I20" s="129" t="n"/>
      <c r="J20" s="106" t="n"/>
      <c r="K20" s="175" t="n"/>
      <c r="L20" s="174" t="n"/>
      <c r="M20" s="174" t="n"/>
      <c r="N20" s="106" t="n"/>
      <c r="O20" s="129" t="n"/>
      <c r="Q20" s="176" t="inlineStr">
        <is>
          <t>Out</t>
        </is>
      </c>
      <c r="R20" s="176" t="str">
        <f>IFERROR(AVERAGEIFS($D$11:$D$376,$B$11:$B$376,"&gt;="&amp;DATE(Ano,10,1),$B$11:$B$376,"&lt;="&amp;DATE(Ano,10+1,0)),"")</f>
        <v/>
      </c>
      <c r="S20" s="176" t="str">
        <f>IFERROR(AVERAGEIFS($F$11:$F$376,$B$11:$B$376,"&gt;="&amp;DATE(Ano,10,1),$B$11:$B$376,"&lt;="&amp;DATE(Ano,10+1,0)),"")</f>
        <v/>
      </c>
      <c r="T20" s="176" t="str">
        <f>IFERROR(AVERAGEIFS($G$11:$G$376,$B$11:$B$376,"&gt;="&amp;DATE(Ano,10,1),$B$11:$B$376,"&lt;="&amp;DATE(Ano,10+1,0)),"")</f>
        <v/>
      </c>
      <c r="U20" s="176" t="str">
        <f>IFERROR(AVERAGEIFS($H$11:$H$376,$B$11:$B$376,"&gt;="&amp;DATE(Ano,10,1),$B$11:$B$376,"&lt;="&amp;DATE(Ano,10+1,0)),"")</f>
        <v/>
      </c>
      <c r="V20" s="136">
        <f>COUNTIFS($I$11:$I$376,"?*",$B$11:$B$376,"&gt;="&amp;DATE(Ano,10,1),$B$11:$B$376,"&lt;="&amp;DATE(Ano,10+1,0))</f>
        <v>0</v>
      </c>
      <c r="W20" s="136">
        <f>SUMIFS($J$11:$J$376,$B$11:$B$376,"&gt;="&amp;DATE(Ano,10,1),$B$11:$B$376,"&lt;="&amp;DATE(Ano,10+1,0))</f>
        <v>0</v>
      </c>
      <c r="X20" s="177" t="str">
        <f>IFERROR(AVERAGEIFS($K$11:$K$376,$B$11:$B$376,"&gt;="&amp;DATE(Ano,10,1),$B$11:$B$376,"&lt;="&amp;DATE(Ano,10+1,0)),"")</f>
        <v/>
      </c>
      <c r="Y20" s="176" t="str">
        <f>IFERROR(AVERAGEIFS($L$11:$L$376,$B$11:$B$376,"&gt;="&amp;DATE(Ano,10,1),$B$11:$B$376,"&lt;="&amp;DATE(Ano,10+1,0)),"")</f>
        <v/>
      </c>
      <c r="Z20" s="136">
        <f>SUMPRODUCT(($B$11:$B$376&gt;=DATE(Ano,10,1))*($B$11:$B$376&lt;=DATE(Ano,10+1,0))*((($D$11:$D$376&lt;&gt;"")+($F$11:$F$376&lt;&gt;"")+($I$11:$I$376&lt;&gt;""))&gt;0))</f>
        <v>0</v>
      </c>
    </row>
    <row r="21">
      <c r="B21" s="137">
        <f>IF(B20="","",IF(YEAR(B20+1)=Ano,B20+1,""))</f>
        <v>46033.0</v>
      </c>
      <c r="C21" s="128" t="str">
        <f>IF(B21="","",CHOOSE(WEEKDAY(B21),"Dom","Seg","Ter","Qua","Qui","Sex","Sáb"))</f>
        <v>Dom</v>
      </c>
      <c r="D21" s="174" t="n"/>
      <c r="E21" s="106" t="n"/>
      <c r="F21" s="106" t="n"/>
      <c r="G21" s="106" t="n"/>
      <c r="H21" s="106" t="n"/>
      <c r="I21" s="129" t="n"/>
      <c r="J21" s="106" t="n"/>
      <c r="K21" s="175" t="n"/>
      <c r="L21" s="174" t="n"/>
      <c r="M21" s="174" t="n"/>
      <c r="N21" s="106" t="n"/>
      <c r="O21" s="129" t="n"/>
      <c r="Q21" s="176" t="inlineStr">
        <is>
          <t>Nov</t>
        </is>
      </c>
      <c r="R21" s="176" t="str">
        <f>IFERROR(AVERAGEIFS($D$11:$D$376,$B$11:$B$376,"&gt;="&amp;DATE(Ano,11,1),$B$11:$B$376,"&lt;="&amp;DATE(Ano,11+1,0)),"")</f>
        <v/>
      </c>
      <c r="S21" s="176" t="str">
        <f>IFERROR(AVERAGEIFS($F$11:$F$376,$B$11:$B$376,"&gt;="&amp;DATE(Ano,11,1),$B$11:$B$376,"&lt;="&amp;DATE(Ano,11+1,0)),"")</f>
        <v/>
      </c>
      <c r="T21" s="176" t="str">
        <f>IFERROR(AVERAGEIFS($G$11:$G$376,$B$11:$B$376,"&gt;="&amp;DATE(Ano,11,1),$B$11:$B$376,"&lt;="&amp;DATE(Ano,11+1,0)),"")</f>
        <v/>
      </c>
      <c r="U21" s="176" t="str">
        <f>IFERROR(AVERAGEIFS($H$11:$H$376,$B$11:$B$376,"&gt;="&amp;DATE(Ano,11,1),$B$11:$B$376,"&lt;="&amp;DATE(Ano,11+1,0)),"")</f>
        <v/>
      </c>
      <c r="V21" s="136">
        <f>COUNTIFS($I$11:$I$376,"?*",$B$11:$B$376,"&gt;="&amp;DATE(Ano,11,1),$B$11:$B$376,"&lt;="&amp;DATE(Ano,11+1,0))</f>
        <v>0</v>
      </c>
      <c r="W21" s="136">
        <f>SUMIFS($J$11:$J$376,$B$11:$B$376,"&gt;="&amp;DATE(Ano,11,1),$B$11:$B$376,"&lt;="&amp;DATE(Ano,11+1,0))</f>
        <v>0</v>
      </c>
      <c r="X21" s="177" t="str">
        <f>IFERROR(AVERAGEIFS($K$11:$K$376,$B$11:$B$376,"&gt;="&amp;DATE(Ano,11,1),$B$11:$B$376,"&lt;="&amp;DATE(Ano,11+1,0)),"")</f>
        <v/>
      </c>
      <c r="Y21" s="176" t="str">
        <f>IFERROR(AVERAGEIFS($L$11:$L$376,$B$11:$B$376,"&gt;="&amp;DATE(Ano,11,1),$B$11:$B$376,"&lt;="&amp;DATE(Ano,11+1,0)),"")</f>
        <v/>
      </c>
      <c r="Z21" s="136">
        <f>SUMPRODUCT(($B$11:$B$376&gt;=DATE(Ano,11,1))*($B$11:$B$376&lt;=DATE(Ano,11+1,0))*((($D$11:$D$376&lt;&gt;"")+($F$11:$F$376&lt;&gt;"")+($I$11:$I$376&lt;&gt;""))&gt;0))</f>
        <v>0</v>
      </c>
    </row>
    <row r="22">
      <c r="B22" s="137">
        <f>IF(B21="","",IF(YEAR(B21+1)=Ano,B21+1,""))</f>
        <v>46034.0</v>
      </c>
      <c r="C22" s="128" t="str">
        <f>IF(B22="","",CHOOSE(WEEKDAY(B22),"Dom","Seg","Ter","Qua","Qui","Sex","Sáb"))</f>
        <v>Seg</v>
      </c>
      <c r="D22" s="174" t="n"/>
      <c r="E22" s="106" t="n"/>
      <c r="F22" s="106" t="n"/>
      <c r="G22" s="106" t="n"/>
      <c r="H22" s="106" t="n"/>
      <c r="I22" s="129" t="n"/>
      <c r="J22" s="106" t="n"/>
      <c r="K22" s="175" t="n"/>
      <c r="L22" s="174" t="n"/>
      <c r="M22" s="174" t="n"/>
      <c r="N22" s="106" t="n"/>
      <c r="O22" s="129" t="n"/>
      <c r="Q22" s="176" t="inlineStr">
        <is>
          <t>Dez</t>
        </is>
      </c>
      <c r="R22" s="176" t="str">
        <f>IFERROR(AVERAGEIFS($D$11:$D$376,$B$11:$B$376,"&gt;="&amp;DATE(Ano,12,1),$B$11:$B$376,"&lt;="&amp;DATE(Ano,12+1,0)),"")</f>
        <v/>
      </c>
      <c r="S22" s="176" t="str">
        <f>IFERROR(AVERAGEIFS($F$11:$F$376,$B$11:$B$376,"&gt;="&amp;DATE(Ano,12,1),$B$11:$B$376,"&lt;="&amp;DATE(Ano,12+1,0)),"")</f>
        <v/>
      </c>
      <c r="T22" s="176" t="str">
        <f>IFERROR(AVERAGEIFS($G$11:$G$376,$B$11:$B$376,"&gt;="&amp;DATE(Ano,12,1),$B$11:$B$376,"&lt;="&amp;DATE(Ano,12+1,0)),"")</f>
        <v/>
      </c>
      <c r="U22" s="176" t="str">
        <f>IFERROR(AVERAGEIFS($H$11:$H$376,$B$11:$B$376,"&gt;="&amp;DATE(Ano,12,1),$B$11:$B$376,"&lt;="&amp;DATE(Ano,12+1,0)),"")</f>
        <v/>
      </c>
      <c r="V22" s="136">
        <f>COUNTIFS($I$11:$I$376,"?*",$B$11:$B$376,"&gt;="&amp;DATE(Ano,12,1),$B$11:$B$376,"&lt;="&amp;DATE(Ano,12+1,0))</f>
        <v>0</v>
      </c>
      <c r="W22" s="136">
        <f>SUMIFS($J$11:$J$376,$B$11:$B$376,"&gt;="&amp;DATE(Ano,12,1),$B$11:$B$376,"&lt;="&amp;DATE(Ano,12+1,0))</f>
        <v>0</v>
      </c>
      <c r="X22" s="177" t="str">
        <f>IFERROR(AVERAGEIFS($K$11:$K$376,$B$11:$B$376,"&gt;="&amp;DATE(Ano,12,1),$B$11:$B$376,"&lt;="&amp;DATE(Ano,12+1,0)),"")</f>
        <v/>
      </c>
      <c r="Y22" s="176" t="str">
        <f>IFERROR(AVERAGEIFS($L$11:$L$376,$B$11:$B$376,"&gt;="&amp;DATE(Ano,12,1),$B$11:$B$376,"&lt;="&amp;DATE(Ano,12+1,0)),"")</f>
        <v/>
      </c>
      <c r="Z22" s="136">
        <f>SUMPRODUCT(($B$11:$B$376&gt;=DATE(Ano,12,1))*($B$11:$B$376&lt;=DATE(Ano,12+1,0))*((($D$11:$D$376&lt;&gt;"")+($F$11:$F$376&lt;&gt;"")+($I$11:$I$376&lt;&gt;""))&gt;0))</f>
        <v>0</v>
      </c>
    </row>
    <row r="23">
      <c r="B23" s="137">
        <f>IF(B22="","",IF(YEAR(B22+1)=Ano,B22+1,""))</f>
        <v>46035.0</v>
      </c>
      <c r="C23" s="128" t="str">
        <f>IF(B23="","",CHOOSE(WEEKDAY(B23),"Dom","Seg","Ter","Qua","Qui","Sex","Sáb"))</f>
        <v>Ter</v>
      </c>
      <c r="D23" s="174" t="n"/>
      <c r="E23" s="106" t="n"/>
      <c r="F23" s="106" t="n"/>
      <c r="G23" s="106" t="n"/>
      <c r="H23" s="106" t="n"/>
      <c r="I23" s="129" t="n"/>
      <c r="J23" s="106" t="n"/>
      <c r="K23" s="175" t="n"/>
      <c r="L23" s="174" t="n"/>
      <c r="M23" s="174" t="n"/>
      <c r="N23" s="106" t="n"/>
      <c r="O23" s="129" t="n"/>
      <c r="Q23" s="178" t="inlineStr">
        <is>
          <t>Ano</t>
        </is>
      </c>
      <c r="R23" s="178" t="str">
        <f>IFERROR(AVERAGE($D$11:$D$376),"")</f>
        <v/>
      </c>
      <c r="S23" s="178" t="str">
        <f>IFERROR(AVERAGE($F$11:$F$376),"")</f>
        <v/>
      </c>
      <c r="T23" s="178" t="str">
        <f>IFERROR(AVERAGE($G$11:$G$376),"")</f>
        <v/>
      </c>
      <c r="U23" s="178" t="str">
        <f>IFERROR(AVERAGE($H$11:$H$376),"")</f>
        <v/>
      </c>
      <c r="V23" s="179">
        <f>SUM(V11:V22)</f>
        <v>0</v>
      </c>
      <c r="W23" s="179">
        <f>SUM(W11:W22)</f>
        <v>0</v>
      </c>
      <c r="X23" s="179" t="str">
        <f>IFERROR(AVERAGE($K$11:$K$376),"")</f>
        <v/>
      </c>
      <c r="Y23" s="178" t="str">
        <f>IFERROR(AVERAGE($L$11:$L$376),"")</f>
        <v/>
      </c>
      <c r="Z23" s="179">
        <f>SUM(Z11:Z22)</f>
        <v>0</v>
      </c>
    </row>
    <row r="24">
      <c r="B24" s="137">
        <f>IF(B23="","",IF(YEAR(B23+1)=Ano,B23+1,""))</f>
        <v>46036.0</v>
      </c>
      <c r="C24" s="128" t="str">
        <f>IF(B24="","",CHOOSE(WEEKDAY(B24),"Dom","Seg","Ter","Qua","Qui","Sex","Sáb"))</f>
        <v>Qua</v>
      </c>
      <c r="D24" s="174" t="n"/>
      <c r="E24" s="106" t="n"/>
      <c r="F24" s="106" t="n"/>
      <c r="G24" s="106" t="n"/>
      <c r="H24" s="106" t="n"/>
      <c r="I24" s="129" t="n"/>
      <c r="J24" s="106" t="n"/>
      <c r="K24" s="175" t="n"/>
      <c r="L24" s="174" t="n"/>
      <c r="M24" s="174" t="n"/>
      <c r="N24" s="106" t="n"/>
      <c r="O24" s="129" t="n"/>
    </row>
    <row r="25">
      <c r="B25" s="137">
        <f>IF(B24="","",IF(YEAR(B24+1)=Ano,B24+1,""))</f>
        <v>46037.0</v>
      </c>
      <c r="C25" s="128" t="str">
        <f>IF(B25="","",CHOOSE(WEEKDAY(B25),"Dom","Seg","Ter","Qua","Qui","Sex","Sáb"))</f>
        <v>Qui</v>
      </c>
      <c r="D25" s="174" t="n"/>
      <c r="E25" s="106" t="n"/>
      <c r="F25" s="106" t="n"/>
      <c r="G25" s="106" t="n"/>
      <c r="H25" s="106" t="n"/>
      <c r="I25" s="129" t="n"/>
      <c r="J25" s="106" t="n"/>
      <c r="K25" s="175" t="n"/>
      <c r="L25" s="174" t="n"/>
      <c r="M25" s="174" t="n"/>
      <c r="N25" s="106" t="n"/>
      <c r="O25" s="129" t="n"/>
      <c r="Q25" s="172" t="inlineStr">
        <is>
          <t>CONSULTAS, EXAMES &amp; CHECK-UPS</t>
        </is>
      </c>
      <c r="R25" s="173" t="n"/>
      <c r="S25" s="173" t="n"/>
      <c r="T25" s="173" t="n"/>
      <c r="U25" s="173" t="n"/>
      <c r="V25" s="173" t="n"/>
      <c r="W25" s="173" t="n"/>
      <c r="X25" s="173" t="n"/>
      <c r="Y25" s="173" t="n"/>
      <c r="Z25" s="173" t="n"/>
    </row>
    <row r="26">
      <c r="B26" s="137">
        <f>IF(B25="","",IF(YEAR(B25+1)=Ano,B25+1,""))</f>
        <v>46038.0</v>
      </c>
      <c r="C26" s="128" t="str">
        <f>IF(B26="","",CHOOSE(WEEKDAY(B26),"Dom","Seg","Ter","Qua","Qui","Sex","Sáb"))</f>
        <v>Sex</v>
      </c>
      <c r="D26" s="174" t="n"/>
      <c r="E26" s="106" t="n"/>
      <c r="F26" s="106" t="n"/>
      <c r="G26" s="106" t="n"/>
      <c r="H26" s="106" t="n"/>
      <c r="I26" s="129" t="n"/>
      <c r="J26" s="106" t="n"/>
      <c r="K26" s="175" t="n"/>
      <c r="L26" s="174" t="n"/>
      <c r="M26" s="174" t="n"/>
      <c r="N26" s="106" t="n"/>
      <c r="O26" s="129" t="n"/>
      <c r="Q26" s="103" t="inlineStr">
        <is>
          <t>Data</t>
        </is>
      </c>
      <c r="R26" s="103" t="inlineStr">
        <is>
          <t>Tipo</t>
        </is>
      </c>
      <c r="S26" s="103" t="inlineStr">
        <is>
          <t>Profissional / exame</t>
        </is>
      </c>
      <c r="T26" s="112" t="n"/>
      <c r="U26" s="103" t="inlineStr">
        <is>
          <t>Status</t>
        </is>
      </c>
      <c r="V26" s="103" t="inlineStr">
        <is>
          <t>Próxima</t>
        </is>
      </c>
      <c r="W26" s="104" t="inlineStr">
        <is>
          <t>Faltam</t>
        </is>
      </c>
      <c r="X26" s="103" t="inlineStr">
        <is>
          <t>Notas</t>
        </is>
      </c>
      <c r="Z26" s="112" t="n"/>
    </row>
    <row r="27">
      <c r="B27" s="137">
        <f>IF(B26="","",IF(YEAR(B26+1)=Ano,B26+1,""))</f>
        <v>46039.0</v>
      </c>
      <c r="C27" s="128" t="str">
        <f>IF(B27="","",CHOOSE(WEEKDAY(B27),"Dom","Seg","Ter","Qua","Qui","Sex","Sáb"))</f>
        <v>Sáb</v>
      </c>
      <c r="D27" s="174" t="n"/>
      <c r="E27" s="106" t="n"/>
      <c r="F27" s="106" t="n"/>
      <c r="G27" s="106" t="n"/>
      <c r="H27" s="106" t="n"/>
      <c r="I27" s="129" t="n"/>
      <c r="J27" s="106" t="n"/>
      <c r="K27" s="175" t="n"/>
      <c r="L27" s="174" t="n"/>
      <c r="M27" s="174" t="n"/>
      <c r="N27" s="106" t="n"/>
      <c r="O27" s="129" t="n"/>
      <c r="Q27" s="130" t="n"/>
      <c r="R27" s="129" t="n"/>
      <c r="S27" s="129" t="n"/>
      <c r="T27" s="115" t="n"/>
      <c r="U27" s="129" t="n"/>
      <c r="V27" s="130" t="n"/>
      <c r="W27" s="134" t="str">
        <f>IF(V27="","",V27-Hoje)</f>
        <v/>
      </c>
      <c r="X27" s="129" t="n"/>
      <c r="Y27" s="114" t="n"/>
      <c r="Z27" s="115" t="n"/>
    </row>
    <row r="28">
      <c r="B28" s="137">
        <f>IF(B27="","",IF(YEAR(B27+1)=Ano,B27+1,""))</f>
        <v>46040.0</v>
      </c>
      <c r="C28" s="128" t="str">
        <f>IF(B28="","",CHOOSE(WEEKDAY(B28),"Dom","Seg","Ter","Qua","Qui","Sex","Sáb"))</f>
        <v>Dom</v>
      </c>
      <c r="D28" s="174" t="n"/>
      <c r="E28" s="106" t="n"/>
      <c r="F28" s="106" t="n"/>
      <c r="G28" s="106" t="n"/>
      <c r="H28" s="106" t="n"/>
      <c r="I28" s="129" t="n"/>
      <c r="J28" s="106" t="n"/>
      <c r="K28" s="175" t="n"/>
      <c r="L28" s="174" t="n"/>
      <c r="M28" s="174" t="n"/>
      <c r="N28" s="106" t="n"/>
      <c r="O28" s="129" t="n"/>
      <c r="Q28" s="130" t="n"/>
      <c r="R28" s="129" t="n"/>
      <c r="S28" s="129" t="n"/>
      <c r="T28" s="115" t="n"/>
      <c r="U28" s="129" t="n"/>
      <c r="V28" s="130" t="n"/>
      <c r="W28" s="134" t="str">
        <f>IF(V28="","",V28-Hoje)</f>
        <v/>
      </c>
      <c r="X28" s="129" t="n"/>
      <c r="Y28" s="114" t="n"/>
      <c r="Z28" s="115" t="n"/>
    </row>
    <row r="29">
      <c r="B29" s="137">
        <f>IF(B28="","",IF(YEAR(B28+1)=Ano,B28+1,""))</f>
        <v>46041.0</v>
      </c>
      <c r="C29" s="128" t="str">
        <f>IF(B29="","",CHOOSE(WEEKDAY(B29),"Dom","Seg","Ter","Qua","Qui","Sex","Sáb"))</f>
        <v>Seg</v>
      </c>
      <c r="D29" s="174" t="n"/>
      <c r="E29" s="106" t="n"/>
      <c r="F29" s="106" t="n"/>
      <c r="G29" s="106" t="n"/>
      <c r="H29" s="106" t="n"/>
      <c r="I29" s="129" t="n"/>
      <c r="J29" s="106" t="n"/>
      <c r="K29" s="175" t="n"/>
      <c r="L29" s="174" t="n"/>
      <c r="M29" s="174" t="n"/>
      <c r="N29" s="106" t="n"/>
      <c r="O29" s="129" t="n"/>
      <c r="Q29" s="130" t="n"/>
      <c r="R29" s="129" t="n"/>
      <c r="S29" s="129" t="n"/>
      <c r="T29" s="115" t="n"/>
      <c r="U29" s="129" t="n"/>
      <c r="V29" s="130" t="n"/>
      <c r="W29" s="134" t="str">
        <f>IF(V29="","",V29-Hoje)</f>
        <v/>
      </c>
      <c r="X29" s="129" t="n"/>
      <c r="Y29" s="114" t="n"/>
      <c r="Z29" s="115" t="n"/>
    </row>
    <row r="30">
      <c r="B30" s="137">
        <f>IF(B29="","",IF(YEAR(B29+1)=Ano,B29+1,""))</f>
        <v>46042.0</v>
      </c>
      <c r="C30" s="128" t="str">
        <f>IF(B30="","",CHOOSE(WEEKDAY(B30),"Dom","Seg","Ter","Qua","Qui","Sex","Sáb"))</f>
        <v>Ter</v>
      </c>
      <c r="D30" s="174" t="n"/>
      <c r="E30" s="106" t="n"/>
      <c r="F30" s="106" t="n"/>
      <c r="G30" s="106" t="n"/>
      <c r="H30" s="106" t="n"/>
      <c r="I30" s="129" t="n"/>
      <c r="J30" s="106" t="n"/>
      <c r="K30" s="175" t="n"/>
      <c r="L30" s="174" t="n"/>
      <c r="M30" s="174" t="n"/>
      <c r="N30" s="106" t="n"/>
      <c r="O30" s="129" t="n"/>
      <c r="Q30" s="130" t="n"/>
      <c r="R30" s="129" t="n"/>
      <c r="S30" s="129" t="n"/>
      <c r="T30" s="115" t="n"/>
      <c r="U30" s="129" t="n"/>
      <c r="V30" s="130" t="n"/>
      <c r="W30" s="134" t="str">
        <f>IF(V30="","",V30-Hoje)</f>
        <v/>
      </c>
      <c r="X30" s="129" t="n"/>
      <c r="Y30" s="114" t="n"/>
      <c r="Z30" s="115" t="n"/>
    </row>
    <row r="31">
      <c r="B31" s="137">
        <f>IF(B30="","",IF(YEAR(B30+1)=Ano,B30+1,""))</f>
        <v>46043.0</v>
      </c>
      <c r="C31" s="128" t="str">
        <f>IF(B31="","",CHOOSE(WEEKDAY(B31),"Dom","Seg","Ter","Qua","Qui","Sex","Sáb"))</f>
        <v>Qua</v>
      </c>
      <c r="D31" s="174" t="n"/>
      <c r="E31" s="106" t="n"/>
      <c r="F31" s="106" t="n"/>
      <c r="G31" s="106" t="n"/>
      <c r="H31" s="106" t="n"/>
      <c r="I31" s="129" t="n"/>
      <c r="J31" s="106" t="n"/>
      <c r="K31" s="175" t="n"/>
      <c r="L31" s="174" t="n"/>
      <c r="M31" s="174" t="n"/>
      <c r="N31" s="106" t="n"/>
      <c r="O31" s="129" t="n"/>
      <c r="Q31" s="130" t="n"/>
      <c r="R31" s="129" t="n"/>
      <c r="S31" s="129" t="n"/>
      <c r="T31" s="115" t="n"/>
      <c r="U31" s="129" t="n"/>
      <c r="V31" s="130" t="n"/>
      <c r="W31" s="134" t="str">
        <f>IF(V31="","",V31-Hoje)</f>
        <v/>
      </c>
      <c r="X31" s="129" t="n"/>
      <c r="Y31" s="114" t="n"/>
      <c r="Z31" s="115" t="n"/>
    </row>
    <row r="32">
      <c r="B32" s="137">
        <f>IF(B31="","",IF(YEAR(B31+1)=Ano,B31+1,""))</f>
        <v>46044.0</v>
      </c>
      <c r="C32" s="128" t="str">
        <f>IF(B32="","",CHOOSE(WEEKDAY(B32),"Dom","Seg","Ter","Qua","Qui","Sex","Sáb"))</f>
        <v>Qui</v>
      </c>
      <c r="D32" s="174" t="n"/>
      <c r="E32" s="106" t="n"/>
      <c r="F32" s="106" t="n"/>
      <c r="G32" s="106" t="n"/>
      <c r="H32" s="106" t="n"/>
      <c r="I32" s="129" t="n"/>
      <c r="J32" s="106" t="n"/>
      <c r="K32" s="175" t="n"/>
      <c r="L32" s="174" t="n"/>
      <c r="M32" s="174" t="n"/>
      <c r="N32" s="106" t="n"/>
      <c r="O32" s="129" t="n"/>
      <c r="Q32" s="130" t="n"/>
      <c r="R32" s="129" t="n"/>
      <c r="S32" s="129" t="n"/>
      <c r="T32" s="115" t="n"/>
      <c r="U32" s="129" t="n"/>
      <c r="V32" s="130" t="n"/>
      <c r="W32" s="134" t="str">
        <f>IF(V32="","",V32-Hoje)</f>
        <v/>
      </c>
      <c r="X32" s="129" t="n"/>
      <c r="Y32" s="114" t="n"/>
      <c r="Z32" s="115" t="n"/>
    </row>
    <row r="33">
      <c r="B33" s="137">
        <f>IF(B32="","",IF(YEAR(B32+1)=Ano,B32+1,""))</f>
        <v>46045.0</v>
      </c>
      <c r="C33" s="128" t="str">
        <f>IF(B33="","",CHOOSE(WEEKDAY(B33),"Dom","Seg","Ter","Qua","Qui","Sex","Sáb"))</f>
        <v>Sex</v>
      </c>
      <c r="D33" s="174" t="n"/>
      <c r="E33" s="106" t="n"/>
      <c r="F33" s="106" t="n"/>
      <c r="G33" s="106" t="n"/>
      <c r="H33" s="106" t="n"/>
      <c r="I33" s="129" t="n"/>
      <c r="J33" s="106" t="n"/>
      <c r="K33" s="175" t="n"/>
      <c r="L33" s="174" t="n"/>
      <c r="M33" s="174" t="n"/>
      <c r="N33" s="106" t="n"/>
      <c r="O33" s="129" t="n"/>
      <c r="Q33" s="130" t="n"/>
      <c r="R33" s="129" t="n"/>
      <c r="S33" s="129" t="n"/>
      <c r="T33" s="115" t="n"/>
      <c r="U33" s="129" t="n"/>
      <c r="V33" s="130" t="n"/>
      <c r="W33" s="134" t="str">
        <f>IF(V33="","",V33-Hoje)</f>
        <v/>
      </c>
      <c r="X33" s="129" t="n"/>
      <c r="Y33" s="114" t="n"/>
      <c r="Z33" s="115" t="n"/>
    </row>
    <row r="34">
      <c r="B34" s="137">
        <f>IF(B33="","",IF(YEAR(B33+1)=Ano,B33+1,""))</f>
        <v>46046.0</v>
      </c>
      <c r="C34" s="128" t="str">
        <f>IF(B34="","",CHOOSE(WEEKDAY(B34),"Dom","Seg","Ter","Qua","Qui","Sex","Sáb"))</f>
        <v>Sáb</v>
      </c>
      <c r="D34" s="174" t="n"/>
      <c r="E34" s="106" t="n"/>
      <c r="F34" s="106" t="n"/>
      <c r="G34" s="106" t="n"/>
      <c r="H34" s="106" t="n"/>
      <c r="I34" s="129" t="n"/>
      <c r="J34" s="106" t="n"/>
      <c r="K34" s="175" t="n"/>
      <c r="L34" s="174" t="n"/>
      <c r="M34" s="174" t="n"/>
      <c r="N34" s="106" t="n"/>
      <c r="O34" s="129" t="n"/>
      <c r="Q34" s="130" t="n"/>
      <c r="R34" s="129" t="n"/>
      <c r="S34" s="129" t="n"/>
      <c r="T34" s="115" t="n"/>
      <c r="U34" s="129" t="n"/>
      <c r="V34" s="130" t="n"/>
      <c r="W34" s="134" t="str">
        <f>IF(V34="","",V34-Hoje)</f>
        <v/>
      </c>
      <c r="X34" s="129" t="n"/>
      <c r="Y34" s="114" t="n"/>
      <c r="Z34" s="115" t="n"/>
    </row>
    <row r="35">
      <c r="B35" s="137">
        <f>IF(B34="","",IF(YEAR(B34+1)=Ano,B34+1,""))</f>
        <v>46047.0</v>
      </c>
      <c r="C35" s="128" t="str">
        <f>IF(B35="","",CHOOSE(WEEKDAY(B35),"Dom","Seg","Ter","Qua","Qui","Sex","Sáb"))</f>
        <v>Dom</v>
      </c>
      <c r="D35" s="174" t="n"/>
      <c r="E35" s="106" t="n"/>
      <c r="F35" s="106" t="n"/>
      <c r="G35" s="106" t="n"/>
      <c r="H35" s="106" t="n"/>
      <c r="I35" s="129" t="n"/>
      <c r="J35" s="106" t="n"/>
      <c r="K35" s="175" t="n"/>
      <c r="L35" s="174" t="n"/>
      <c r="M35" s="174" t="n"/>
      <c r="N35" s="106" t="n"/>
      <c r="O35" s="129" t="n"/>
      <c r="Q35" s="130" t="n"/>
      <c r="R35" s="129" t="n"/>
      <c r="S35" s="129" t="n"/>
      <c r="T35" s="115" t="n"/>
      <c r="U35" s="129" t="n"/>
      <c r="V35" s="130" t="n"/>
      <c r="W35" s="134" t="str">
        <f>IF(V35="","",V35-Hoje)</f>
        <v/>
      </c>
      <c r="X35" s="129" t="n"/>
      <c r="Y35" s="114" t="n"/>
      <c r="Z35" s="115" t="n"/>
    </row>
    <row r="36">
      <c r="B36" s="137">
        <f>IF(B35="","",IF(YEAR(B35+1)=Ano,B35+1,""))</f>
        <v>46048.0</v>
      </c>
      <c r="C36" s="128" t="str">
        <f>IF(B36="","",CHOOSE(WEEKDAY(B36),"Dom","Seg","Ter","Qua","Qui","Sex","Sáb"))</f>
        <v>Seg</v>
      </c>
      <c r="D36" s="174" t="n"/>
      <c r="E36" s="106" t="n"/>
      <c r="F36" s="106" t="n"/>
      <c r="G36" s="106" t="n"/>
      <c r="H36" s="106" t="n"/>
      <c r="I36" s="129" t="n"/>
      <c r="J36" s="106" t="n"/>
      <c r="K36" s="175" t="n"/>
      <c r="L36" s="174" t="n"/>
      <c r="M36" s="174" t="n"/>
      <c r="N36" s="106" t="n"/>
      <c r="O36" s="129" t="n"/>
      <c r="Q36" s="130" t="n"/>
      <c r="R36" s="129" t="n"/>
      <c r="S36" s="129" t="n"/>
      <c r="T36" s="115" t="n"/>
      <c r="U36" s="129" t="n"/>
      <c r="V36" s="130" t="n"/>
      <c r="W36" s="134" t="str">
        <f>IF(V36="","",V36-Hoje)</f>
        <v/>
      </c>
      <c r="X36" s="129" t="n"/>
      <c r="Y36" s="114" t="n"/>
      <c r="Z36" s="115" t="n"/>
    </row>
    <row r="37">
      <c r="B37" s="137">
        <f>IF(B36="","",IF(YEAR(B36+1)=Ano,B36+1,""))</f>
        <v>46049.0</v>
      </c>
      <c r="C37" s="128" t="str">
        <f>IF(B37="","",CHOOSE(WEEKDAY(B37),"Dom","Seg","Ter","Qua","Qui","Sex","Sáb"))</f>
        <v>Ter</v>
      </c>
      <c r="D37" s="174" t="n"/>
      <c r="E37" s="106" t="n"/>
      <c r="F37" s="106" t="n"/>
      <c r="G37" s="106" t="n"/>
      <c r="H37" s="106" t="n"/>
      <c r="I37" s="129" t="n"/>
      <c r="J37" s="106" t="n"/>
      <c r="K37" s="175" t="n"/>
      <c r="L37" s="174" t="n"/>
      <c r="M37" s="174" t="n"/>
      <c r="N37" s="106" t="n"/>
      <c r="O37" s="129" t="n"/>
      <c r="Q37" s="130" t="n"/>
      <c r="R37" s="129" t="n"/>
      <c r="S37" s="129" t="n"/>
      <c r="T37" s="115" t="n"/>
      <c r="U37" s="129" t="n"/>
      <c r="V37" s="130" t="n"/>
      <c r="W37" s="134" t="str">
        <f>IF(V37="","",V37-Hoje)</f>
        <v/>
      </c>
      <c r="X37" s="129" t="n"/>
      <c r="Y37" s="114" t="n"/>
      <c r="Z37" s="115" t="n"/>
    </row>
    <row r="38">
      <c r="B38" s="137">
        <f>IF(B37="","",IF(YEAR(B37+1)=Ano,B37+1,""))</f>
        <v>46050.0</v>
      </c>
      <c r="C38" s="128" t="str">
        <f>IF(B38="","",CHOOSE(WEEKDAY(B38),"Dom","Seg","Ter","Qua","Qui","Sex","Sáb"))</f>
        <v>Qua</v>
      </c>
      <c r="D38" s="174" t="n"/>
      <c r="E38" s="106" t="n"/>
      <c r="F38" s="106" t="n"/>
      <c r="G38" s="106" t="n"/>
      <c r="H38" s="106" t="n"/>
      <c r="I38" s="129" t="n"/>
      <c r="J38" s="106" t="n"/>
      <c r="K38" s="175" t="n"/>
      <c r="L38" s="174" t="n"/>
      <c r="M38" s="174" t="n"/>
      <c r="N38" s="106" t="n"/>
      <c r="O38" s="129" t="n"/>
      <c r="Q38" s="130" t="n"/>
      <c r="R38" s="129" t="n"/>
      <c r="S38" s="129" t="n"/>
      <c r="T38" s="115" t="n"/>
      <c r="U38" s="129" t="n"/>
      <c r="V38" s="130" t="n"/>
      <c r="W38" s="134" t="str">
        <f>IF(V38="","",V38-Hoje)</f>
        <v/>
      </c>
      <c r="X38" s="129" t="n"/>
      <c r="Y38" s="114" t="n"/>
      <c r="Z38" s="115" t="n"/>
    </row>
    <row r="39">
      <c r="B39" s="137">
        <f>IF(B38="","",IF(YEAR(B38+1)=Ano,B38+1,""))</f>
        <v>46051.0</v>
      </c>
      <c r="C39" s="128" t="str">
        <f>IF(B39="","",CHOOSE(WEEKDAY(B39),"Dom","Seg","Ter","Qua","Qui","Sex","Sáb"))</f>
        <v>Qui</v>
      </c>
      <c r="D39" s="174" t="n"/>
      <c r="E39" s="106" t="n"/>
      <c r="F39" s="106" t="n"/>
      <c r="G39" s="106" t="n"/>
      <c r="H39" s="106" t="n"/>
      <c r="I39" s="129" t="n"/>
      <c r="J39" s="106" t="n"/>
      <c r="K39" s="175" t="n"/>
      <c r="L39" s="174" t="n"/>
      <c r="M39" s="174" t="n"/>
      <c r="N39" s="106" t="n"/>
      <c r="O39" s="129" t="n"/>
      <c r="Q39" s="130" t="n"/>
      <c r="R39" s="129" t="n"/>
      <c r="S39" s="129" t="n"/>
      <c r="T39" s="115" t="n"/>
      <c r="U39" s="129" t="n"/>
      <c r="V39" s="130" t="n"/>
      <c r="W39" s="134" t="str">
        <f>IF(V39="","",V39-Hoje)</f>
        <v/>
      </c>
      <c r="X39" s="129" t="n"/>
      <c r="Y39" s="114" t="n"/>
      <c r="Z39" s="115" t="n"/>
    </row>
    <row r="40">
      <c r="B40" s="137">
        <f>IF(B39="","",IF(YEAR(B39+1)=Ano,B39+1,""))</f>
        <v>46052.0</v>
      </c>
      <c r="C40" s="128" t="str">
        <f>IF(B40="","",CHOOSE(WEEKDAY(B40),"Dom","Seg","Ter","Qua","Qui","Sex","Sáb"))</f>
        <v>Sex</v>
      </c>
      <c r="D40" s="174" t="n"/>
      <c r="E40" s="106" t="n"/>
      <c r="F40" s="106" t="n"/>
      <c r="G40" s="106" t="n"/>
      <c r="H40" s="106" t="n"/>
      <c r="I40" s="129" t="n"/>
      <c r="J40" s="106" t="n"/>
      <c r="K40" s="175" t="n"/>
      <c r="L40" s="174" t="n"/>
      <c r="M40" s="174" t="n"/>
      <c r="N40" s="106" t="n"/>
      <c r="O40" s="129" t="n"/>
      <c r="Q40" s="130" t="n"/>
      <c r="R40" s="129" t="n"/>
      <c r="S40" s="129" t="n"/>
      <c r="T40" s="115" t="n"/>
      <c r="U40" s="129" t="n"/>
      <c r="V40" s="130" t="n"/>
      <c r="W40" s="134" t="str">
        <f>IF(V40="","",V40-Hoje)</f>
        <v/>
      </c>
      <c r="X40" s="129" t="n"/>
      <c r="Y40" s="114" t="n"/>
      <c r="Z40" s="115" t="n"/>
    </row>
    <row r="41">
      <c r="B41" s="137">
        <f>IF(B40="","",IF(YEAR(B40+1)=Ano,B40+1,""))</f>
        <v>46053.0</v>
      </c>
      <c r="C41" s="128" t="str">
        <f>IF(B41="","",CHOOSE(WEEKDAY(B41),"Dom","Seg","Ter","Qua","Qui","Sex","Sáb"))</f>
        <v>Sáb</v>
      </c>
      <c r="D41" s="174" t="n"/>
      <c r="E41" s="106" t="n"/>
      <c r="F41" s="106" t="n"/>
      <c r="G41" s="106" t="n"/>
      <c r="H41" s="106" t="n"/>
      <c r="I41" s="129" t="n"/>
      <c r="J41" s="106" t="n"/>
      <c r="K41" s="175" t="n"/>
      <c r="L41" s="174" t="n"/>
      <c r="M41" s="174" t="n"/>
      <c r="N41" s="106" t="n"/>
      <c r="O41" s="129" t="n"/>
      <c r="Q41" s="130" t="n"/>
      <c r="R41" s="129" t="n"/>
      <c r="S41" s="129" t="n"/>
      <c r="T41" s="115" t="n"/>
      <c r="U41" s="129" t="n"/>
      <c r="V41" s="130" t="n"/>
      <c r="W41" s="134" t="str">
        <f>IF(V41="","",V41-Hoje)</f>
        <v/>
      </c>
      <c r="X41" s="129" t="n"/>
      <c r="Y41" s="114" t="n"/>
      <c r="Z41" s="115" t="n"/>
    </row>
    <row r="42">
      <c r="B42" s="137">
        <f>IF(B41="","",IF(YEAR(B41+1)=Ano,B41+1,""))</f>
        <v>46054.0</v>
      </c>
      <c r="C42" s="128" t="str">
        <f>IF(B42="","",CHOOSE(WEEKDAY(B42),"Dom","Seg","Ter","Qua","Qui","Sex","Sáb"))</f>
        <v>Dom</v>
      </c>
      <c r="D42" s="174" t="n"/>
      <c r="E42" s="106" t="n"/>
      <c r="F42" s="106" t="n"/>
      <c r="G42" s="106" t="n"/>
      <c r="H42" s="106" t="n"/>
      <c r="I42" s="129" t="n"/>
      <c r="J42" s="106" t="n"/>
      <c r="K42" s="175" t="n"/>
      <c r="L42" s="174" t="n"/>
      <c r="M42" s="174" t="n"/>
      <c r="N42" s="106" t="n"/>
      <c r="O42" s="129" t="n"/>
      <c r="Q42" s="130" t="n"/>
      <c r="R42" s="129" t="n"/>
      <c r="S42" s="129" t="n"/>
      <c r="T42" s="115" t="n"/>
      <c r="U42" s="129" t="n"/>
      <c r="V42" s="130" t="n"/>
      <c r="W42" s="134" t="str">
        <f>IF(V42="","",V42-Hoje)</f>
        <v/>
      </c>
      <c r="X42" s="129" t="n"/>
      <c r="Y42" s="114" t="n"/>
      <c r="Z42" s="115" t="n"/>
    </row>
    <row r="43">
      <c r="B43" s="137">
        <f>IF(B42="","",IF(YEAR(B42+1)=Ano,B42+1,""))</f>
        <v>46055.0</v>
      </c>
      <c r="C43" s="128" t="str">
        <f>IF(B43="","",CHOOSE(WEEKDAY(B43),"Dom","Seg","Ter","Qua","Qui","Sex","Sáb"))</f>
        <v>Seg</v>
      </c>
      <c r="D43" s="174" t="n"/>
      <c r="E43" s="106" t="n"/>
      <c r="F43" s="106" t="n"/>
      <c r="G43" s="106" t="n"/>
      <c r="H43" s="106" t="n"/>
      <c r="I43" s="129" t="n"/>
      <c r="J43" s="106" t="n"/>
      <c r="K43" s="175" t="n"/>
      <c r="L43" s="174" t="n"/>
      <c r="M43" s="174" t="n"/>
      <c r="N43" s="106" t="n"/>
      <c r="O43" s="129" t="n"/>
      <c r="Q43" s="130" t="n"/>
      <c r="R43" s="129" t="n"/>
      <c r="S43" s="129" t="n"/>
      <c r="T43" s="115" t="n"/>
      <c r="U43" s="129" t="n"/>
      <c r="V43" s="130" t="n"/>
      <c r="W43" s="134" t="str">
        <f>IF(V43="","",V43-Hoje)</f>
        <v/>
      </c>
      <c r="X43" s="129" t="n"/>
      <c r="Y43" s="114" t="n"/>
      <c r="Z43" s="115" t="n"/>
    </row>
    <row r="44">
      <c r="B44" s="137">
        <f>IF(B43="","",IF(YEAR(B43+1)=Ano,B43+1,""))</f>
        <v>46056.0</v>
      </c>
      <c r="C44" s="128" t="str">
        <f>IF(B44="","",CHOOSE(WEEKDAY(B44),"Dom","Seg","Ter","Qua","Qui","Sex","Sáb"))</f>
        <v>Ter</v>
      </c>
      <c r="D44" s="174" t="n"/>
      <c r="E44" s="106" t="n"/>
      <c r="F44" s="106" t="n"/>
      <c r="G44" s="106" t="n"/>
      <c r="H44" s="106" t="n"/>
      <c r="I44" s="129" t="n"/>
      <c r="J44" s="106" t="n"/>
      <c r="K44" s="175" t="n"/>
      <c r="L44" s="174" t="n"/>
      <c r="M44" s="174" t="n"/>
      <c r="N44" s="106" t="n"/>
      <c r="O44" s="129" t="n"/>
      <c r="Q44" s="130" t="n"/>
      <c r="R44" s="129" t="n"/>
      <c r="S44" s="129" t="n"/>
      <c r="T44" s="115" t="n"/>
      <c r="U44" s="129" t="n"/>
      <c r="V44" s="130" t="n"/>
      <c r="W44" s="134" t="str">
        <f>IF(V44="","",V44-Hoje)</f>
        <v/>
      </c>
      <c r="X44" s="129" t="n"/>
      <c r="Y44" s="114" t="n"/>
      <c r="Z44" s="115" t="n"/>
    </row>
    <row r="45">
      <c r="B45" s="137">
        <f>IF(B44="","",IF(YEAR(B44+1)=Ano,B44+1,""))</f>
        <v>46057.0</v>
      </c>
      <c r="C45" s="128" t="str">
        <f>IF(B45="","",CHOOSE(WEEKDAY(B45),"Dom","Seg","Ter","Qua","Qui","Sex","Sáb"))</f>
        <v>Qua</v>
      </c>
      <c r="D45" s="174" t="n"/>
      <c r="E45" s="106" t="n"/>
      <c r="F45" s="106" t="n"/>
      <c r="G45" s="106" t="n"/>
      <c r="H45" s="106" t="n"/>
      <c r="I45" s="129" t="n"/>
      <c r="J45" s="106" t="n"/>
      <c r="K45" s="175" t="n"/>
      <c r="L45" s="174" t="n"/>
      <c r="M45" s="174" t="n"/>
      <c r="N45" s="106" t="n"/>
      <c r="O45" s="129" t="n"/>
      <c r="Q45" s="130" t="n"/>
      <c r="R45" s="129" t="n"/>
      <c r="S45" s="129" t="n"/>
      <c r="T45" s="115" t="n"/>
      <c r="U45" s="129" t="n"/>
      <c r="V45" s="130" t="n"/>
      <c r="W45" s="134" t="str">
        <f>IF(V45="","",V45-Hoje)</f>
        <v/>
      </c>
      <c r="X45" s="129" t="n"/>
      <c r="Y45" s="114" t="n"/>
      <c r="Z45" s="115" t="n"/>
    </row>
    <row r="46">
      <c r="B46" s="137">
        <f>IF(B45="","",IF(YEAR(B45+1)=Ano,B45+1,""))</f>
        <v>46058.0</v>
      </c>
      <c r="C46" s="128" t="str">
        <f>IF(B46="","",CHOOSE(WEEKDAY(B46),"Dom","Seg","Ter","Qua","Qui","Sex","Sáb"))</f>
        <v>Qui</v>
      </c>
      <c r="D46" s="174" t="n"/>
      <c r="E46" s="106" t="n"/>
      <c r="F46" s="106" t="n"/>
      <c r="G46" s="106" t="n"/>
      <c r="H46" s="106" t="n"/>
      <c r="I46" s="129" t="n"/>
      <c r="J46" s="106" t="n"/>
      <c r="K46" s="175" t="n"/>
      <c r="L46" s="174" t="n"/>
      <c r="M46" s="174" t="n"/>
      <c r="N46" s="106" t="n"/>
      <c r="O46" s="129" t="n"/>
      <c r="Q46" s="130" t="n"/>
      <c r="R46" s="129" t="n"/>
      <c r="S46" s="129" t="n"/>
      <c r="T46" s="115" t="n"/>
      <c r="U46" s="129" t="n"/>
      <c r="V46" s="130" t="n"/>
      <c r="W46" s="134" t="str">
        <f>IF(V46="","",V46-Hoje)</f>
        <v/>
      </c>
      <c r="X46" s="129" t="n"/>
      <c r="Y46" s="114" t="n"/>
      <c r="Z46" s="115" t="n"/>
    </row>
    <row r="47">
      <c r="B47" s="137">
        <f>IF(B46="","",IF(YEAR(B46+1)=Ano,B46+1,""))</f>
        <v>46059.0</v>
      </c>
      <c r="C47" s="128" t="str">
        <f>IF(B47="","",CHOOSE(WEEKDAY(B47),"Dom","Seg","Ter","Qua","Qui","Sex","Sáb"))</f>
        <v>Sex</v>
      </c>
      <c r="D47" s="174" t="n"/>
      <c r="E47" s="106" t="n"/>
      <c r="F47" s="106" t="n"/>
      <c r="G47" s="106" t="n"/>
      <c r="H47" s="106" t="n"/>
      <c r="I47" s="129" t="n"/>
      <c r="J47" s="106" t="n"/>
      <c r="K47" s="175" t="n"/>
      <c r="L47" s="174" t="n"/>
      <c r="M47" s="174" t="n"/>
      <c r="N47" s="106" t="n"/>
      <c r="O47" s="129" t="n"/>
      <c r="Q47" s="130" t="n"/>
      <c r="R47" s="129" t="n"/>
      <c r="S47" s="129" t="n"/>
      <c r="T47" s="115" t="n"/>
      <c r="U47" s="129" t="n"/>
      <c r="V47" s="130" t="n"/>
      <c r="W47" s="134" t="str">
        <f>IF(V47="","",V47-Hoje)</f>
        <v/>
      </c>
      <c r="X47" s="129" t="n"/>
      <c r="Y47" s="114" t="n"/>
      <c r="Z47" s="115" t="n"/>
    </row>
    <row r="48">
      <c r="B48" s="137">
        <f>IF(B47="","",IF(YEAR(B47+1)=Ano,B47+1,""))</f>
        <v>46060.0</v>
      </c>
      <c r="C48" s="128" t="str">
        <f>IF(B48="","",CHOOSE(WEEKDAY(B48),"Dom","Seg","Ter","Qua","Qui","Sex","Sáb"))</f>
        <v>Sáb</v>
      </c>
      <c r="D48" s="174" t="n"/>
      <c r="E48" s="106" t="n"/>
      <c r="F48" s="106" t="n"/>
      <c r="G48" s="106" t="n"/>
      <c r="H48" s="106" t="n"/>
      <c r="I48" s="129" t="n"/>
      <c r="J48" s="106" t="n"/>
      <c r="K48" s="175" t="n"/>
      <c r="L48" s="174" t="n"/>
      <c r="M48" s="174" t="n"/>
      <c r="N48" s="106" t="n"/>
      <c r="O48" s="129" t="n"/>
      <c r="Q48" s="130" t="n"/>
      <c r="R48" s="129" t="n"/>
      <c r="S48" s="129" t="n"/>
      <c r="T48" s="115" t="n"/>
      <c r="U48" s="129" t="n"/>
      <c r="V48" s="130" t="n"/>
      <c r="W48" s="134" t="str">
        <f>IF(V48="","",V48-Hoje)</f>
        <v/>
      </c>
      <c r="X48" s="129" t="n"/>
      <c r="Y48" s="114" t="n"/>
      <c r="Z48" s="115" t="n"/>
    </row>
    <row r="49">
      <c r="B49" s="137">
        <f>IF(B48="","",IF(YEAR(B48+1)=Ano,B48+1,""))</f>
        <v>46061.0</v>
      </c>
      <c r="C49" s="128" t="str">
        <f>IF(B49="","",CHOOSE(WEEKDAY(B49),"Dom","Seg","Ter","Qua","Qui","Sex","Sáb"))</f>
        <v>Dom</v>
      </c>
      <c r="D49" s="174" t="n"/>
      <c r="E49" s="106" t="n"/>
      <c r="F49" s="106" t="n"/>
      <c r="G49" s="106" t="n"/>
      <c r="H49" s="106" t="n"/>
      <c r="I49" s="129" t="n"/>
      <c r="J49" s="106" t="n"/>
      <c r="K49" s="175" t="n"/>
      <c r="L49" s="174" t="n"/>
      <c r="M49" s="174" t="n"/>
      <c r="N49" s="106" t="n"/>
      <c r="O49" s="129" t="n"/>
      <c r="Q49" s="130" t="n"/>
      <c r="R49" s="129" t="n"/>
      <c r="S49" s="129" t="n"/>
      <c r="T49" s="115" t="n"/>
      <c r="U49" s="129" t="n"/>
      <c r="V49" s="130" t="n"/>
      <c r="W49" s="134" t="str">
        <f>IF(V49="","",V49-Hoje)</f>
        <v/>
      </c>
      <c r="X49" s="129" t="n"/>
      <c r="Y49" s="114" t="n"/>
      <c r="Z49" s="115" t="n"/>
    </row>
    <row r="50">
      <c r="B50" s="137">
        <f>IF(B49="","",IF(YEAR(B49+1)=Ano,B49+1,""))</f>
        <v>46062.0</v>
      </c>
      <c r="C50" s="128" t="str">
        <f>IF(B50="","",CHOOSE(WEEKDAY(B50),"Dom","Seg","Ter","Qua","Qui","Sex","Sáb"))</f>
        <v>Seg</v>
      </c>
      <c r="D50" s="174" t="n"/>
      <c r="E50" s="106" t="n"/>
      <c r="F50" s="106" t="n"/>
      <c r="G50" s="106" t="n"/>
      <c r="H50" s="106" t="n"/>
      <c r="I50" s="129" t="n"/>
      <c r="J50" s="106" t="n"/>
      <c r="K50" s="175" t="n"/>
      <c r="L50" s="174" t="n"/>
      <c r="M50" s="174" t="n"/>
      <c r="N50" s="106" t="n"/>
      <c r="O50" s="129" t="n"/>
      <c r="Q50" s="130" t="n"/>
      <c r="R50" s="129" t="n"/>
      <c r="S50" s="129" t="n"/>
      <c r="T50" s="115" t="n"/>
      <c r="U50" s="129" t="n"/>
      <c r="V50" s="130" t="n"/>
      <c r="W50" s="134" t="str">
        <f>IF(V50="","",V50-Hoje)</f>
        <v/>
      </c>
      <c r="X50" s="129" t="n"/>
      <c r="Y50" s="114" t="n"/>
      <c r="Z50" s="115" t="n"/>
    </row>
    <row r="51">
      <c r="B51" s="137">
        <f>IF(B50="","",IF(YEAR(B50+1)=Ano,B50+1,""))</f>
        <v>46063.0</v>
      </c>
      <c r="C51" s="128" t="str">
        <f>IF(B51="","",CHOOSE(WEEKDAY(B51),"Dom","Seg","Ter","Qua","Qui","Sex","Sáb"))</f>
        <v>Ter</v>
      </c>
      <c r="D51" s="174" t="n"/>
      <c r="E51" s="106" t="n"/>
      <c r="F51" s="106" t="n"/>
      <c r="G51" s="106" t="n"/>
      <c r="H51" s="106" t="n"/>
      <c r="I51" s="129" t="n"/>
      <c r="J51" s="106" t="n"/>
      <c r="K51" s="175" t="n"/>
      <c r="L51" s="174" t="n"/>
      <c r="M51" s="174" t="n"/>
      <c r="N51" s="106" t="n"/>
      <c r="O51" s="129" t="n"/>
      <c r="Q51" s="130" t="n"/>
      <c r="R51" s="129" t="n"/>
      <c r="S51" s="129" t="n"/>
      <c r="T51" s="115" t="n"/>
      <c r="U51" s="129" t="n"/>
      <c r="V51" s="130" t="n"/>
      <c r="W51" s="134" t="str">
        <f>IF(V51="","",V51-Hoje)</f>
        <v/>
      </c>
      <c r="X51" s="129" t="n"/>
      <c r="Y51" s="114" t="n"/>
      <c r="Z51" s="115" t="n"/>
    </row>
    <row r="52">
      <c r="B52" s="137">
        <f>IF(B51="","",IF(YEAR(B51+1)=Ano,B51+1,""))</f>
        <v>46064.0</v>
      </c>
      <c r="C52" s="128" t="str">
        <f>IF(B52="","",CHOOSE(WEEKDAY(B52),"Dom","Seg","Ter","Qua","Qui","Sex","Sáb"))</f>
        <v>Qua</v>
      </c>
      <c r="D52" s="174" t="n"/>
      <c r="E52" s="106" t="n"/>
      <c r="F52" s="106" t="n"/>
      <c r="G52" s="106" t="n"/>
      <c r="H52" s="106" t="n"/>
      <c r="I52" s="129" t="n"/>
      <c r="J52" s="106" t="n"/>
      <c r="K52" s="175" t="n"/>
      <c r="L52" s="174" t="n"/>
      <c r="M52" s="174" t="n"/>
      <c r="N52" s="106" t="n"/>
      <c r="O52" s="129" t="n"/>
      <c r="Q52" s="130" t="n"/>
      <c r="R52" s="129" t="n"/>
      <c r="S52" s="129" t="n"/>
      <c r="T52" s="115" t="n"/>
      <c r="U52" s="129" t="n"/>
      <c r="V52" s="130" t="n"/>
      <c r="W52" s="134" t="str">
        <f>IF(V52="","",V52-Hoje)</f>
        <v/>
      </c>
      <c r="X52" s="129" t="n"/>
      <c r="Y52" s="114" t="n"/>
      <c r="Z52" s="115" t="n"/>
    </row>
    <row r="53">
      <c r="B53" s="137">
        <f>IF(B52="","",IF(YEAR(B52+1)=Ano,B52+1,""))</f>
        <v>46065.0</v>
      </c>
      <c r="C53" s="128" t="str">
        <f>IF(B53="","",CHOOSE(WEEKDAY(B53),"Dom","Seg","Ter","Qua","Qui","Sex","Sáb"))</f>
        <v>Qui</v>
      </c>
      <c r="D53" s="174" t="n"/>
      <c r="E53" s="106" t="n"/>
      <c r="F53" s="106" t="n"/>
      <c r="G53" s="106" t="n"/>
      <c r="H53" s="106" t="n"/>
      <c r="I53" s="129" t="n"/>
      <c r="J53" s="106" t="n"/>
      <c r="K53" s="175" t="n"/>
      <c r="L53" s="174" t="n"/>
      <c r="M53" s="174" t="n"/>
      <c r="N53" s="106" t="n"/>
      <c r="O53" s="129" t="n"/>
      <c r="Q53" s="130" t="n"/>
      <c r="R53" s="129" t="n"/>
      <c r="S53" s="129" t="n"/>
      <c r="T53" s="115" t="n"/>
      <c r="U53" s="129" t="n"/>
      <c r="V53" s="130" t="n"/>
      <c r="W53" s="134" t="str">
        <f>IF(V53="","",V53-Hoje)</f>
        <v/>
      </c>
      <c r="X53" s="129" t="n"/>
      <c r="Y53" s="114" t="n"/>
      <c r="Z53" s="115" t="n"/>
    </row>
    <row r="54">
      <c r="B54" s="137">
        <f>IF(B53="","",IF(YEAR(B53+1)=Ano,B53+1,""))</f>
        <v>46066.0</v>
      </c>
      <c r="C54" s="128" t="str">
        <f>IF(B54="","",CHOOSE(WEEKDAY(B54),"Dom","Seg","Ter","Qua","Qui","Sex","Sáb"))</f>
        <v>Sex</v>
      </c>
      <c r="D54" s="174" t="n"/>
      <c r="E54" s="106" t="n"/>
      <c r="F54" s="106" t="n"/>
      <c r="G54" s="106" t="n"/>
      <c r="H54" s="106" t="n"/>
      <c r="I54" s="129" t="n"/>
      <c r="J54" s="106" t="n"/>
      <c r="K54" s="175" t="n"/>
      <c r="L54" s="174" t="n"/>
      <c r="M54" s="174" t="n"/>
      <c r="N54" s="106" t="n"/>
      <c r="O54" s="129" t="n"/>
      <c r="Q54" s="130" t="n"/>
      <c r="R54" s="129" t="n"/>
      <c r="S54" s="129" t="n"/>
      <c r="T54" s="115" t="n"/>
      <c r="U54" s="129" t="n"/>
      <c r="V54" s="130" t="n"/>
      <c r="W54" s="134" t="str">
        <f>IF(V54="","",V54-Hoje)</f>
        <v/>
      </c>
      <c r="X54" s="129" t="n"/>
      <c r="Y54" s="114" t="n"/>
      <c r="Z54" s="115" t="n"/>
    </row>
    <row r="55">
      <c r="B55" s="137">
        <f>IF(B54="","",IF(YEAR(B54+1)=Ano,B54+1,""))</f>
        <v>46067.0</v>
      </c>
      <c r="C55" s="128" t="str">
        <f>IF(B55="","",CHOOSE(WEEKDAY(B55),"Dom","Seg","Ter","Qua","Qui","Sex","Sáb"))</f>
        <v>Sáb</v>
      </c>
      <c r="D55" s="174" t="n"/>
      <c r="E55" s="106" t="n"/>
      <c r="F55" s="106" t="n"/>
      <c r="G55" s="106" t="n"/>
      <c r="H55" s="106" t="n"/>
      <c r="I55" s="129" t="n"/>
      <c r="J55" s="106" t="n"/>
      <c r="K55" s="175" t="n"/>
      <c r="L55" s="174" t="n"/>
      <c r="M55" s="174" t="n"/>
      <c r="N55" s="106" t="n"/>
      <c r="O55" s="129" t="n"/>
      <c r="Q55" s="130" t="n"/>
      <c r="R55" s="129" t="n"/>
      <c r="S55" s="129" t="n"/>
      <c r="T55" s="115" t="n"/>
      <c r="U55" s="129" t="n"/>
      <c r="V55" s="130" t="n"/>
      <c r="W55" s="134" t="str">
        <f>IF(V55="","",V55-Hoje)</f>
        <v/>
      </c>
      <c r="X55" s="129" t="n"/>
      <c r="Y55" s="114" t="n"/>
      <c r="Z55" s="115" t="n"/>
    </row>
    <row r="56">
      <c r="B56" s="137">
        <f>IF(B55="","",IF(YEAR(B55+1)=Ano,B55+1,""))</f>
        <v>46068.0</v>
      </c>
      <c r="C56" s="128" t="str">
        <f>IF(B56="","",CHOOSE(WEEKDAY(B56),"Dom","Seg","Ter","Qua","Qui","Sex","Sáb"))</f>
        <v>Dom</v>
      </c>
      <c r="D56" s="174" t="n"/>
      <c r="E56" s="106" t="n"/>
      <c r="F56" s="106" t="n"/>
      <c r="G56" s="106" t="n"/>
      <c r="H56" s="106" t="n"/>
      <c r="I56" s="129" t="n"/>
      <c r="J56" s="106" t="n"/>
      <c r="K56" s="175" t="n"/>
      <c r="L56" s="174" t="n"/>
      <c r="M56" s="174" t="n"/>
      <c r="N56" s="106" t="n"/>
      <c r="O56" s="129" t="n"/>
      <c r="Q56" s="130" t="n"/>
      <c r="R56" s="129" t="n"/>
      <c r="S56" s="129" t="n"/>
      <c r="T56" s="115" t="n"/>
      <c r="U56" s="129" t="n"/>
      <c r="V56" s="130" t="n"/>
      <c r="W56" s="134" t="str">
        <f>IF(V56="","",V56-Hoje)</f>
        <v/>
      </c>
      <c r="X56" s="129" t="n"/>
      <c r="Y56" s="114" t="n"/>
      <c r="Z56" s="115" t="n"/>
    </row>
    <row r="57">
      <c r="B57" s="137">
        <f>IF(B56="","",IF(YEAR(B56+1)=Ano,B56+1,""))</f>
        <v>46069.0</v>
      </c>
      <c r="C57" s="128" t="str">
        <f>IF(B57="","",CHOOSE(WEEKDAY(B57),"Dom","Seg","Ter","Qua","Qui","Sex","Sáb"))</f>
        <v>Seg</v>
      </c>
      <c r="D57" s="174" t="n"/>
      <c r="E57" s="106" t="n"/>
      <c r="F57" s="106" t="n"/>
      <c r="G57" s="106" t="n"/>
      <c r="H57" s="106" t="n"/>
      <c r="I57" s="129" t="n"/>
      <c r="J57" s="106" t="n"/>
      <c r="K57" s="175" t="n"/>
      <c r="L57" s="174" t="n"/>
      <c r="M57" s="174" t="n"/>
      <c r="N57" s="106" t="n"/>
      <c r="O57" s="129" t="n"/>
    </row>
    <row r="58">
      <c r="B58" s="137">
        <f>IF(B57="","",IF(YEAR(B57+1)=Ano,B57+1,""))</f>
        <v>46070.0</v>
      </c>
      <c r="C58" s="128" t="str">
        <f>IF(B58="","",CHOOSE(WEEKDAY(B58),"Dom","Seg","Ter","Qua","Qui","Sex","Sáb"))</f>
        <v>Ter</v>
      </c>
      <c r="D58" s="174" t="n"/>
      <c r="E58" s="106" t="n"/>
      <c r="F58" s="106" t="n"/>
      <c r="G58" s="106" t="n"/>
      <c r="H58" s="106" t="n"/>
      <c r="I58" s="129" t="n"/>
      <c r="J58" s="106" t="n"/>
      <c r="K58" s="175" t="n"/>
      <c r="L58" s="174" t="n"/>
      <c r="M58" s="174" t="n"/>
      <c r="N58" s="106" t="n"/>
      <c r="O58" s="129" t="n"/>
    </row>
    <row r="59">
      <c r="B59" s="137">
        <f>IF(B58="","",IF(YEAR(B58+1)=Ano,B58+1,""))</f>
        <v>46071.0</v>
      </c>
      <c r="C59" s="128" t="str">
        <f>IF(B59="","",CHOOSE(WEEKDAY(B59),"Dom","Seg","Ter","Qua","Qui","Sex","Sáb"))</f>
        <v>Qua</v>
      </c>
      <c r="D59" s="174" t="n"/>
      <c r="E59" s="106" t="n"/>
      <c r="F59" s="106" t="n"/>
      <c r="G59" s="106" t="n"/>
      <c r="H59" s="106" t="n"/>
      <c r="I59" s="129" t="n"/>
      <c r="J59" s="106" t="n"/>
      <c r="K59" s="175" t="n"/>
      <c r="L59" s="174" t="n"/>
      <c r="M59" s="174" t="n"/>
      <c r="N59" s="106" t="n"/>
      <c r="O59" s="129" t="n"/>
    </row>
    <row r="60">
      <c r="B60" s="137">
        <f>IF(B59="","",IF(YEAR(B59+1)=Ano,B59+1,""))</f>
        <v>46072.0</v>
      </c>
      <c r="C60" s="128" t="str">
        <f>IF(B60="","",CHOOSE(WEEKDAY(B60),"Dom","Seg","Ter","Qua","Qui","Sex","Sáb"))</f>
        <v>Qui</v>
      </c>
      <c r="D60" s="174" t="n"/>
      <c r="E60" s="106" t="n"/>
      <c r="F60" s="106" t="n"/>
      <c r="G60" s="106" t="n"/>
      <c r="H60" s="106" t="n"/>
      <c r="I60" s="129" t="n"/>
      <c r="J60" s="106" t="n"/>
      <c r="K60" s="175" t="n"/>
      <c r="L60" s="174" t="n"/>
      <c r="M60" s="174" t="n"/>
      <c r="N60" s="106" t="n"/>
      <c r="O60" s="129" t="n"/>
    </row>
    <row r="61">
      <c r="B61" s="137">
        <f>IF(B60="","",IF(YEAR(B60+1)=Ano,B60+1,""))</f>
        <v>46073.0</v>
      </c>
      <c r="C61" s="128" t="str">
        <f>IF(B61="","",CHOOSE(WEEKDAY(B61),"Dom","Seg","Ter","Qua","Qui","Sex","Sáb"))</f>
        <v>Sex</v>
      </c>
      <c r="D61" s="174" t="n"/>
      <c r="E61" s="106" t="n"/>
      <c r="F61" s="106" t="n"/>
      <c r="G61" s="106" t="n"/>
      <c r="H61" s="106" t="n"/>
      <c r="I61" s="129" t="n"/>
      <c r="J61" s="106" t="n"/>
      <c r="K61" s="175" t="n"/>
      <c r="L61" s="174" t="n"/>
      <c r="M61" s="174" t="n"/>
      <c r="N61" s="106" t="n"/>
      <c r="O61" s="129" t="n"/>
    </row>
    <row r="62">
      <c r="B62" s="137">
        <f>IF(B61="","",IF(YEAR(B61+1)=Ano,B61+1,""))</f>
        <v>46074.0</v>
      </c>
      <c r="C62" s="128" t="str">
        <f>IF(B62="","",CHOOSE(WEEKDAY(B62),"Dom","Seg","Ter","Qua","Qui","Sex","Sáb"))</f>
        <v>Sáb</v>
      </c>
      <c r="D62" s="174" t="n"/>
      <c r="E62" s="106" t="n"/>
      <c r="F62" s="106" t="n"/>
      <c r="G62" s="106" t="n"/>
      <c r="H62" s="106" t="n"/>
      <c r="I62" s="129" t="n"/>
      <c r="J62" s="106" t="n"/>
      <c r="K62" s="175" t="n"/>
      <c r="L62" s="174" t="n"/>
      <c r="M62" s="174" t="n"/>
      <c r="N62" s="106" t="n"/>
      <c r="O62" s="129" t="n"/>
    </row>
    <row r="63">
      <c r="B63" s="137">
        <f>IF(B62="","",IF(YEAR(B62+1)=Ano,B62+1,""))</f>
        <v>46075.0</v>
      </c>
      <c r="C63" s="128" t="str">
        <f>IF(B63="","",CHOOSE(WEEKDAY(B63),"Dom","Seg","Ter","Qua","Qui","Sex","Sáb"))</f>
        <v>Dom</v>
      </c>
      <c r="D63" s="174" t="n"/>
      <c r="E63" s="106" t="n"/>
      <c r="F63" s="106" t="n"/>
      <c r="G63" s="106" t="n"/>
      <c r="H63" s="106" t="n"/>
      <c r="I63" s="129" t="n"/>
      <c r="J63" s="106" t="n"/>
      <c r="K63" s="175" t="n"/>
      <c r="L63" s="174" t="n"/>
      <c r="M63" s="174" t="n"/>
      <c r="N63" s="106" t="n"/>
      <c r="O63" s="129" t="n"/>
    </row>
    <row r="64">
      <c r="B64" s="137">
        <f>IF(B63="","",IF(YEAR(B63+1)=Ano,B63+1,""))</f>
        <v>46076.0</v>
      </c>
      <c r="C64" s="128" t="str">
        <f>IF(B64="","",CHOOSE(WEEKDAY(B64),"Dom","Seg","Ter","Qua","Qui","Sex","Sáb"))</f>
        <v>Seg</v>
      </c>
      <c r="D64" s="174" t="n"/>
      <c r="E64" s="106" t="n"/>
      <c r="F64" s="106" t="n"/>
      <c r="G64" s="106" t="n"/>
      <c r="H64" s="106" t="n"/>
      <c r="I64" s="129" t="n"/>
      <c r="J64" s="106" t="n"/>
      <c r="K64" s="175" t="n"/>
      <c r="L64" s="174" t="n"/>
      <c r="M64" s="174" t="n"/>
      <c r="N64" s="106" t="n"/>
      <c r="O64" s="129" t="n"/>
    </row>
    <row r="65">
      <c r="B65" s="137">
        <f>IF(B64="","",IF(YEAR(B64+1)=Ano,B64+1,""))</f>
        <v>46077.0</v>
      </c>
      <c r="C65" s="128" t="str">
        <f>IF(B65="","",CHOOSE(WEEKDAY(B65),"Dom","Seg","Ter","Qua","Qui","Sex","Sáb"))</f>
        <v>Ter</v>
      </c>
      <c r="D65" s="174" t="n"/>
      <c r="E65" s="106" t="n"/>
      <c r="F65" s="106" t="n"/>
      <c r="G65" s="106" t="n"/>
      <c r="H65" s="106" t="n"/>
      <c r="I65" s="129" t="n"/>
      <c r="J65" s="106" t="n"/>
      <c r="K65" s="175" t="n"/>
      <c r="L65" s="174" t="n"/>
      <c r="M65" s="174" t="n"/>
      <c r="N65" s="106" t="n"/>
      <c r="O65" s="129" t="n"/>
    </row>
    <row r="66">
      <c r="B66" s="137">
        <f>IF(B65="","",IF(YEAR(B65+1)=Ano,B65+1,""))</f>
        <v>46078.0</v>
      </c>
      <c r="C66" s="128" t="str">
        <f>IF(B66="","",CHOOSE(WEEKDAY(B66),"Dom","Seg","Ter","Qua","Qui","Sex","Sáb"))</f>
        <v>Qua</v>
      </c>
      <c r="D66" s="174" t="n"/>
      <c r="E66" s="106" t="n"/>
      <c r="F66" s="106" t="n"/>
      <c r="G66" s="106" t="n"/>
      <c r="H66" s="106" t="n"/>
      <c r="I66" s="129" t="n"/>
      <c r="J66" s="106" t="n"/>
      <c r="K66" s="175" t="n"/>
      <c r="L66" s="174" t="n"/>
      <c r="M66" s="174" t="n"/>
      <c r="N66" s="106" t="n"/>
      <c r="O66" s="129" t="n"/>
    </row>
    <row r="67">
      <c r="B67" s="137">
        <f>IF(B66="","",IF(YEAR(B66+1)=Ano,B66+1,""))</f>
        <v>46079.0</v>
      </c>
      <c r="C67" s="128" t="str">
        <f>IF(B67="","",CHOOSE(WEEKDAY(B67),"Dom","Seg","Ter","Qua","Qui","Sex","Sáb"))</f>
        <v>Qui</v>
      </c>
      <c r="D67" s="174" t="n"/>
      <c r="E67" s="106" t="n"/>
      <c r="F67" s="106" t="n"/>
      <c r="G67" s="106" t="n"/>
      <c r="H67" s="106" t="n"/>
      <c r="I67" s="129" t="n"/>
      <c r="J67" s="106" t="n"/>
      <c r="K67" s="175" t="n"/>
      <c r="L67" s="174" t="n"/>
      <c r="M67" s="174" t="n"/>
      <c r="N67" s="106" t="n"/>
      <c r="O67" s="129" t="n"/>
    </row>
    <row r="68">
      <c r="B68" s="137">
        <f>IF(B67="","",IF(YEAR(B67+1)=Ano,B67+1,""))</f>
        <v>46080.0</v>
      </c>
      <c r="C68" s="128" t="str">
        <f>IF(B68="","",CHOOSE(WEEKDAY(B68),"Dom","Seg","Ter","Qua","Qui","Sex","Sáb"))</f>
        <v>Sex</v>
      </c>
      <c r="D68" s="174" t="n"/>
      <c r="E68" s="106" t="n"/>
      <c r="F68" s="106" t="n"/>
      <c r="G68" s="106" t="n"/>
      <c r="H68" s="106" t="n"/>
      <c r="I68" s="129" t="n"/>
      <c r="J68" s="106" t="n"/>
      <c r="K68" s="175" t="n"/>
      <c r="L68" s="174" t="n"/>
      <c r="M68" s="174" t="n"/>
      <c r="N68" s="106" t="n"/>
      <c r="O68" s="129" t="n"/>
    </row>
    <row r="69">
      <c r="B69" s="137">
        <f>IF(B68="","",IF(YEAR(B68+1)=Ano,B68+1,""))</f>
        <v>46081.0</v>
      </c>
      <c r="C69" s="128" t="str">
        <f>IF(B69="","",CHOOSE(WEEKDAY(B69),"Dom","Seg","Ter","Qua","Qui","Sex","Sáb"))</f>
        <v>Sáb</v>
      </c>
      <c r="D69" s="174" t="n"/>
      <c r="E69" s="106" t="n"/>
      <c r="F69" s="106" t="n"/>
      <c r="G69" s="106" t="n"/>
      <c r="H69" s="106" t="n"/>
      <c r="I69" s="129" t="n"/>
      <c r="J69" s="106" t="n"/>
      <c r="K69" s="175" t="n"/>
      <c r="L69" s="174" t="n"/>
      <c r="M69" s="174" t="n"/>
      <c r="N69" s="106" t="n"/>
      <c r="O69" s="129" t="n"/>
    </row>
    <row r="70">
      <c r="B70" s="137">
        <f>IF(B69="","",IF(YEAR(B69+1)=Ano,B69+1,""))</f>
        <v>46082.0</v>
      </c>
      <c r="C70" s="128" t="str">
        <f>IF(B70="","",CHOOSE(WEEKDAY(B70),"Dom","Seg","Ter","Qua","Qui","Sex","Sáb"))</f>
        <v>Dom</v>
      </c>
      <c r="D70" s="174" t="n"/>
      <c r="E70" s="106" t="n"/>
      <c r="F70" s="106" t="n"/>
      <c r="G70" s="106" t="n"/>
      <c r="H70" s="106" t="n"/>
      <c r="I70" s="129" t="n"/>
      <c r="J70" s="106" t="n"/>
      <c r="K70" s="175" t="n"/>
      <c r="L70" s="174" t="n"/>
      <c r="M70" s="174" t="n"/>
      <c r="N70" s="106" t="n"/>
      <c r="O70" s="129" t="n"/>
    </row>
    <row r="71">
      <c r="B71" s="137">
        <f>IF(B70="","",IF(YEAR(B70+1)=Ano,B70+1,""))</f>
        <v>46083.0</v>
      </c>
      <c r="C71" s="128" t="str">
        <f>IF(B71="","",CHOOSE(WEEKDAY(B71),"Dom","Seg","Ter","Qua","Qui","Sex","Sáb"))</f>
        <v>Seg</v>
      </c>
      <c r="D71" s="174" t="n"/>
      <c r="E71" s="106" t="n"/>
      <c r="F71" s="106" t="n"/>
      <c r="G71" s="106" t="n"/>
      <c r="H71" s="106" t="n"/>
      <c r="I71" s="129" t="n"/>
      <c r="J71" s="106" t="n"/>
      <c r="K71" s="175" t="n"/>
      <c r="L71" s="174" t="n"/>
      <c r="M71" s="174" t="n"/>
      <c r="N71" s="106" t="n"/>
      <c r="O71" s="129" t="n"/>
    </row>
    <row r="72">
      <c r="B72" s="137">
        <f>IF(B71="","",IF(YEAR(B71+1)=Ano,B71+1,""))</f>
        <v>46084.0</v>
      </c>
      <c r="C72" s="128" t="str">
        <f>IF(B72="","",CHOOSE(WEEKDAY(B72),"Dom","Seg","Ter","Qua","Qui","Sex","Sáb"))</f>
        <v>Ter</v>
      </c>
      <c r="D72" s="174" t="n"/>
      <c r="E72" s="106" t="n"/>
      <c r="F72" s="106" t="n"/>
      <c r="G72" s="106" t="n"/>
      <c r="H72" s="106" t="n"/>
      <c r="I72" s="129" t="n"/>
      <c r="J72" s="106" t="n"/>
      <c r="K72" s="175" t="n"/>
      <c r="L72" s="174" t="n"/>
      <c r="M72" s="174" t="n"/>
      <c r="N72" s="106" t="n"/>
      <c r="O72" s="129" t="n"/>
    </row>
    <row r="73">
      <c r="B73" s="137">
        <f>IF(B72="","",IF(YEAR(B72+1)=Ano,B72+1,""))</f>
        <v>46085.0</v>
      </c>
      <c r="C73" s="128" t="str">
        <f>IF(B73="","",CHOOSE(WEEKDAY(B73),"Dom","Seg","Ter","Qua","Qui","Sex","Sáb"))</f>
        <v>Qua</v>
      </c>
      <c r="D73" s="174" t="n"/>
      <c r="E73" s="106" t="n"/>
      <c r="F73" s="106" t="n"/>
      <c r="G73" s="106" t="n"/>
      <c r="H73" s="106" t="n"/>
      <c r="I73" s="129" t="n"/>
      <c r="J73" s="106" t="n"/>
      <c r="K73" s="175" t="n"/>
      <c r="L73" s="174" t="n"/>
      <c r="M73" s="174" t="n"/>
      <c r="N73" s="106" t="n"/>
      <c r="O73" s="129" t="n"/>
    </row>
    <row r="74">
      <c r="B74" s="137">
        <f>IF(B73="","",IF(YEAR(B73+1)=Ano,B73+1,""))</f>
        <v>46086.0</v>
      </c>
      <c r="C74" s="128" t="str">
        <f>IF(B74="","",CHOOSE(WEEKDAY(B74),"Dom","Seg","Ter","Qua","Qui","Sex","Sáb"))</f>
        <v>Qui</v>
      </c>
      <c r="D74" s="174" t="n"/>
      <c r="E74" s="106" t="n"/>
      <c r="F74" s="106" t="n"/>
      <c r="G74" s="106" t="n"/>
      <c r="H74" s="106" t="n"/>
      <c r="I74" s="129" t="n"/>
      <c r="J74" s="106" t="n"/>
      <c r="K74" s="175" t="n"/>
      <c r="L74" s="174" t="n"/>
      <c r="M74" s="174" t="n"/>
      <c r="N74" s="106" t="n"/>
      <c r="O74" s="129" t="n"/>
    </row>
    <row r="75">
      <c r="B75" s="137">
        <f>IF(B74="","",IF(YEAR(B74+1)=Ano,B74+1,""))</f>
        <v>46087.0</v>
      </c>
      <c r="C75" s="128" t="str">
        <f>IF(B75="","",CHOOSE(WEEKDAY(B75),"Dom","Seg","Ter","Qua","Qui","Sex","Sáb"))</f>
        <v>Sex</v>
      </c>
      <c r="D75" s="174" t="n"/>
      <c r="E75" s="106" t="n"/>
      <c r="F75" s="106" t="n"/>
      <c r="G75" s="106" t="n"/>
      <c r="H75" s="106" t="n"/>
      <c r="I75" s="129" t="n"/>
      <c r="J75" s="106" t="n"/>
      <c r="K75" s="175" t="n"/>
      <c r="L75" s="174" t="n"/>
      <c r="M75" s="174" t="n"/>
      <c r="N75" s="106" t="n"/>
      <c r="O75" s="129" t="n"/>
    </row>
    <row r="76">
      <c r="B76" s="137">
        <f>IF(B75="","",IF(YEAR(B75+1)=Ano,B75+1,""))</f>
        <v>46088.0</v>
      </c>
      <c r="C76" s="128" t="str">
        <f>IF(B76="","",CHOOSE(WEEKDAY(B76),"Dom","Seg","Ter","Qua","Qui","Sex","Sáb"))</f>
        <v>Sáb</v>
      </c>
      <c r="D76" s="174" t="n"/>
      <c r="E76" s="106" t="n"/>
      <c r="F76" s="106" t="n"/>
      <c r="G76" s="106" t="n"/>
      <c r="H76" s="106" t="n"/>
      <c r="I76" s="129" t="n"/>
      <c r="J76" s="106" t="n"/>
      <c r="K76" s="175" t="n"/>
      <c r="L76" s="174" t="n"/>
      <c r="M76" s="174" t="n"/>
      <c r="N76" s="106" t="n"/>
      <c r="O76" s="129" t="n"/>
    </row>
    <row r="77">
      <c r="B77" s="137">
        <f>IF(B76="","",IF(YEAR(B76+1)=Ano,B76+1,""))</f>
        <v>46089.0</v>
      </c>
      <c r="C77" s="128" t="str">
        <f>IF(B77="","",CHOOSE(WEEKDAY(B77),"Dom","Seg","Ter","Qua","Qui","Sex","Sáb"))</f>
        <v>Dom</v>
      </c>
      <c r="D77" s="174" t="n"/>
      <c r="E77" s="106" t="n"/>
      <c r="F77" s="106" t="n"/>
      <c r="G77" s="106" t="n"/>
      <c r="H77" s="106" t="n"/>
      <c r="I77" s="129" t="n"/>
      <c r="J77" s="106" t="n"/>
      <c r="K77" s="175" t="n"/>
      <c r="L77" s="174" t="n"/>
      <c r="M77" s="174" t="n"/>
      <c r="N77" s="106" t="n"/>
      <c r="O77" s="129" t="n"/>
    </row>
    <row r="78">
      <c r="B78" s="137">
        <f>IF(B77="","",IF(YEAR(B77+1)=Ano,B77+1,""))</f>
        <v>46090.0</v>
      </c>
      <c r="C78" s="128" t="str">
        <f>IF(B78="","",CHOOSE(WEEKDAY(B78),"Dom","Seg","Ter","Qua","Qui","Sex","Sáb"))</f>
        <v>Seg</v>
      </c>
      <c r="D78" s="174" t="n"/>
      <c r="E78" s="106" t="n"/>
      <c r="F78" s="106" t="n"/>
      <c r="G78" s="106" t="n"/>
      <c r="H78" s="106" t="n"/>
      <c r="I78" s="129" t="n"/>
      <c r="J78" s="106" t="n"/>
      <c r="K78" s="175" t="n"/>
      <c r="L78" s="174" t="n"/>
      <c r="M78" s="174" t="n"/>
      <c r="N78" s="106" t="n"/>
      <c r="O78" s="129" t="n"/>
    </row>
    <row r="79">
      <c r="B79" s="137">
        <f>IF(B78="","",IF(YEAR(B78+1)=Ano,B78+1,""))</f>
        <v>46091.0</v>
      </c>
      <c r="C79" s="128" t="str">
        <f>IF(B79="","",CHOOSE(WEEKDAY(B79),"Dom","Seg","Ter","Qua","Qui","Sex","Sáb"))</f>
        <v>Ter</v>
      </c>
      <c r="D79" s="174" t="n"/>
      <c r="E79" s="106" t="n"/>
      <c r="F79" s="106" t="n"/>
      <c r="G79" s="106" t="n"/>
      <c r="H79" s="106" t="n"/>
      <c r="I79" s="129" t="n"/>
      <c r="J79" s="106" t="n"/>
      <c r="K79" s="175" t="n"/>
      <c r="L79" s="174" t="n"/>
      <c r="M79" s="174" t="n"/>
      <c r="N79" s="106" t="n"/>
      <c r="O79" s="129" t="n"/>
    </row>
    <row r="80">
      <c r="B80" s="137">
        <f>IF(B79="","",IF(YEAR(B79+1)=Ano,B79+1,""))</f>
        <v>46092.0</v>
      </c>
      <c r="C80" s="128" t="str">
        <f>IF(B80="","",CHOOSE(WEEKDAY(B80),"Dom","Seg","Ter","Qua","Qui","Sex","Sáb"))</f>
        <v>Qua</v>
      </c>
      <c r="D80" s="174" t="n"/>
      <c r="E80" s="106" t="n"/>
      <c r="F80" s="106" t="n"/>
      <c r="G80" s="106" t="n"/>
      <c r="H80" s="106" t="n"/>
      <c r="I80" s="129" t="n"/>
      <c r="J80" s="106" t="n"/>
      <c r="K80" s="175" t="n"/>
      <c r="L80" s="174" t="n"/>
      <c r="M80" s="174" t="n"/>
      <c r="N80" s="106" t="n"/>
      <c r="O80" s="129" t="n"/>
    </row>
    <row r="81">
      <c r="B81" s="137">
        <f>IF(B80="","",IF(YEAR(B80+1)=Ano,B80+1,""))</f>
        <v>46093.0</v>
      </c>
      <c r="C81" s="128" t="str">
        <f>IF(B81="","",CHOOSE(WEEKDAY(B81),"Dom","Seg","Ter","Qua","Qui","Sex","Sáb"))</f>
        <v>Qui</v>
      </c>
      <c r="D81" s="174" t="n"/>
      <c r="E81" s="106" t="n"/>
      <c r="F81" s="106" t="n"/>
      <c r="G81" s="106" t="n"/>
      <c r="H81" s="106" t="n"/>
      <c r="I81" s="129" t="n"/>
      <c r="J81" s="106" t="n"/>
      <c r="K81" s="175" t="n"/>
      <c r="L81" s="174" t="n"/>
      <c r="M81" s="174" t="n"/>
      <c r="N81" s="106" t="n"/>
      <c r="O81" s="129" t="n"/>
    </row>
    <row r="82">
      <c r="B82" s="137">
        <f>IF(B81="","",IF(YEAR(B81+1)=Ano,B81+1,""))</f>
        <v>46094.0</v>
      </c>
      <c r="C82" s="128" t="str">
        <f>IF(B82="","",CHOOSE(WEEKDAY(B82),"Dom","Seg","Ter","Qua","Qui","Sex","Sáb"))</f>
        <v>Sex</v>
      </c>
      <c r="D82" s="174" t="n"/>
      <c r="E82" s="106" t="n"/>
      <c r="F82" s="106" t="n"/>
      <c r="G82" s="106" t="n"/>
      <c r="H82" s="106" t="n"/>
      <c r="I82" s="129" t="n"/>
      <c r="J82" s="106" t="n"/>
      <c r="K82" s="175" t="n"/>
      <c r="L82" s="174" t="n"/>
      <c r="M82" s="174" t="n"/>
      <c r="N82" s="106" t="n"/>
      <c r="O82" s="129" t="n"/>
    </row>
    <row r="83">
      <c r="B83" s="137">
        <f>IF(B82="","",IF(YEAR(B82+1)=Ano,B82+1,""))</f>
        <v>46095.0</v>
      </c>
      <c r="C83" s="128" t="str">
        <f>IF(B83="","",CHOOSE(WEEKDAY(B83),"Dom","Seg","Ter","Qua","Qui","Sex","Sáb"))</f>
        <v>Sáb</v>
      </c>
      <c r="D83" s="174" t="n"/>
      <c r="E83" s="106" t="n"/>
      <c r="F83" s="106" t="n"/>
      <c r="G83" s="106" t="n"/>
      <c r="H83" s="106" t="n"/>
      <c r="I83" s="129" t="n"/>
      <c r="J83" s="106" t="n"/>
      <c r="K83" s="175" t="n"/>
      <c r="L83" s="174" t="n"/>
      <c r="M83" s="174" t="n"/>
      <c r="N83" s="106" t="n"/>
      <c r="O83" s="129" t="n"/>
    </row>
    <row r="84">
      <c r="B84" s="137">
        <f>IF(B83="","",IF(YEAR(B83+1)=Ano,B83+1,""))</f>
        <v>46096.0</v>
      </c>
      <c r="C84" s="128" t="str">
        <f>IF(B84="","",CHOOSE(WEEKDAY(B84),"Dom","Seg","Ter","Qua","Qui","Sex","Sáb"))</f>
        <v>Dom</v>
      </c>
      <c r="D84" s="174" t="n"/>
      <c r="E84" s="106" t="n"/>
      <c r="F84" s="106" t="n"/>
      <c r="G84" s="106" t="n"/>
      <c r="H84" s="106" t="n"/>
      <c r="I84" s="129" t="n"/>
      <c r="J84" s="106" t="n"/>
      <c r="K84" s="175" t="n"/>
      <c r="L84" s="174" t="n"/>
      <c r="M84" s="174" t="n"/>
      <c r="N84" s="106" t="n"/>
      <c r="O84" s="129" t="n"/>
    </row>
    <row r="85">
      <c r="B85" s="137">
        <f>IF(B84="","",IF(YEAR(B84+1)=Ano,B84+1,""))</f>
        <v>46097.0</v>
      </c>
      <c r="C85" s="128" t="str">
        <f>IF(B85="","",CHOOSE(WEEKDAY(B85),"Dom","Seg","Ter","Qua","Qui","Sex","Sáb"))</f>
        <v>Seg</v>
      </c>
      <c r="D85" s="174" t="n"/>
      <c r="E85" s="106" t="n"/>
      <c r="F85" s="106" t="n"/>
      <c r="G85" s="106" t="n"/>
      <c r="H85" s="106" t="n"/>
      <c r="I85" s="129" t="n"/>
      <c r="J85" s="106" t="n"/>
      <c r="K85" s="175" t="n"/>
      <c r="L85" s="174" t="n"/>
      <c r="M85" s="174" t="n"/>
      <c r="N85" s="106" t="n"/>
      <c r="O85" s="129" t="n"/>
    </row>
    <row r="86">
      <c r="B86" s="137">
        <f>IF(B85="","",IF(YEAR(B85+1)=Ano,B85+1,""))</f>
        <v>46098.0</v>
      </c>
      <c r="C86" s="128" t="str">
        <f>IF(B86="","",CHOOSE(WEEKDAY(B86),"Dom","Seg","Ter","Qua","Qui","Sex","Sáb"))</f>
        <v>Ter</v>
      </c>
      <c r="D86" s="174" t="n"/>
      <c r="E86" s="106" t="n"/>
      <c r="F86" s="106" t="n"/>
      <c r="G86" s="106" t="n"/>
      <c r="H86" s="106" t="n"/>
      <c r="I86" s="129" t="n"/>
      <c r="J86" s="106" t="n"/>
      <c r="K86" s="175" t="n"/>
      <c r="L86" s="174" t="n"/>
      <c r="M86" s="174" t="n"/>
      <c r="N86" s="106" t="n"/>
      <c r="O86" s="129" t="n"/>
    </row>
    <row r="87">
      <c r="B87" s="137">
        <f>IF(B86="","",IF(YEAR(B86+1)=Ano,B86+1,""))</f>
        <v>46099.0</v>
      </c>
      <c r="C87" s="128" t="str">
        <f>IF(B87="","",CHOOSE(WEEKDAY(B87),"Dom","Seg","Ter","Qua","Qui","Sex","Sáb"))</f>
        <v>Qua</v>
      </c>
      <c r="D87" s="174" t="n"/>
      <c r="E87" s="106" t="n"/>
      <c r="F87" s="106" t="n"/>
      <c r="G87" s="106" t="n"/>
      <c r="H87" s="106" t="n"/>
      <c r="I87" s="129" t="n"/>
      <c r="J87" s="106" t="n"/>
      <c r="K87" s="175" t="n"/>
      <c r="L87" s="174" t="n"/>
      <c r="M87" s="174" t="n"/>
      <c r="N87" s="106" t="n"/>
      <c r="O87" s="129" t="n"/>
    </row>
    <row r="88">
      <c r="B88" s="137">
        <f>IF(B87="","",IF(YEAR(B87+1)=Ano,B87+1,""))</f>
        <v>46100.0</v>
      </c>
      <c r="C88" s="128" t="str">
        <f>IF(B88="","",CHOOSE(WEEKDAY(B88),"Dom","Seg","Ter","Qua","Qui","Sex","Sáb"))</f>
        <v>Qui</v>
      </c>
      <c r="D88" s="174" t="n"/>
      <c r="E88" s="106" t="n"/>
      <c r="F88" s="106" t="n"/>
      <c r="G88" s="106" t="n"/>
      <c r="H88" s="106" t="n"/>
      <c r="I88" s="129" t="n"/>
      <c r="J88" s="106" t="n"/>
      <c r="K88" s="175" t="n"/>
      <c r="L88" s="174" t="n"/>
      <c r="M88" s="174" t="n"/>
      <c r="N88" s="106" t="n"/>
      <c r="O88" s="129" t="n"/>
    </row>
    <row r="89">
      <c r="B89" s="137">
        <f>IF(B88="","",IF(YEAR(B88+1)=Ano,B88+1,""))</f>
        <v>46101.0</v>
      </c>
      <c r="C89" s="128" t="str">
        <f>IF(B89="","",CHOOSE(WEEKDAY(B89),"Dom","Seg","Ter","Qua","Qui","Sex","Sáb"))</f>
        <v>Sex</v>
      </c>
      <c r="D89" s="174" t="n"/>
      <c r="E89" s="106" t="n"/>
      <c r="F89" s="106" t="n"/>
      <c r="G89" s="106" t="n"/>
      <c r="H89" s="106" t="n"/>
      <c r="I89" s="129" t="n"/>
      <c r="J89" s="106" t="n"/>
      <c r="K89" s="175" t="n"/>
      <c r="L89" s="174" t="n"/>
      <c r="M89" s="174" t="n"/>
      <c r="N89" s="106" t="n"/>
      <c r="O89" s="129" t="n"/>
    </row>
    <row r="90">
      <c r="B90" s="137">
        <f>IF(B89="","",IF(YEAR(B89+1)=Ano,B89+1,""))</f>
        <v>46102.0</v>
      </c>
      <c r="C90" s="128" t="str">
        <f>IF(B90="","",CHOOSE(WEEKDAY(B90),"Dom","Seg","Ter","Qua","Qui","Sex","Sáb"))</f>
        <v>Sáb</v>
      </c>
      <c r="D90" s="174" t="n"/>
      <c r="E90" s="106" t="n"/>
      <c r="F90" s="106" t="n"/>
      <c r="G90" s="106" t="n"/>
      <c r="H90" s="106" t="n"/>
      <c r="I90" s="129" t="n"/>
      <c r="J90" s="106" t="n"/>
      <c r="K90" s="175" t="n"/>
      <c r="L90" s="174" t="n"/>
      <c r="M90" s="174" t="n"/>
      <c r="N90" s="106" t="n"/>
      <c r="O90" s="129" t="n"/>
    </row>
    <row r="91">
      <c r="B91" s="137">
        <f>IF(B90="","",IF(YEAR(B90+1)=Ano,B90+1,""))</f>
        <v>46103.0</v>
      </c>
      <c r="C91" s="128" t="str">
        <f>IF(B91="","",CHOOSE(WEEKDAY(B91),"Dom","Seg","Ter","Qua","Qui","Sex","Sáb"))</f>
        <v>Dom</v>
      </c>
      <c r="D91" s="174" t="n"/>
      <c r="E91" s="106" t="n"/>
      <c r="F91" s="106" t="n"/>
      <c r="G91" s="106" t="n"/>
      <c r="H91" s="106" t="n"/>
      <c r="I91" s="129" t="n"/>
      <c r="J91" s="106" t="n"/>
      <c r="K91" s="175" t="n"/>
      <c r="L91" s="174" t="n"/>
      <c r="M91" s="174" t="n"/>
      <c r="N91" s="106" t="n"/>
      <c r="O91" s="129" t="n"/>
    </row>
    <row r="92">
      <c r="B92" s="137">
        <f>IF(B91="","",IF(YEAR(B91+1)=Ano,B91+1,""))</f>
        <v>46104.0</v>
      </c>
      <c r="C92" s="128" t="str">
        <f>IF(B92="","",CHOOSE(WEEKDAY(B92),"Dom","Seg","Ter","Qua","Qui","Sex","Sáb"))</f>
        <v>Seg</v>
      </c>
      <c r="D92" s="174" t="n"/>
      <c r="E92" s="106" t="n"/>
      <c r="F92" s="106" t="n"/>
      <c r="G92" s="106" t="n"/>
      <c r="H92" s="106" t="n"/>
      <c r="I92" s="129" t="n"/>
      <c r="J92" s="106" t="n"/>
      <c r="K92" s="175" t="n"/>
      <c r="L92" s="174" t="n"/>
      <c r="M92" s="174" t="n"/>
      <c r="N92" s="106" t="n"/>
      <c r="O92" s="129" t="n"/>
    </row>
    <row r="93">
      <c r="B93" s="137">
        <f>IF(B92="","",IF(YEAR(B92+1)=Ano,B92+1,""))</f>
        <v>46105.0</v>
      </c>
      <c r="C93" s="128" t="str">
        <f>IF(B93="","",CHOOSE(WEEKDAY(B93),"Dom","Seg","Ter","Qua","Qui","Sex","Sáb"))</f>
        <v>Ter</v>
      </c>
      <c r="D93" s="174" t="n"/>
      <c r="E93" s="106" t="n"/>
      <c r="F93" s="106" t="n"/>
      <c r="G93" s="106" t="n"/>
      <c r="H93" s="106" t="n"/>
      <c r="I93" s="129" t="n"/>
      <c r="J93" s="106" t="n"/>
      <c r="K93" s="175" t="n"/>
      <c r="L93" s="174" t="n"/>
      <c r="M93" s="174" t="n"/>
      <c r="N93" s="106" t="n"/>
      <c r="O93" s="129" t="n"/>
    </row>
    <row r="94">
      <c r="B94" s="137">
        <f>IF(B93="","",IF(YEAR(B93+1)=Ano,B93+1,""))</f>
        <v>46106.0</v>
      </c>
      <c r="C94" s="128" t="str">
        <f>IF(B94="","",CHOOSE(WEEKDAY(B94),"Dom","Seg","Ter","Qua","Qui","Sex","Sáb"))</f>
        <v>Qua</v>
      </c>
      <c r="D94" s="174" t="n"/>
      <c r="E94" s="106" t="n"/>
      <c r="F94" s="106" t="n"/>
      <c r="G94" s="106" t="n"/>
      <c r="H94" s="106" t="n"/>
      <c r="I94" s="129" t="n"/>
      <c r="J94" s="106" t="n"/>
      <c r="K94" s="175" t="n"/>
      <c r="L94" s="174" t="n"/>
      <c r="M94" s="174" t="n"/>
      <c r="N94" s="106" t="n"/>
      <c r="O94" s="129" t="n"/>
    </row>
    <row r="95">
      <c r="B95" s="137">
        <f>IF(B94="","",IF(YEAR(B94+1)=Ano,B94+1,""))</f>
        <v>46107.0</v>
      </c>
      <c r="C95" s="128" t="str">
        <f>IF(B95="","",CHOOSE(WEEKDAY(B95),"Dom","Seg","Ter","Qua","Qui","Sex","Sáb"))</f>
        <v>Qui</v>
      </c>
      <c r="D95" s="174" t="n"/>
      <c r="E95" s="106" t="n"/>
      <c r="F95" s="106" t="n"/>
      <c r="G95" s="106" t="n"/>
      <c r="H95" s="106" t="n"/>
      <c r="I95" s="129" t="n"/>
      <c r="J95" s="106" t="n"/>
      <c r="K95" s="175" t="n"/>
      <c r="L95" s="174" t="n"/>
      <c r="M95" s="174" t="n"/>
      <c r="N95" s="106" t="n"/>
      <c r="O95" s="129" t="n"/>
    </row>
    <row r="96">
      <c r="B96" s="137">
        <f>IF(B95="","",IF(YEAR(B95+1)=Ano,B95+1,""))</f>
        <v>46108.0</v>
      </c>
      <c r="C96" s="128" t="str">
        <f>IF(B96="","",CHOOSE(WEEKDAY(B96),"Dom","Seg","Ter","Qua","Qui","Sex","Sáb"))</f>
        <v>Sex</v>
      </c>
      <c r="D96" s="174" t="n"/>
      <c r="E96" s="106" t="n"/>
      <c r="F96" s="106" t="n"/>
      <c r="G96" s="106" t="n"/>
      <c r="H96" s="106" t="n"/>
      <c r="I96" s="129" t="n"/>
      <c r="J96" s="106" t="n"/>
      <c r="K96" s="175" t="n"/>
      <c r="L96" s="174" t="n"/>
      <c r="M96" s="174" t="n"/>
      <c r="N96" s="106" t="n"/>
      <c r="O96" s="129" t="n"/>
    </row>
    <row r="97">
      <c r="B97" s="137">
        <f>IF(B96="","",IF(YEAR(B96+1)=Ano,B96+1,""))</f>
        <v>46109.0</v>
      </c>
      <c r="C97" s="128" t="str">
        <f>IF(B97="","",CHOOSE(WEEKDAY(B97),"Dom","Seg","Ter","Qua","Qui","Sex","Sáb"))</f>
        <v>Sáb</v>
      </c>
      <c r="D97" s="174" t="n"/>
      <c r="E97" s="106" t="n"/>
      <c r="F97" s="106" t="n"/>
      <c r="G97" s="106" t="n"/>
      <c r="H97" s="106" t="n"/>
      <c r="I97" s="129" t="n"/>
      <c r="J97" s="106" t="n"/>
      <c r="K97" s="175" t="n"/>
      <c r="L97" s="174" t="n"/>
      <c r="M97" s="174" t="n"/>
      <c r="N97" s="106" t="n"/>
      <c r="O97" s="129" t="n"/>
    </row>
    <row r="98">
      <c r="B98" s="137">
        <f>IF(B97="","",IF(YEAR(B97+1)=Ano,B97+1,""))</f>
        <v>46110.0</v>
      </c>
      <c r="C98" s="128" t="str">
        <f>IF(B98="","",CHOOSE(WEEKDAY(B98),"Dom","Seg","Ter","Qua","Qui","Sex","Sáb"))</f>
        <v>Dom</v>
      </c>
      <c r="D98" s="174" t="n"/>
      <c r="E98" s="106" t="n"/>
      <c r="F98" s="106" t="n"/>
      <c r="G98" s="106" t="n"/>
      <c r="H98" s="106" t="n"/>
      <c r="I98" s="129" t="n"/>
      <c r="J98" s="106" t="n"/>
      <c r="K98" s="175" t="n"/>
      <c r="L98" s="174" t="n"/>
      <c r="M98" s="174" t="n"/>
      <c r="N98" s="106" t="n"/>
      <c r="O98" s="129" t="n"/>
    </row>
    <row r="99">
      <c r="B99" s="137">
        <f>IF(B98="","",IF(YEAR(B98+1)=Ano,B98+1,""))</f>
        <v>46111.0</v>
      </c>
      <c r="C99" s="128" t="str">
        <f>IF(B99="","",CHOOSE(WEEKDAY(B99),"Dom","Seg","Ter","Qua","Qui","Sex","Sáb"))</f>
        <v>Seg</v>
      </c>
      <c r="D99" s="174" t="n"/>
      <c r="E99" s="106" t="n"/>
      <c r="F99" s="106" t="n"/>
      <c r="G99" s="106" t="n"/>
      <c r="H99" s="106" t="n"/>
      <c r="I99" s="129" t="n"/>
      <c r="J99" s="106" t="n"/>
      <c r="K99" s="175" t="n"/>
      <c r="L99" s="174" t="n"/>
      <c r="M99" s="174" t="n"/>
      <c r="N99" s="106" t="n"/>
      <c r="O99" s="129" t="n"/>
    </row>
    <row r="100">
      <c r="B100" s="137">
        <f>IF(B99="","",IF(YEAR(B99+1)=Ano,B99+1,""))</f>
        <v>46112.0</v>
      </c>
      <c r="C100" s="128" t="str">
        <f>IF(B100="","",CHOOSE(WEEKDAY(B100),"Dom","Seg","Ter","Qua","Qui","Sex","Sáb"))</f>
        <v>Ter</v>
      </c>
      <c r="D100" s="174" t="n"/>
      <c r="E100" s="106" t="n"/>
      <c r="F100" s="106" t="n"/>
      <c r="G100" s="106" t="n"/>
      <c r="H100" s="106" t="n"/>
      <c r="I100" s="129" t="n"/>
      <c r="J100" s="106" t="n"/>
      <c r="K100" s="175" t="n"/>
      <c r="L100" s="174" t="n"/>
      <c r="M100" s="174" t="n"/>
      <c r="N100" s="106" t="n"/>
      <c r="O100" s="129" t="n"/>
    </row>
    <row r="101">
      <c r="B101" s="137">
        <f>IF(B100="","",IF(YEAR(B100+1)=Ano,B100+1,""))</f>
        <v>46113.0</v>
      </c>
      <c r="C101" s="128" t="str">
        <f>IF(B101="","",CHOOSE(WEEKDAY(B101),"Dom","Seg","Ter","Qua","Qui","Sex","Sáb"))</f>
        <v>Qua</v>
      </c>
      <c r="D101" s="174" t="n"/>
      <c r="E101" s="106" t="n"/>
      <c r="F101" s="106" t="n"/>
      <c r="G101" s="106" t="n"/>
      <c r="H101" s="106" t="n"/>
      <c r="I101" s="129" t="n"/>
      <c r="J101" s="106" t="n"/>
      <c r="K101" s="175" t="n"/>
      <c r="L101" s="174" t="n"/>
      <c r="M101" s="174" t="n"/>
      <c r="N101" s="106" t="n"/>
      <c r="O101" s="129" t="n"/>
    </row>
    <row r="102">
      <c r="B102" s="137">
        <f>IF(B101="","",IF(YEAR(B101+1)=Ano,B101+1,""))</f>
        <v>46114.0</v>
      </c>
      <c r="C102" s="128" t="str">
        <f>IF(B102="","",CHOOSE(WEEKDAY(B102),"Dom","Seg","Ter","Qua","Qui","Sex","Sáb"))</f>
        <v>Qui</v>
      </c>
      <c r="D102" s="174" t="n"/>
      <c r="E102" s="106" t="n"/>
      <c r="F102" s="106" t="n"/>
      <c r="G102" s="106" t="n"/>
      <c r="H102" s="106" t="n"/>
      <c r="I102" s="129" t="n"/>
      <c r="J102" s="106" t="n"/>
      <c r="K102" s="175" t="n"/>
      <c r="L102" s="174" t="n"/>
      <c r="M102" s="174" t="n"/>
      <c r="N102" s="106" t="n"/>
      <c r="O102" s="129" t="n"/>
    </row>
    <row r="103">
      <c r="B103" s="137">
        <f>IF(B102="","",IF(YEAR(B102+1)=Ano,B102+1,""))</f>
        <v>46115.0</v>
      </c>
      <c r="C103" s="128" t="str">
        <f>IF(B103="","",CHOOSE(WEEKDAY(B103),"Dom","Seg","Ter","Qua","Qui","Sex","Sáb"))</f>
        <v>Sex</v>
      </c>
      <c r="D103" s="174" t="n"/>
      <c r="E103" s="106" t="n"/>
      <c r="F103" s="106" t="n"/>
      <c r="G103" s="106" t="n"/>
      <c r="H103" s="106" t="n"/>
      <c r="I103" s="129" t="n"/>
      <c r="J103" s="106" t="n"/>
      <c r="K103" s="175" t="n"/>
      <c r="L103" s="174" t="n"/>
      <c r="M103" s="174" t="n"/>
      <c r="N103" s="106" t="n"/>
      <c r="O103" s="129" t="n"/>
    </row>
    <row r="104">
      <c r="B104" s="137">
        <f>IF(B103="","",IF(YEAR(B103+1)=Ano,B103+1,""))</f>
        <v>46116.0</v>
      </c>
      <c r="C104" s="128" t="str">
        <f>IF(B104="","",CHOOSE(WEEKDAY(B104),"Dom","Seg","Ter","Qua","Qui","Sex","Sáb"))</f>
        <v>Sáb</v>
      </c>
      <c r="D104" s="174" t="n"/>
      <c r="E104" s="106" t="n"/>
      <c r="F104" s="106" t="n"/>
      <c r="G104" s="106" t="n"/>
      <c r="H104" s="106" t="n"/>
      <c r="I104" s="129" t="n"/>
      <c r="J104" s="106" t="n"/>
      <c r="K104" s="175" t="n"/>
      <c r="L104" s="174" t="n"/>
      <c r="M104" s="174" t="n"/>
      <c r="N104" s="106" t="n"/>
      <c r="O104" s="129" t="n"/>
    </row>
    <row r="105">
      <c r="B105" s="137">
        <f>IF(B104="","",IF(YEAR(B104+1)=Ano,B104+1,""))</f>
        <v>46117.0</v>
      </c>
      <c r="C105" s="128" t="str">
        <f>IF(B105="","",CHOOSE(WEEKDAY(B105),"Dom","Seg","Ter","Qua","Qui","Sex","Sáb"))</f>
        <v>Dom</v>
      </c>
      <c r="D105" s="174" t="n"/>
      <c r="E105" s="106" t="n"/>
      <c r="F105" s="106" t="n"/>
      <c r="G105" s="106" t="n"/>
      <c r="H105" s="106" t="n"/>
      <c r="I105" s="129" t="n"/>
      <c r="J105" s="106" t="n"/>
      <c r="K105" s="175" t="n"/>
      <c r="L105" s="174" t="n"/>
      <c r="M105" s="174" t="n"/>
      <c r="N105" s="106" t="n"/>
      <c r="O105" s="129" t="n"/>
    </row>
    <row r="106">
      <c r="B106" s="137">
        <f>IF(B105="","",IF(YEAR(B105+1)=Ano,B105+1,""))</f>
        <v>46118.0</v>
      </c>
      <c r="C106" s="128" t="str">
        <f>IF(B106="","",CHOOSE(WEEKDAY(B106),"Dom","Seg","Ter","Qua","Qui","Sex","Sáb"))</f>
        <v>Seg</v>
      </c>
      <c r="D106" s="174" t="n"/>
      <c r="E106" s="106" t="n"/>
      <c r="F106" s="106" t="n"/>
      <c r="G106" s="106" t="n"/>
      <c r="H106" s="106" t="n"/>
      <c r="I106" s="129" t="n"/>
      <c r="J106" s="106" t="n"/>
      <c r="K106" s="175" t="n"/>
      <c r="L106" s="174" t="n"/>
      <c r="M106" s="174" t="n"/>
      <c r="N106" s="106" t="n"/>
      <c r="O106" s="129" t="n"/>
    </row>
    <row r="107">
      <c r="B107" s="137">
        <f>IF(B106="","",IF(YEAR(B106+1)=Ano,B106+1,""))</f>
        <v>46119.0</v>
      </c>
      <c r="C107" s="128" t="str">
        <f>IF(B107="","",CHOOSE(WEEKDAY(B107),"Dom","Seg","Ter","Qua","Qui","Sex","Sáb"))</f>
        <v>Ter</v>
      </c>
      <c r="D107" s="174" t="n"/>
      <c r="E107" s="106" t="n"/>
      <c r="F107" s="106" t="n"/>
      <c r="G107" s="106" t="n"/>
      <c r="H107" s="106" t="n"/>
      <c r="I107" s="129" t="n"/>
      <c r="J107" s="106" t="n"/>
      <c r="K107" s="175" t="n"/>
      <c r="L107" s="174" t="n"/>
      <c r="M107" s="174" t="n"/>
      <c r="N107" s="106" t="n"/>
      <c r="O107" s="129" t="n"/>
    </row>
    <row r="108">
      <c r="B108" s="137">
        <f>IF(B107="","",IF(YEAR(B107+1)=Ano,B107+1,""))</f>
        <v>46120.0</v>
      </c>
      <c r="C108" s="128" t="str">
        <f>IF(B108="","",CHOOSE(WEEKDAY(B108),"Dom","Seg","Ter","Qua","Qui","Sex","Sáb"))</f>
        <v>Qua</v>
      </c>
      <c r="D108" s="174" t="n"/>
      <c r="E108" s="106" t="n"/>
      <c r="F108" s="106" t="n"/>
      <c r="G108" s="106" t="n"/>
      <c r="H108" s="106" t="n"/>
      <c r="I108" s="129" t="n"/>
      <c r="J108" s="106" t="n"/>
      <c r="K108" s="175" t="n"/>
      <c r="L108" s="174" t="n"/>
      <c r="M108" s="174" t="n"/>
      <c r="N108" s="106" t="n"/>
      <c r="O108" s="129" t="n"/>
    </row>
    <row r="109">
      <c r="B109" s="137">
        <f>IF(B108="","",IF(YEAR(B108+1)=Ano,B108+1,""))</f>
        <v>46121.0</v>
      </c>
      <c r="C109" s="128" t="str">
        <f>IF(B109="","",CHOOSE(WEEKDAY(B109),"Dom","Seg","Ter","Qua","Qui","Sex","Sáb"))</f>
        <v>Qui</v>
      </c>
      <c r="D109" s="174" t="n"/>
      <c r="E109" s="106" t="n"/>
      <c r="F109" s="106" t="n"/>
      <c r="G109" s="106" t="n"/>
      <c r="H109" s="106" t="n"/>
      <c r="I109" s="129" t="n"/>
      <c r="J109" s="106" t="n"/>
      <c r="K109" s="175" t="n"/>
      <c r="L109" s="174" t="n"/>
      <c r="M109" s="174" t="n"/>
      <c r="N109" s="106" t="n"/>
      <c r="O109" s="129" t="n"/>
    </row>
    <row r="110">
      <c r="B110" s="137">
        <f>IF(B109="","",IF(YEAR(B109+1)=Ano,B109+1,""))</f>
        <v>46122.0</v>
      </c>
      <c r="C110" s="128" t="str">
        <f>IF(B110="","",CHOOSE(WEEKDAY(B110),"Dom","Seg","Ter","Qua","Qui","Sex","Sáb"))</f>
        <v>Sex</v>
      </c>
      <c r="D110" s="174" t="n"/>
      <c r="E110" s="106" t="n"/>
      <c r="F110" s="106" t="n"/>
      <c r="G110" s="106" t="n"/>
      <c r="H110" s="106" t="n"/>
      <c r="I110" s="129" t="n"/>
      <c r="J110" s="106" t="n"/>
      <c r="K110" s="175" t="n"/>
      <c r="L110" s="174" t="n"/>
      <c r="M110" s="174" t="n"/>
      <c r="N110" s="106" t="n"/>
      <c r="O110" s="129" t="n"/>
    </row>
    <row r="111">
      <c r="B111" s="137">
        <f>IF(B110="","",IF(YEAR(B110+1)=Ano,B110+1,""))</f>
        <v>46123.0</v>
      </c>
      <c r="C111" s="128" t="str">
        <f>IF(B111="","",CHOOSE(WEEKDAY(B111),"Dom","Seg","Ter","Qua","Qui","Sex","Sáb"))</f>
        <v>Sáb</v>
      </c>
      <c r="D111" s="174" t="n"/>
      <c r="E111" s="106" t="n"/>
      <c r="F111" s="106" t="n"/>
      <c r="G111" s="106" t="n"/>
      <c r="H111" s="106" t="n"/>
      <c r="I111" s="129" t="n"/>
      <c r="J111" s="106" t="n"/>
      <c r="K111" s="175" t="n"/>
      <c r="L111" s="174" t="n"/>
      <c r="M111" s="174" t="n"/>
      <c r="N111" s="106" t="n"/>
      <c r="O111" s="129" t="n"/>
    </row>
    <row r="112">
      <c r="B112" s="137">
        <f>IF(B111="","",IF(YEAR(B111+1)=Ano,B111+1,""))</f>
        <v>46124.0</v>
      </c>
      <c r="C112" s="128" t="str">
        <f>IF(B112="","",CHOOSE(WEEKDAY(B112),"Dom","Seg","Ter","Qua","Qui","Sex","Sáb"))</f>
        <v>Dom</v>
      </c>
      <c r="D112" s="174" t="n"/>
      <c r="E112" s="106" t="n"/>
      <c r="F112" s="106" t="n"/>
      <c r="G112" s="106" t="n"/>
      <c r="H112" s="106" t="n"/>
      <c r="I112" s="129" t="n"/>
      <c r="J112" s="106" t="n"/>
      <c r="K112" s="175" t="n"/>
      <c r="L112" s="174" t="n"/>
      <c r="M112" s="174" t="n"/>
      <c r="N112" s="106" t="n"/>
      <c r="O112" s="129" t="n"/>
    </row>
    <row r="113">
      <c r="B113" s="137">
        <f>IF(B112="","",IF(YEAR(B112+1)=Ano,B112+1,""))</f>
        <v>46125.0</v>
      </c>
      <c r="C113" s="128" t="str">
        <f>IF(B113="","",CHOOSE(WEEKDAY(B113),"Dom","Seg","Ter","Qua","Qui","Sex","Sáb"))</f>
        <v>Seg</v>
      </c>
      <c r="D113" s="174" t="n"/>
      <c r="E113" s="106" t="n"/>
      <c r="F113" s="106" t="n"/>
      <c r="G113" s="106" t="n"/>
      <c r="H113" s="106" t="n"/>
      <c r="I113" s="129" t="n"/>
      <c r="J113" s="106" t="n"/>
      <c r="K113" s="175" t="n"/>
      <c r="L113" s="174" t="n"/>
      <c r="M113" s="174" t="n"/>
      <c r="N113" s="106" t="n"/>
      <c r="O113" s="129" t="n"/>
    </row>
    <row r="114">
      <c r="B114" s="137">
        <f>IF(B113="","",IF(YEAR(B113+1)=Ano,B113+1,""))</f>
        <v>46126.0</v>
      </c>
      <c r="C114" s="128" t="str">
        <f>IF(B114="","",CHOOSE(WEEKDAY(B114),"Dom","Seg","Ter","Qua","Qui","Sex","Sáb"))</f>
        <v>Ter</v>
      </c>
      <c r="D114" s="174" t="n"/>
      <c r="E114" s="106" t="n"/>
      <c r="F114" s="106" t="n"/>
      <c r="G114" s="106" t="n"/>
      <c r="H114" s="106" t="n"/>
      <c r="I114" s="129" t="n"/>
      <c r="J114" s="106" t="n"/>
      <c r="K114" s="175" t="n"/>
      <c r="L114" s="174" t="n"/>
      <c r="M114" s="174" t="n"/>
      <c r="N114" s="106" t="n"/>
      <c r="O114" s="129" t="n"/>
    </row>
    <row r="115">
      <c r="B115" s="137">
        <f>IF(B114="","",IF(YEAR(B114+1)=Ano,B114+1,""))</f>
        <v>46127.0</v>
      </c>
      <c r="C115" s="128" t="str">
        <f>IF(B115="","",CHOOSE(WEEKDAY(B115),"Dom","Seg","Ter","Qua","Qui","Sex","Sáb"))</f>
        <v>Qua</v>
      </c>
      <c r="D115" s="174" t="n"/>
      <c r="E115" s="106" t="n"/>
      <c r="F115" s="106" t="n"/>
      <c r="G115" s="106" t="n"/>
      <c r="H115" s="106" t="n"/>
      <c r="I115" s="129" t="n"/>
      <c r="J115" s="106" t="n"/>
      <c r="K115" s="175" t="n"/>
      <c r="L115" s="174" t="n"/>
      <c r="M115" s="174" t="n"/>
      <c r="N115" s="106" t="n"/>
      <c r="O115" s="129" t="n"/>
    </row>
    <row r="116">
      <c r="B116" s="137">
        <f>IF(B115="","",IF(YEAR(B115+1)=Ano,B115+1,""))</f>
        <v>46128.0</v>
      </c>
      <c r="C116" s="128" t="str">
        <f>IF(B116="","",CHOOSE(WEEKDAY(B116),"Dom","Seg","Ter","Qua","Qui","Sex","Sáb"))</f>
        <v>Qui</v>
      </c>
      <c r="D116" s="174" t="n"/>
      <c r="E116" s="106" t="n"/>
      <c r="F116" s="106" t="n"/>
      <c r="G116" s="106" t="n"/>
      <c r="H116" s="106" t="n"/>
      <c r="I116" s="129" t="n"/>
      <c r="J116" s="106" t="n"/>
      <c r="K116" s="175" t="n"/>
      <c r="L116" s="174" t="n"/>
      <c r="M116" s="174" t="n"/>
      <c r="N116" s="106" t="n"/>
      <c r="O116" s="129" t="n"/>
    </row>
    <row r="117">
      <c r="B117" s="137">
        <f>IF(B116="","",IF(YEAR(B116+1)=Ano,B116+1,""))</f>
        <v>46129.0</v>
      </c>
      <c r="C117" s="128" t="str">
        <f>IF(B117="","",CHOOSE(WEEKDAY(B117),"Dom","Seg","Ter","Qua","Qui","Sex","Sáb"))</f>
        <v>Sex</v>
      </c>
      <c r="D117" s="174" t="n"/>
      <c r="E117" s="106" t="n"/>
      <c r="F117" s="106" t="n"/>
      <c r="G117" s="106" t="n"/>
      <c r="H117" s="106" t="n"/>
      <c r="I117" s="129" t="n"/>
      <c r="J117" s="106" t="n"/>
      <c r="K117" s="175" t="n"/>
      <c r="L117" s="174" t="n"/>
      <c r="M117" s="174" t="n"/>
      <c r="N117" s="106" t="n"/>
      <c r="O117" s="129" t="n"/>
    </row>
    <row r="118">
      <c r="B118" s="137">
        <f>IF(B117="","",IF(YEAR(B117+1)=Ano,B117+1,""))</f>
        <v>46130.0</v>
      </c>
      <c r="C118" s="128" t="str">
        <f>IF(B118="","",CHOOSE(WEEKDAY(B118),"Dom","Seg","Ter","Qua","Qui","Sex","Sáb"))</f>
        <v>Sáb</v>
      </c>
      <c r="D118" s="174" t="n"/>
      <c r="E118" s="106" t="n"/>
      <c r="F118" s="106" t="n"/>
      <c r="G118" s="106" t="n"/>
      <c r="H118" s="106" t="n"/>
      <c r="I118" s="129" t="n"/>
      <c r="J118" s="106" t="n"/>
      <c r="K118" s="175" t="n"/>
      <c r="L118" s="174" t="n"/>
      <c r="M118" s="174" t="n"/>
      <c r="N118" s="106" t="n"/>
      <c r="O118" s="129" t="n"/>
    </row>
    <row r="119">
      <c r="B119" s="137">
        <f>IF(B118="","",IF(YEAR(B118+1)=Ano,B118+1,""))</f>
        <v>46131.0</v>
      </c>
      <c r="C119" s="128" t="str">
        <f>IF(B119="","",CHOOSE(WEEKDAY(B119),"Dom","Seg","Ter","Qua","Qui","Sex","Sáb"))</f>
        <v>Dom</v>
      </c>
      <c r="D119" s="174" t="n"/>
      <c r="E119" s="106" t="n"/>
      <c r="F119" s="106" t="n"/>
      <c r="G119" s="106" t="n"/>
      <c r="H119" s="106" t="n"/>
      <c r="I119" s="129" t="n"/>
      <c r="J119" s="106" t="n"/>
      <c r="K119" s="175" t="n"/>
      <c r="L119" s="174" t="n"/>
      <c r="M119" s="174" t="n"/>
      <c r="N119" s="106" t="n"/>
      <c r="O119" s="129" t="n"/>
    </row>
    <row r="120">
      <c r="B120" s="137">
        <f>IF(B119="","",IF(YEAR(B119+1)=Ano,B119+1,""))</f>
        <v>46132.0</v>
      </c>
      <c r="C120" s="128" t="str">
        <f>IF(B120="","",CHOOSE(WEEKDAY(B120),"Dom","Seg","Ter","Qua","Qui","Sex","Sáb"))</f>
        <v>Seg</v>
      </c>
      <c r="D120" s="174" t="n"/>
      <c r="E120" s="106" t="n"/>
      <c r="F120" s="106" t="n"/>
      <c r="G120" s="106" t="n"/>
      <c r="H120" s="106" t="n"/>
      <c r="I120" s="129" t="n"/>
      <c r="J120" s="106" t="n"/>
      <c r="K120" s="175" t="n"/>
      <c r="L120" s="174" t="n"/>
      <c r="M120" s="174" t="n"/>
      <c r="N120" s="106" t="n"/>
      <c r="O120" s="129" t="n"/>
    </row>
    <row r="121">
      <c r="B121" s="137">
        <f>IF(B120="","",IF(YEAR(B120+1)=Ano,B120+1,""))</f>
        <v>46133.0</v>
      </c>
      <c r="C121" s="128" t="str">
        <f>IF(B121="","",CHOOSE(WEEKDAY(B121),"Dom","Seg","Ter","Qua","Qui","Sex","Sáb"))</f>
        <v>Ter</v>
      </c>
      <c r="D121" s="174" t="n"/>
      <c r="E121" s="106" t="n"/>
      <c r="F121" s="106" t="n"/>
      <c r="G121" s="106" t="n"/>
      <c r="H121" s="106" t="n"/>
      <c r="I121" s="129" t="n"/>
      <c r="J121" s="106" t="n"/>
      <c r="K121" s="175" t="n"/>
      <c r="L121" s="174" t="n"/>
      <c r="M121" s="174" t="n"/>
      <c r="N121" s="106" t="n"/>
      <c r="O121" s="129" t="n"/>
    </row>
    <row r="122">
      <c r="B122" s="137">
        <f>IF(B121="","",IF(YEAR(B121+1)=Ano,B121+1,""))</f>
        <v>46134.0</v>
      </c>
      <c r="C122" s="128" t="str">
        <f>IF(B122="","",CHOOSE(WEEKDAY(B122),"Dom","Seg","Ter","Qua","Qui","Sex","Sáb"))</f>
        <v>Qua</v>
      </c>
      <c r="D122" s="174" t="n"/>
      <c r="E122" s="106" t="n"/>
      <c r="F122" s="106" t="n"/>
      <c r="G122" s="106" t="n"/>
      <c r="H122" s="106" t="n"/>
      <c r="I122" s="129" t="n"/>
      <c r="J122" s="106" t="n"/>
      <c r="K122" s="175" t="n"/>
      <c r="L122" s="174" t="n"/>
      <c r="M122" s="174" t="n"/>
      <c r="N122" s="106" t="n"/>
      <c r="O122" s="129" t="n"/>
    </row>
    <row r="123">
      <c r="B123" s="137">
        <f>IF(B122="","",IF(YEAR(B122+1)=Ano,B122+1,""))</f>
        <v>46135.0</v>
      </c>
      <c r="C123" s="128" t="str">
        <f>IF(B123="","",CHOOSE(WEEKDAY(B123),"Dom","Seg","Ter","Qua","Qui","Sex","Sáb"))</f>
        <v>Qui</v>
      </c>
      <c r="D123" s="174" t="n"/>
      <c r="E123" s="106" t="n"/>
      <c r="F123" s="106" t="n"/>
      <c r="G123" s="106" t="n"/>
      <c r="H123" s="106" t="n"/>
      <c r="I123" s="129" t="n"/>
      <c r="J123" s="106" t="n"/>
      <c r="K123" s="175" t="n"/>
      <c r="L123" s="174" t="n"/>
      <c r="M123" s="174" t="n"/>
      <c r="N123" s="106" t="n"/>
      <c r="O123" s="129" t="n"/>
    </row>
    <row r="124">
      <c r="B124" s="137">
        <f>IF(B123="","",IF(YEAR(B123+1)=Ano,B123+1,""))</f>
        <v>46136.0</v>
      </c>
      <c r="C124" s="128" t="str">
        <f>IF(B124="","",CHOOSE(WEEKDAY(B124),"Dom","Seg","Ter","Qua","Qui","Sex","Sáb"))</f>
        <v>Sex</v>
      </c>
      <c r="D124" s="174" t="n"/>
      <c r="E124" s="106" t="n"/>
      <c r="F124" s="106" t="n"/>
      <c r="G124" s="106" t="n"/>
      <c r="H124" s="106" t="n"/>
      <c r="I124" s="129" t="n"/>
      <c r="J124" s="106" t="n"/>
      <c r="K124" s="175" t="n"/>
      <c r="L124" s="174" t="n"/>
      <c r="M124" s="174" t="n"/>
      <c r="N124" s="106" t="n"/>
      <c r="O124" s="129" t="n"/>
    </row>
    <row r="125">
      <c r="B125" s="137">
        <f>IF(B124="","",IF(YEAR(B124+1)=Ano,B124+1,""))</f>
        <v>46137.0</v>
      </c>
      <c r="C125" s="128" t="str">
        <f>IF(B125="","",CHOOSE(WEEKDAY(B125),"Dom","Seg","Ter","Qua","Qui","Sex","Sáb"))</f>
        <v>Sáb</v>
      </c>
      <c r="D125" s="174" t="n"/>
      <c r="E125" s="106" t="n"/>
      <c r="F125" s="106" t="n"/>
      <c r="G125" s="106" t="n"/>
      <c r="H125" s="106" t="n"/>
      <c r="I125" s="129" t="n"/>
      <c r="J125" s="106" t="n"/>
      <c r="K125" s="175" t="n"/>
      <c r="L125" s="174" t="n"/>
      <c r="M125" s="174" t="n"/>
      <c r="N125" s="106" t="n"/>
      <c r="O125" s="129" t="n"/>
    </row>
    <row r="126">
      <c r="B126" s="137">
        <f>IF(B125="","",IF(YEAR(B125+1)=Ano,B125+1,""))</f>
        <v>46138.0</v>
      </c>
      <c r="C126" s="128" t="str">
        <f>IF(B126="","",CHOOSE(WEEKDAY(B126),"Dom","Seg","Ter","Qua","Qui","Sex","Sáb"))</f>
        <v>Dom</v>
      </c>
      <c r="D126" s="174" t="n"/>
      <c r="E126" s="106" t="n"/>
      <c r="F126" s="106" t="n"/>
      <c r="G126" s="106" t="n"/>
      <c r="H126" s="106" t="n"/>
      <c r="I126" s="129" t="n"/>
      <c r="J126" s="106" t="n"/>
      <c r="K126" s="175" t="n"/>
      <c r="L126" s="174" t="n"/>
      <c r="M126" s="174" t="n"/>
      <c r="N126" s="106" t="n"/>
      <c r="O126" s="129" t="n"/>
    </row>
    <row r="127">
      <c r="B127" s="137">
        <f>IF(B126="","",IF(YEAR(B126+1)=Ano,B126+1,""))</f>
        <v>46139.0</v>
      </c>
      <c r="C127" s="128" t="str">
        <f>IF(B127="","",CHOOSE(WEEKDAY(B127),"Dom","Seg","Ter","Qua","Qui","Sex","Sáb"))</f>
        <v>Seg</v>
      </c>
      <c r="D127" s="174" t="n"/>
      <c r="E127" s="106" t="n"/>
      <c r="F127" s="106" t="n"/>
      <c r="G127" s="106" t="n"/>
      <c r="H127" s="106" t="n"/>
      <c r="I127" s="129" t="n"/>
      <c r="J127" s="106" t="n"/>
      <c r="K127" s="175" t="n"/>
      <c r="L127" s="174" t="n"/>
      <c r="M127" s="174" t="n"/>
      <c r="N127" s="106" t="n"/>
      <c r="O127" s="129" t="n"/>
    </row>
    <row r="128">
      <c r="B128" s="137">
        <f>IF(B127="","",IF(YEAR(B127+1)=Ano,B127+1,""))</f>
        <v>46140.0</v>
      </c>
      <c r="C128" s="128" t="str">
        <f>IF(B128="","",CHOOSE(WEEKDAY(B128),"Dom","Seg","Ter","Qua","Qui","Sex","Sáb"))</f>
        <v>Ter</v>
      </c>
      <c r="D128" s="174" t="n"/>
      <c r="E128" s="106" t="n"/>
      <c r="F128" s="106" t="n"/>
      <c r="G128" s="106" t="n"/>
      <c r="H128" s="106" t="n"/>
      <c r="I128" s="129" t="n"/>
      <c r="J128" s="106" t="n"/>
      <c r="K128" s="175" t="n"/>
      <c r="L128" s="174" t="n"/>
      <c r="M128" s="174" t="n"/>
      <c r="N128" s="106" t="n"/>
      <c r="O128" s="129" t="n"/>
    </row>
    <row r="129">
      <c r="B129" s="137">
        <f>IF(B128="","",IF(YEAR(B128+1)=Ano,B128+1,""))</f>
        <v>46141.0</v>
      </c>
      <c r="C129" s="128" t="str">
        <f>IF(B129="","",CHOOSE(WEEKDAY(B129),"Dom","Seg","Ter","Qua","Qui","Sex","Sáb"))</f>
        <v>Qua</v>
      </c>
      <c r="D129" s="174" t="n"/>
      <c r="E129" s="106" t="n"/>
      <c r="F129" s="106" t="n"/>
      <c r="G129" s="106" t="n"/>
      <c r="H129" s="106" t="n"/>
      <c r="I129" s="129" t="n"/>
      <c r="J129" s="106" t="n"/>
      <c r="K129" s="175" t="n"/>
      <c r="L129" s="174" t="n"/>
      <c r="M129" s="174" t="n"/>
      <c r="N129" s="106" t="n"/>
      <c r="O129" s="129" t="n"/>
    </row>
    <row r="130">
      <c r="B130" s="137">
        <f>IF(B129="","",IF(YEAR(B129+1)=Ano,B129+1,""))</f>
        <v>46142.0</v>
      </c>
      <c r="C130" s="128" t="str">
        <f>IF(B130="","",CHOOSE(WEEKDAY(B130),"Dom","Seg","Ter","Qua","Qui","Sex","Sáb"))</f>
        <v>Qui</v>
      </c>
      <c r="D130" s="174" t="n"/>
      <c r="E130" s="106" t="n"/>
      <c r="F130" s="106" t="n"/>
      <c r="G130" s="106" t="n"/>
      <c r="H130" s="106" t="n"/>
      <c r="I130" s="129" t="n"/>
      <c r="J130" s="106" t="n"/>
      <c r="K130" s="175" t="n"/>
      <c r="L130" s="174" t="n"/>
      <c r="M130" s="174" t="n"/>
      <c r="N130" s="106" t="n"/>
      <c r="O130" s="129" t="n"/>
    </row>
    <row r="131">
      <c r="B131" s="137">
        <f>IF(B130="","",IF(YEAR(B130+1)=Ano,B130+1,""))</f>
        <v>46143.0</v>
      </c>
      <c r="C131" s="128" t="str">
        <f>IF(B131="","",CHOOSE(WEEKDAY(B131),"Dom","Seg","Ter","Qua","Qui","Sex","Sáb"))</f>
        <v>Sex</v>
      </c>
      <c r="D131" s="174" t="n"/>
      <c r="E131" s="106" t="n"/>
      <c r="F131" s="106" t="n"/>
      <c r="G131" s="106" t="n"/>
      <c r="H131" s="106" t="n"/>
      <c r="I131" s="129" t="n"/>
      <c r="J131" s="106" t="n"/>
      <c r="K131" s="175" t="n"/>
      <c r="L131" s="174" t="n"/>
      <c r="M131" s="174" t="n"/>
      <c r="N131" s="106" t="n"/>
      <c r="O131" s="129" t="n"/>
    </row>
    <row r="132">
      <c r="B132" s="137">
        <f>IF(B131="","",IF(YEAR(B131+1)=Ano,B131+1,""))</f>
        <v>46144.0</v>
      </c>
      <c r="C132" s="128" t="str">
        <f>IF(B132="","",CHOOSE(WEEKDAY(B132),"Dom","Seg","Ter","Qua","Qui","Sex","Sáb"))</f>
        <v>Sáb</v>
      </c>
      <c r="D132" s="174" t="n"/>
      <c r="E132" s="106" t="n"/>
      <c r="F132" s="106" t="n"/>
      <c r="G132" s="106" t="n"/>
      <c r="H132" s="106" t="n"/>
      <c r="I132" s="129" t="n"/>
      <c r="J132" s="106" t="n"/>
      <c r="K132" s="175" t="n"/>
      <c r="L132" s="174" t="n"/>
      <c r="M132" s="174" t="n"/>
      <c r="N132" s="106" t="n"/>
      <c r="O132" s="129" t="n"/>
    </row>
    <row r="133">
      <c r="B133" s="137">
        <f>IF(B132="","",IF(YEAR(B132+1)=Ano,B132+1,""))</f>
        <v>46145.0</v>
      </c>
      <c r="C133" s="128" t="str">
        <f>IF(B133="","",CHOOSE(WEEKDAY(B133),"Dom","Seg","Ter","Qua","Qui","Sex","Sáb"))</f>
        <v>Dom</v>
      </c>
      <c r="D133" s="174" t="n"/>
      <c r="E133" s="106" t="n"/>
      <c r="F133" s="106" t="n"/>
      <c r="G133" s="106" t="n"/>
      <c r="H133" s="106" t="n"/>
      <c r="I133" s="129" t="n"/>
      <c r="J133" s="106" t="n"/>
      <c r="K133" s="175" t="n"/>
      <c r="L133" s="174" t="n"/>
      <c r="M133" s="174" t="n"/>
      <c r="N133" s="106" t="n"/>
      <c r="O133" s="129" t="n"/>
    </row>
    <row r="134">
      <c r="B134" s="137">
        <f>IF(B133="","",IF(YEAR(B133+1)=Ano,B133+1,""))</f>
        <v>46146.0</v>
      </c>
      <c r="C134" s="128" t="str">
        <f>IF(B134="","",CHOOSE(WEEKDAY(B134),"Dom","Seg","Ter","Qua","Qui","Sex","Sáb"))</f>
        <v>Seg</v>
      </c>
      <c r="D134" s="174" t="n"/>
      <c r="E134" s="106" t="n"/>
      <c r="F134" s="106" t="n"/>
      <c r="G134" s="106" t="n"/>
      <c r="H134" s="106" t="n"/>
      <c r="I134" s="129" t="n"/>
      <c r="J134" s="106" t="n"/>
      <c r="K134" s="175" t="n"/>
      <c r="L134" s="174" t="n"/>
      <c r="M134" s="174" t="n"/>
      <c r="N134" s="106" t="n"/>
      <c r="O134" s="129" t="n"/>
    </row>
    <row r="135">
      <c r="B135" s="137">
        <f>IF(B134="","",IF(YEAR(B134+1)=Ano,B134+1,""))</f>
        <v>46147.0</v>
      </c>
      <c r="C135" s="128" t="str">
        <f>IF(B135="","",CHOOSE(WEEKDAY(B135),"Dom","Seg","Ter","Qua","Qui","Sex","Sáb"))</f>
        <v>Ter</v>
      </c>
      <c r="D135" s="174" t="n"/>
      <c r="E135" s="106" t="n"/>
      <c r="F135" s="106" t="n"/>
      <c r="G135" s="106" t="n"/>
      <c r="H135" s="106" t="n"/>
      <c r="I135" s="129" t="n"/>
      <c r="J135" s="106" t="n"/>
      <c r="K135" s="175" t="n"/>
      <c r="L135" s="174" t="n"/>
      <c r="M135" s="174" t="n"/>
      <c r="N135" s="106" t="n"/>
      <c r="O135" s="129" t="n"/>
    </row>
    <row r="136">
      <c r="B136" s="137">
        <f>IF(B135="","",IF(YEAR(B135+1)=Ano,B135+1,""))</f>
        <v>46148.0</v>
      </c>
      <c r="C136" s="128" t="str">
        <f>IF(B136="","",CHOOSE(WEEKDAY(B136),"Dom","Seg","Ter","Qua","Qui","Sex","Sáb"))</f>
        <v>Qua</v>
      </c>
      <c r="D136" s="174" t="n"/>
      <c r="E136" s="106" t="n"/>
      <c r="F136" s="106" t="n"/>
      <c r="G136" s="106" t="n"/>
      <c r="H136" s="106" t="n"/>
      <c r="I136" s="129" t="n"/>
      <c r="J136" s="106" t="n"/>
      <c r="K136" s="175" t="n"/>
      <c r="L136" s="174" t="n"/>
      <c r="M136" s="174" t="n"/>
      <c r="N136" s="106" t="n"/>
      <c r="O136" s="129" t="n"/>
    </row>
    <row r="137">
      <c r="B137" s="137">
        <f>IF(B136="","",IF(YEAR(B136+1)=Ano,B136+1,""))</f>
        <v>46149.0</v>
      </c>
      <c r="C137" s="128" t="str">
        <f>IF(B137="","",CHOOSE(WEEKDAY(B137),"Dom","Seg","Ter","Qua","Qui","Sex","Sáb"))</f>
        <v>Qui</v>
      </c>
      <c r="D137" s="174" t="n"/>
      <c r="E137" s="106" t="n"/>
      <c r="F137" s="106" t="n"/>
      <c r="G137" s="106" t="n"/>
      <c r="H137" s="106" t="n"/>
      <c r="I137" s="129" t="n"/>
      <c r="J137" s="106" t="n"/>
      <c r="K137" s="175" t="n"/>
      <c r="L137" s="174" t="n"/>
      <c r="M137" s="174" t="n"/>
      <c r="N137" s="106" t="n"/>
      <c r="O137" s="129" t="n"/>
    </row>
    <row r="138">
      <c r="B138" s="137">
        <f>IF(B137="","",IF(YEAR(B137+1)=Ano,B137+1,""))</f>
        <v>46150.0</v>
      </c>
      <c r="C138" s="128" t="str">
        <f>IF(B138="","",CHOOSE(WEEKDAY(B138),"Dom","Seg","Ter","Qua","Qui","Sex","Sáb"))</f>
        <v>Sex</v>
      </c>
      <c r="D138" s="174" t="n"/>
      <c r="E138" s="106" t="n"/>
      <c r="F138" s="106" t="n"/>
      <c r="G138" s="106" t="n"/>
      <c r="H138" s="106" t="n"/>
      <c r="I138" s="129" t="n"/>
      <c r="J138" s="106" t="n"/>
      <c r="K138" s="175" t="n"/>
      <c r="L138" s="174" t="n"/>
      <c r="M138" s="174" t="n"/>
      <c r="N138" s="106" t="n"/>
      <c r="O138" s="129" t="n"/>
    </row>
    <row r="139">
      <c r="B139" s="137">
        <f>IF(B138="","",IF(YEAR(B138+1)=Ano,B138+1,""))</f>
        <v>46151.0</v>
      </c>
      <c r="C139" s="128" t="str">
        <f>IF(B139="","",CHOOSE(WEEKDAY(B139),"Dom","Seg","Ter","Qua","Qui","Sex","Sáb"))</f>
        <v>Sáb</v>
      </c>
      <c r="D139" s="174" t="n"/>
      <c r="E139" s="106" t="n"/>
      <c r="F139" s="106" t="n"/>
      <c r="G139" s="106" t="n"/>
      <c r="H139" s="106" t="n"/>
      <c r="I139" s="129" t="n"/>
      <c r="J139" s="106" t="n"/>
      <c r="K139" s="175" t="n"/>
      <c r="L139" s="174" t="n"/>
      <c r="M139" s="174" t="n"/>
      <c r="N139" s="106" t="n"/>
      <c r="O139" s="129" t="n"/>
    </row>
    <row r="140">
      <c r="B140" s="137">
        <f>IF(B139="","",IF(YEAR(B139+1)=Ano,B139+1,""))</f>
        <v>46152.0</v>
      </c>
      <c r="C140" s="128" t="str">
        <f>IF(B140="","",CHOOSE(WEEKDAY(B140),"Dom","Seg","Ter","Qua","Qui","Sex","Sáb"))</f>
        <v>Dom</v>
      </c>
      <c r="D140" s="174" t="n"/>
      <c r="E140" s="106" t="n"/>
      <c r="F140" s="106" t="n"/>
      <c r="G140" s="106" t="n"/>
      <c r="H140" s="106" t="n"/>
      <c r="I140" s="129" t="n"/>
      <c r="J140" s="106" t="n"/>
      <c r="K140" s="175" t="n"/>
      <c r="L140" s="174" t="n"/>
      <c r="M140" s="174" t="n"/>
      <c r="N140" s="106" t="n"/>
      <c r="O140" s="129" t="n"/>
    </row>
    <row r="141">
      <c r="B141" s="137">
        <f>IF(B140="","",IF(YEAR(B140+1)=Ano,B140+1,""))</f>
        <v>46153.0</v>
      </c>
      <c r="C141" s="128" t="str">
        <f>IF(B141="","",CHOOSE(WEEKDAY(B141),"Dom","Seg","Ter","Qua","Qui","Sex","Sáb"))</f>
        <v>Seg</v>
      </c>
      <c r="D141" s="174" t="n"/>
      <c r="E141" s="106" t="n"/>
      <c r="F141" s="106" t="n"/>
      <c r="G141" s="106" t="n"/>
      <c r="H141" s="106" t="n"/>
      <c r="I141" s="129" t="n"/>
      <c r="J141" s="106" t="n"/>
      <c r="K141" s="175" t="n"/>
      <c r="L141" s="174" t="n"/>
      <c r="M141" s="174" t="n"/>
      <c r="N141" s="106" t="n"/>
      <c r="O141" s="129" t="n"/>
    </row>
    <row r="142">
      <c r="B142" s="137">
        <f>IF(B141="","",IF(YEAR(B141+1)=Ano,B141+1,""))</f>
        <v>46154.0</v>
      </c>
      <c r="C142" s="128" t="str">
        <f>IF(B142="","",CHOOSE(WEEKDAY(B142),"Dom","Seg","Ter","Qua","Qui","Sex","Sáb"))</f>
        <v>Ter</v>
      </c>
      <c r="D142" s="174" t="n"/>
      <c r="E142" s="106" t="n"/>
      <c r="F142" s="106" t="n"/>
      <c r="G142" s="106" t="n"/>
      <c r="H142" s="106" t="n"/>
      <c r="I142" s="129" t="n"/>
      <c r="J142" s="106" t="n"/>
      <c r="K142" s="175" t="n"/>
      <c r="L142" s="174" t="n"/>
      <c r="M142" s="174" t="n"/>
      <c r="N142" s="106" t="n"/>
      <c r="O142" s="129" t="n"/>
    </row>
    <row r="143">
      <c r="B143" s="137">
        <f>IF(B142="","",IF(YEAR(B142+1)=Ano,B142+1,""))</f>
        <v>46155.0</v>
      </c>
      <c r="C143" s="128" t="str">
        <f>IF(B143="","",CHOOSE(WEEKDAY(B143),"Dom","Seg","Ter","Qua","Qui","Sex","Sáb"))</f>
        <v>Qua</v>
      </c>
      <c r="D143" s="174" t="n"/>
      <c r="E143" s="106" t="n"/>
      <c r="F143" s="106" t="n"/>
      <c r="G143" s="106" t="n"/>
      <c r="H143" s="106" t="n"/>
      <c r="I143" s="129" t="n"/>
      <c r="J143" s="106" t="n"/>
      <c r="K143" s="175" t="n"/>
      <c r="L143" s="174" t="n"/>
      <c r="M143" s="174" t="n"/>
      <c r="N143" s="106" t="n"/>
      <c r="O143" s="129" t="n"/>
    </row>
    <row r="144">
      <c r="B144" s="137">
        <f>IF(B143="","",IF(YEAR(B143+1)=Ano,B143+1,""))</f>
        <v>46156.0</v>
      </c>
      <c r="C144" s="128" t="str">
        <f>IF(B144="","",CHOOSE(WEEKDAY(B144),"Dom","Seg","Ter","Qua","Qui","Sex","Sáb"))</f>
        <v>Qui</v>
      </c>
      <c r="D144" s="174" t="n"/>
      <c r="E144" s="106" t="n"/>
      <c r="F144" s="106" t="n"/>
      <c r="G144" s="106" t="n"/>
      <c r="H144" s="106" t="n"/>
      <c r="I144" s="129" t="n"/>
      <c r="J144" s="106" t="n"/>
      <c r="K144" s="175" t="n"/>
      <c r="L144" s="174" t="n"/>
      <c r="M144" s="174" t="n"/>
      <c r="N144" s="106" t="n"/>
      <c r="O144" s="129" t="n"/>
    </row>
    <row r="145">
      <c r="B145" s="137">
        <f>IF(B144="","",IF(YEAR(B144+1)=Ano,B144+1,""))</f>
        <v>46157.0</v>
      </c>
      <c r="C145" s="128" t="str">
        <f>IF(B145="","",CHOOSE(WEEKDAY(B145),"Dom","Seg","Ter","Qua","Qui","Sex","Sáb"))</f>
        <v>Sex</v>
      </c>
      <c r="D145" s="174" t="n"/>
      <c r="E145" s="106" t="n"/>
      <c r="F145" s="106" t="n"/>
      <c r="G145" s="106" t="n"/>
      <c r="H145" s="106" t="n"/>
      <c r="I145" s="129" t="n"/>
      <c r="J145" s="106" t="n"/>
      <c r="K145" s="175" t="n"/>
      <c r="L145" s="174" t="n"/>
      <c r="M145" s="174" t="n"/>
      <c r="N145" s="106" t="n"/>
      <c r="O145" s="129" t="n"/>
    </row>
    <row r="146">
      <c r="B146" s="137">
        <f>IF(B145="","",IF(YEAR(B145+1)=Ano,B145+1,""))</f>
        <v>46158.0</v>
      </c>
      <c r="C146" s="128" t="str">
        <f>IF(B146="","",CHOOSE(WEEKDAY(B146),"Dom","Seg","Ter","Qua","Qui","Sex","Sáb"))</f>
        <v>Sáb</v>
      </c>
      <c r="D146" s="174" t="n"/>
      <c r="E146" s="106" t="n"/>
      <c r="F146" s="106" t="n"/>
      <c r="G146" s="106" t="n"/>
      <c r="H146" s="106" t="n"/>
      <c r="I146" s="129" t="n"/>
      <c r="J146" s="106" t="n"/>
      <c r="K146" s="175" t="n"/>
      <c r="L146" s="174" t="n"/>
      <c r="M146" s="174" t="n"/>
      <c r="N146" s="106" t="n"/>
      <c r="O146" s="129" t="n"/>
    </row>
    <row r="147">
      <c r="B147" s="137">
        <f>IF(B146="","",IF(YEAR(B146+1)=Ano,B146+1,""))</f>
        <v>46159.0</v>
      </c>
      <c r="C147" s="128" t="str">
        <f>IF(B147="","",CHOOSE(WEEKDAY(B147),"Dom","Seg","Ter","Qua","Qui","Sex","Sáb"))</f>
        <v>Dom</v>
      </c>
      <c r="D147" s="174" t="n"/>
      <c r="E147" s="106" t="n"/>
      <c r="F147" s="106" t="n"/>
      <c r="G147" s="106" t="n"/>
      <c r="H147" s="106" t="n"/>
      <c r="I147" s="129" t="n"/>
      <c r="J147" s="106" t="n"/>
      <c r="K147" s="175" t="n"/>
      <c r="L147" s="174" t="n"/>
      <c r="M147" s="174" t="n"/>
      <c r="N147" s="106" t="n"/>
      <c r="O147" s="129" t="n"/>
    </row>
    <row r="148">
      <c r="B148" s="137">
        <f>IF(B147="","",IF(YEAR(B147+1)=Ano,B147+1,""))</f>
        <v>46160.0</v>
      </c>
      <c r="C148" s="128" t="str">
        <f>IF(B148="","",CHOOSE(WEEKDAY(B148),"Dom","Seg","Ter","Qua","Qui","Sex","Sáb"))</f>
        <v>Seg</v>
      </c>
      <c r="D148" s="174" t="n"/>
      <c r="E148" s="106" t="n"/>
      <c r="F148" s="106" t="n"/>
      <c r="G148" s="106" t="n"/>
      <c r="H148" s="106" t="n"/>
      <c r="I148" s="129" t="n"/>
      <c r="J148" s="106" t="n"/>
      <c r="K148" s="175" t="n"/>
      <c r="L148" s="174" t="n"/>
      <c r="M148" s="174" t="n"/>
      <c r="N148" s="106" t="n"/>
      <c r="O148" s="129" t="n"/>
    </row>
    <row r="149">
      <c r="B149" s="137">
        <f>IF(B148="","",IF(YEAR(B148+1)=Ano,B148+1,""))</f>
        <v>46161.0</v>
      </c>
      <c r="C149" s="128" t="str">
        <f>IF(B149="","",CHOOSE(WEEKDAY(B149),"Dom","Seg","Ter","Qua","Qui","Sex","Sáb"))</f>
        <v>Ter</v>
      </c>
      <c r="D149" s="174" t="n"/>
      <c r="E149" s="106" t="n"/>
      <c r="F149" s="106" t="n"/>
      <c r="G149" s="106" t="n"/>
      <c r="H149" s="106" t="n"/>
      <c r="I149" s="129" t="n"/>
      <c r="J149" s="106" t="n"/>
      <c r="K149" s="175" t="n"/>
      <c r="L149" s="174" t="n"/>
      <c r="M149" s="174" t="n"/>
      <c r="N149" s="106" t="n"/>
      <c r="O149" s="129" t="n"/>
    </row>
    <row r="150">
      <c r="B150" s="137">
        <f>IF(B149="","",IF(YEAR(B149+1)=Ano,B149+1,""))</f>
        <v>46162.0</v>
      </c>
      <c r="C150" s="128" t="str">
        <f>IF(B150="","",CHOOSE(WEEKDAY(B150),"Dom","Seg","Ter","Qua","Qui","Sex","Sáb"))</f>
        <v>Qua</v>
      </c>
      <c r="D150" s="174" t="n"/>
      <c r="E150" s="106" t="n"/>
      <c r="F150" s="106" t="n"/>
      <c r="G150" s="106" t="n"/>
      <c r="H150" s="106" t="n"/>
      <c r="I150" s="129" t="n"/>
      <c r="J150" s="106" t="n"/>
      <c r="K150" s="175" t="n"/>
      <c r="L150" s="174" t="n"/>
      <c r="M150" s="174" t="n"/>
      <c r="N150" s="106" t="n"/>
      <c r="O150" s="129" t="n"/>
    </row>
    <row r="151">
      <c r="B151" s="137">
        <f>IF(B150="","",IF(YEAR(B150+1)=Ano,B150+1,""))</f>
        <v>46163.0</v>
      </c>
      <c r="C151" s="128" t="str">
        <f>IF(B151="","",CHOOSE(WEEKDAY(B151),"Dom","Seg","Ter","Qua","Qui","Sex","Sáb"))</f>
        <v>Qui</v>
      </c>
      <c r="D151" s="174" t="n"/>
      <c r="E151" s="106" t="n"/>
      <c r="F151" s="106" t="n"/>
      <c r="G151" s="106" t="n"/>
      <c r="H151" s="106" t="n"/>
      <c r="I151" s="129" t="n"/>
      <c r="J151" s="106" t="n"/>
      <c r="K151" s="175" t="n"/>
      <c r="L151" s="174" t="n"/>
      <c r="M151" s="174" t="n"/>
      <c r="N151" s="106" t="n"/>
      <c r="O151" s="129" t="n"/>
    </row>
    <row r="152">
      <c r="B152" s="137">
        <f>IF(B151="","",IF(YEAR(B151+1)=Ano,B151+1,""))</f>
        <v>46164.0</v>
      </c>
      <c r="C152" s="128" t="str">
        <f>IF(B152="","",CHOOSE(WEEKDAY(B152),"Dom","Seg","Ter","Qua","Qui","Sex","Sáb"))</f>
        <v>Sex</v>
      </c>
      <c r="D152" s="174" t="n"/>
      <c r="E152" s="106" t="n"/>
      <c r="F152" s="106" t="n"/>
      <c r="G152" s="106" t="n"/>
      <c r="H152" s="106" t="n"/>
      <c r="I152" s="129" t="n"/>
      <c r="J152" s="106" t="n"/>
      <c r="K152" s="175" t="n"/>
      <c r="L152" s="174" t="n"/>
      <c r="M152" s="174" t="n"/>
      <c r="N152" s="106" t="n"/>
      <c r="O152" s="129" t="n"/>
    </row>
    <row r="153">
      <c r="B153" s="137">
        <f>IF(B152="","",IF(YEAR(B152+1)=Ano,B152+1,""))</f>
        <v>46165.0</v>
      </c>
      <c r="C153" s="128" t="str">
        <f>IF(B153="","",CHOOSE(WEEKDAY(B153),"Dom","Seg","Ter","Qua","Qui","Sex","Sáb"))</f>
        <v>Sáb</v>
      </c>
      <c r="D153" s="174" t="n"/>
      <c r="E153" s="106" t="n"/>
      <c r="F153" s="106" t="n"/>
      <c r="G153" s="106" t="n"/>
      <c r="H153" s="106" t="n"/>
      <c r="I153" s="129" t="n"/>
      <c r="J153" s="106" t="n"/>
      <c r="K153" s="175" t="n"/>
      <c r="L153" s="174" t="n"/>
      <c r="M153" s="174" t="n"/>
      <c r="N153" s="106" t="n"/>
      <c r="O153" s="129" t="n"/>
    </row>
    <row r="154">
      <c r="B154" s="137">
        <f>IF(B153="","",IF(YEAR(B153+1)=Ano,B153+1,""))</f>
        <v>46166.0</v>
      </c>
      <c r="C154" s="128" t="str">
        <f>IF(B154="","",CHOOSE(WEEKDAY(B154),"Dom","Seg","Ter","Qua","Qui","Sex","Sáb"))</f>
        <v>Dom</v>
      </c>
      <c r="D154" s="174" t="n"/>
      <c r="E154" s="106" t="n"/>
      <c r="F154" s="106" t="n"/>
      <c r="G154" s="106" t="n"/>
      <c r="H154" s="106" t="n"/>
      <c r="I154" s="129" t="n"/>
      <c r="J154" s="106" t="n"/>
      <c r="K154" s="175" t="n"/>
      <c r="L154" s="174" t="n"/>
      <c r="M154" s="174" t="n"/>
      <c r="N154" s="106" t="n"/>
      <c r="O154" s="129" t="n"/>
    </row>
    <row r="155">
      <c r="B155" s="137">
        <f>IF(B154="","",IF(YEAR(B154+1)=Ano,B154+1,""))</f>
        <v>46167.0</v>
      </c>
      <c r="C155" s="128" t="str">
        <f>IF(B155="","",CHOOSE(WEEKDAY(B155),"Dom","Seg","Ter","Qua","Qui","Sex","Sáb"))</f>
        <v>Seg</v>
      </c>
      <c r="D155" s="174" t="n"/>
      <c r="E155" s="106" t="n"/>
      <c r="F155" s="106" t="n"/>
      <c r="G155" s="106" t="n"/>
      <c r="H155" s="106" t="n"/>
      <c r="I155" s="129" t="n"/>
      <c r="J155" s="106" t="n"/>
      <c r="K155" s="175" t="n"/>
      <c r="L155" s="174" t="n"/>
      <c r="M155" s="174" t="n"/>
      <c r="N155" s="106" t="n"/>
      <c r="O155" s="129" t="n"/>
    </row>
    <row r="156">
      <c r="B156" s="137">
        <f>IF(B155="","",IF(YEAR(B155+1)=Ano,B155+1,""))</f>
        <v>46168.0</v>
      </c>
      <c r="C156" s="128" t="str">
        <f>IF(B156="","",CHOOSE(WEEKDAY(B156),"Dom","Seg","Ter","Qua","Qui","Sex","Sáb"))</f>
        <v>Ter</v>
      </c>
      <c r="D156" s="174" t="n"/>
      <c r="E156" s="106" t="n"/>
      <c r="F156" s="106" t="n"/>
      <c r="G156" s="106" t="n"/>
      <c r="H156" s="106" t="n"/>
      <c r="I156" s="129" t="n"/>
      <c r="J156" s="106" t="n"/>
      <c r="K156" s="175" t="n"/>
      <c r="L156" s="174" t="n"/>
      <c r="M156" s="174" t="n"/>
      <c r="N156" s="106" t="n"/>
      <c r="O156" s="129" t="n"/>
    </row>
    <row r="157">
      <c r="B157" s="137">
        <f>IF(B156="","",IF(YEAR(B156+1)=Ano,B156+1,""))</f>
        <v>46169.0</v>
      </c>
      <c r="C157" s="128" t="str">
        <f>IF(B157="","",CHOOSE(WEEKDAY(B157),"Dom","Seg","Ter","Qua","Qui","Sex","Sáb"))</f>
        <v>Qua</v>
      </c>
      <c r="D157" s="174" t="n"/>
      <c r="E157" s="106" t="n"/>
      <c r="F157" s="106" t="n"/>
      <c r="G157" s="106" t="n"/>
      <c r="H157" s="106" t="n"/>
      <c r="I157" s="129" t="n"/>
      <c r="J157" s="106" t="n"/>
      <c r="K157" s="175" t="n"/>
      <c r="L157" s="174" t="n"/>
      <c r="M157" s="174" t="n"/>
      <c r="N157" s="106" t="n"/>
      <c r="O157" s="129" t="n"/>
    </row>
    <row r="158">
      <c r="B158" s="137">
        <f>IF(B157="","",IF(YEAR(B157+1)=Ano,B157+1,""))</f>
        <v>46170.0</v>
      </c>
      <c r="C158" s="128" t="str">
        <f>IF(B158="","",CHOOSE(WEEKDAY(B158),"Dom","Seg","Ter","Qua","Qui","Sex","Sáb"))</f>
        <v>Qui</v>
      </c>
      <c r="D158" s="174" t="n"/>
      <c r="E158" s="106" t="n"/>
      <c r="F158" s="106" t="n"/>
      <c r="G158" s="106" t="n"/>
      <c r="H158" s="106" t="n"/>
      <c r="I158" s="129" t="n"/>
      <c r="J158" s="106" t="n"/>
      <c r="K158" s="175" t="n"/>
      <c r="L158" s="174" t="n"/>
      <c r="M158" s="174" t="n"/>
      <c r="N158" s="106" t="n"/>
      <c r="O158" s="129" t="n"/>
    </row>
    <row r="159">
      <c r="B159" s="137">
        <f>IF(B158="","",IF(YEAR(B158+1)=Ano,B158+1,""))</f>
        <v>46171.0</v>
      </c>
      <c r="C159" s="128" t="str">
        <f>IF(B159="","",CHOOSE(WEEKDAY(B159),"Dom","Seg","Ter","Qua","Qui","Sex","Sáb"))</f>
        <v>Sex</v>
      </c>
      <c r="D159" s="174" t="n"/>
      <c r="E159" s="106" t="n"/>
      <c r="F159" s="106" t="n"/>
      <c r="G159" s="106" t="n"/>
      <c r="H159" s="106" t="n"/>
      <c r="I159" s="129" t="n"/>
      <c r="J159" s="106" t="n"/>
      <c r="K159" s="175" t="n"/>
      <c r="L159" s="174" t="n"/>
      <c r="M159" s="174" t="n"/>
      <c r="N159" s="106" t="n"/>
      <c r="O159" s="129" t="n"/>
    </row>
    <row r="160">
      <c r="B160" s="137">
        <f>IF(B159="","",IF(YEAR(B159+1)=Ano,B159+1,""))</f>
        <v>46172.0</v>
      </c>
      <c r="C160" s="128" t="str">
        <f>IF(B160="","",CHOOSE(WEEKDAY(B160),"Dom","Seg","Ter","Qua","Qui","Sex","Sáb"))</f>
        <v>Sáb</v>
      </c>
      <c r="D160" s="174" t="n"/>
      <c r="E160" s="106" t="n"/>
      <c r="F160" s="106" t="n"/>
      <c r="G160" s="106" t="n"/>
      <c r="H160" s="106" t="n"/>
      <c r="I160" s="129" t="n"/>
      <c r="J160" s="106" t="n"/>
      <c r="K160" s="175" t="n"/>
      <c r="L160" s="174" t="n"/>
      <c r="M160" s="174" t="n"/>
      <c r="N160" s="106" t="n"/>
      <c r="O160" s="129" t="n"/>
    </row>
    <row r="161">
      <c r="B161" s="137">
        <f>IF(B160="","",IF(YEAR(B160+1)=Ano,B160+1,""))</f>
        <v>46173.0</v>
      </c>
      <c r="C161" s="128" t="str">
        <f>IF(B161="","",CHOOSE(WEEKDAY(B161),"Dom","Seg","Ter","Qua","Qui","Sex","Sáb"))</f>
        <v>Dom</v>
      </c>
      <c r="D161" s="174" t="n"/>
      <c r="E161" s="106" t="n"/>
      <c r="F161" s="106" t="n"/>
      <c r="G161" s="106" t="n"/>
      <c r="H161" s="106" t="n"/>
      <c r="I161" s="129" t="n"/>
      <c r="J161" s="106" t="n"/>
      <c r="K161" s="175" t="n"/>
      <c r="L161" s="174" t="n"/>
      <c r="M161" s="174" t="n"/>
      <c r="N161" s="106" t="n"/>
      <c r="O161" s="129" t="n"/>
    </row>
    <row r="162">
      <c r="B162" s="137">
        <f>IF(B161="","",IF(YEAR(B161+1)=Ano,B161+1,""))</f>
        <v>46174.0</v>
      </c>
      <c r="C162" s="128" t="str">
        <f>IF(B162="","",CHOOSE(WEEKDAY(B162),"Dom","Seg","Ter","Qua","Qui","Sex","Sáb"))</f>
        <v>Seg</v>
      </c>
      <c r="D162" s="174" t="n"/>
      <c r="E162" s="106" t="n"/>
      <c r="F162" s="106" t="n"/>
      <c r="G162" s="106" t="n"/>
      <c r="H162" s="106" t="n"/>
      <c r="I162" s="129" t="n"/>
      <c r="J162" s="106" t="n"/>
      <c r="K162" s="175" t="n"/>
      <c r="L162" s="174" t="n"/>
      <c r="M162" s="174" t="n"/>
      <c r="N162" s="106" t="n"/>
      <c r="O162" s="129" t="n"/>
    </row>
    <row r="163">
      <c r="B163" s="137">
        <f>IF(B162="","",IF(YEAR(B162+1)=Ano,B162+1,""))</f>
        <v>46175.0</v>
      </c>
      <c r="C163" s="128" t="str">
        <f>IF(B163="","",CHOOSE(WEEKDAY(B163),"Dom","Seg","Ter","Qua","Qui","Sex","Sáb"))</f>
        <v>Ter</v>
      </c>
      <c r="D163" s="174" t="n"/>
      <c r="E163" s="106" t="n"/>
      <c r="F163" s="106" t="n"/>
      <c r="G163" s="106" t="n"/>
      <c r="H163" s="106" t="n"/>
      <c r="I163" s="129" t="n"/>
      <c r="J163" s="106" t="n"/>
      <c r="K163" s="175" t="n"/>
      <c r="L163" s="174" t="n"/>
      <c r="M163" s="174" t="n"/>
      <c r="N163" s="106" t="n"/>
      <c r="O163" s="129" t="n"/>
    </row>
    <row r="164">
      <c r="B164" s="137">
        <f>IF(B163="","",IF(YEAR(B163+1)=Ano,B163+1,""))</f>
        <v>46176.0</v>
      </c>
      <c r="C164" s="128" t="str">
        <f>IF(B164="","",CHOOSE(WEEKDAY(B164),"Dom","Seg","Ter","Qua","Qui","Sex","Sáb"))</f>
        <v>Qua</v>
      </c>
      <c r="D164" s="174" t="n"/>
      <c r="E164" s="106" t="n"/>
      <c r="F164" s="106" t="n"/>
      <c r="G164" s="106" t="n"/>
      <c r="H164" s="106" t="n"/>
      <c r="I164" s="129" t="n"/>
      <c r="J164" s="106" t="n"/>
      <c r="K164" s="175" t="n"/>
      <c r="L164" s="174" t="n"/>
      <c r="M164" s="174" t="n"/>
      <c r="N164" s="106" t="n"/>
      <c r="O164" s="129" t="n"/>
    </row>
    <row r="165">
      <c r="B165" s="137">
        <f>IF(B164="","",IF(YEAR(B164+1)=Ano,B164+1,""))</f>
        <v>46177.0</v>
      </c>
      <c r="C165" s="128" t="str">
        <f>IF(B165="","",CHOOSE(WEEKDAY(B165),"Dom","Seg","Ter","Qua","Qui","Sex","Sáb"))</f>
        <v>Qui</v>
      </c>
      <c r="D165" s="174" t="n"/>
      <c r="E165" s="106" t="n"/>
      <c r="F165" s="106" t="n"/>
      <c r="G165" s="106" t="n"/>
      <c r="H165" s="106" t="n"/>
      <c r="I165" s="129" t="n"/>
      <c r="J165" s="106" t="n"/>
      <c r="K165" s="175" t="n"/>
      <c r="L165" s="174" t="n"/>
      <c r="M165" s="174" t="n"/>
      <c r="N165" s="106" t="n"/>
      <c r="O165" s="129" t="n"/>
    </row>
    <row r="166">
      <c r="B166" s="137">
        <f>IF(B165="","",IF(YEAR(B165+1)=Ano,B165+1,""))</f>
        <v>46178.0</v>
      </c>
      <c r="C166" s="128" t="str">
        <f>IF(B166="","",CHOOSE(WEEKDAY(B166),"Dom","Seg","Ter","Qua","Qui","Sex","Sáb"))</f>
        <v>Sex</v>
      </c>
      <c r="D166" s="174" t="n"/>
      <c r="E166" s="106" t="n"/>
      <c r="F166" s="106" t="n"/>
      <c r="G166" s="106" t="n"/>
      <c r="H166" s="106" t="n"/>
      <c r="I166" s="129" t="n"/>
      <c r="J166" s="106" t="n"/>
      <c r="K166" s="175" t="n"/>
      <c r="L166" s="174" t="n"/>
      <c r="M166" s="174" t="n"/>
      <c r="N166" s="106" t="n"/>
      <c r="O166" s="129" t="n"/>
    </row>
    <row r="167">
      <c r="B167" s="137">
        <f>IF(B166="","",IF(YEAR(B166+1)=Ano,B166+1,""))</f>
        <v>46179.0</v>
      </c>
      <c r="C167" s="128" t="str">
        <f>IF(B167="","",CHOOSE(WEEKDAY(B167),"Dom","Seg","Ter","Qua","Qui","Sex","Sáb"))</f>
        <v>Sáb</v>
      </c>
      <c r="D167" s="174" t="n"/>
      <c r="E167" s="106" t="n"/>
      <c r="F167" s="106" t="n"/>
      <c r="G167" s="106" t="n"/>
      <c r="H167" s="106" t="n"/>
      <c r="I167" s="129" t="n"/>
      <c r="J167" s="106" t="n"/>
      <c r="K167" s="175" t="n"/>
      <c r="L167" s="174" t="n"/>
      <c r="M167" s="174" t="n"/>
      <c r="N167" s="106" t="n"/>
      <c r="O167" s="129" t="n"/>
    </row>
    <row r="168">
      <c r="B168" s="137">
        <f>IF(B167="","",IF(YEAR(B167+1)=Ano,B167+1,""))</f>
        <v>46180.0</v>
      </c>
      <c r="C168" s="128" t="str">
        <f>IF(B168="","",CHOOSE(WEEKDAY(B168),"Dom","Seg","Ter","Qua","Qui","Sex","Sáb"))</f>
        <v>Dom</v>
      </c>
      <c r="D168" s="174" t="n"/>
      <c r="E168" s="106" t="n"/>
      <c r="F168" s="106" t="n"/>
      <c r="G168" s="106" t="n"/>
      <c r="H168" s="106" t="n"/>
      <c r="I168" s="129" t="n"/>
      <c r="J168" s="106" t="n"/>
      <c r="K168" s="175" t="n"/>
      <c r="L168" s="174" t="n"/>
      <c r="M168" s="174" t="n"/>
      <c r="N168" s="106" t="n"/>
      <c r="O168" s="129" t="n"/>
    </row>
    <row r="169">
      <c r="B169" s="137">
        <f>IF(B168="","",IF(YEAR(B168+1)=Ano,B168+1,""))</f>
        <v>46181.0</v>
      </c>
      <c r="C169" s="128" t="str">
        <f>IF(B169="","",CHOOSE(WEEKDAY(B169),"Dom","Seg","Ter","Qua","Qui","Sex","Sáb"))</f>
        <v>Seg</v>
      </c>
      <c r="D169" s="174" t="n"/>
      <c r="E169" s="106" t="n"/>
      <c r="F169" s="106" t="n"/>
      <c r="G169" s="106" t="n"/>
      <c r="H169" s="106" t="n"/>
      <c r="I169" s="129" t="n"/>
      <c r="J169" s="106" t="n"/>
      <c r="K169" s="175" t="n"/>
      <c r="L169" s="174" t="n"/>
      <c r="M169" s="174" t="n"/>
      <c r="N169" s="106" t="n"/>
      <c r="O169" s="129" t="n"/>
    </row>
    <row r="170">
      <c r="B170" s="137">
        <f>IF(B169="","",IF(YEAR(B169+1)=Ano,B169+1,""))</f>
        <v>46182.0</v>
      </c>
      <c r="C170" s="128" t="str">
        <f>IF(B170="","",CHOOSE(WEEKDAY(B170),"Dom","Seg","Ter","Qua","Qui","Sex","Sáb"))</f>
        <v>Ter</v>
      </c>
      <c r="D170" s="174" t="n"/>
      <c r="E170" s="106" t="n"/>
      <c r="F170" s="106" t="n"/>
      <c r="G170" s="106" t="n"/>
      <c r="H170" s="106" t="n"/>
      <c r="I170" s="129" t="n"/>
      <c r="J170" s="106" t="n"/>
      <c r="K170" s="175" t="n"/>
      <c r="L170" s="174" t="n"/>
      <c r="M170" s="174" t="n"/>
      <c r="N170" s="106" t="n"/>
      <c r="O170" s="129" t="n"/>
    </row>
    <row r="171">
      <c r="B171" s="137">
        <f>IF(B170="","",IF(YEAR(B170+1)=Ano,B170+1,""))</f>
        <v>46183.0</v>
      </c>
      <c r="C171" s="128" t="str">
        <f>IF(B171="","",CHOOSE(WEEKDAY(B171),"Dom","Seg","Ter","Qua","Qui","Sex","Sáb"))</f>
        <v>Qua</v>
      </c>
      <c r="D171" s="174" t="n"/>
      <c r="E171" s="106" t="n"/>
      <c r="F171" s="106" t="n"/>
      <c r="G171" s="106" t="n"/>
      <c r="H171" s="106" t="n"/>
      <c r="I171" s="129" t="n"/>
      <c r="J171" s="106" t="n"/>
      <c r="K171" s="175" t="n"/>
      <c r="L171" s="174" t="n"/>
      <c r="M171" s="174" t="n"/>
      <c r="N171" s="106" t="n"/>
      <c r="O171" s="129" t="n"/>
    </row>
    <row r="172">
      <c r="B172" s="137">
        <f>IF(B171="","",IF(YEAR(B171+1)=Ano,B171+1,""))</f>
        <v>46184.0</v>
      </c>
      <c r="C172" s="128" t="str">
        <f>IF(B172="","",CHOOSE(WEEKDAY(B172),"Dom","Seg","Ter","Qua","Qui","Sex","Sáb"))</f>
        <v>Qui</v>
      </c>
      <c r="D172" s="174" t="n"/>
      <c r="E172" s="106" t="n"/>
      <c r="F172" s="106" t="n"/>
      <c r="G172" s="106" t="n"/>
      <c r="H172" s="106" t="n"/>
      <c r="I172" s="129" t="n"/>
      <c r="J172" s="106" t="n"/>
      <c r="K172" s="175" t="n"/>
      <c r="L172" s="174" t="n"/>
      <c r="M172" s="174" t="n"/>
      <c r="N172" s="106" t="n"/>
      <c r="O172" s="129" t="n"/>
    </row>
    <row r="173">
      <c r="B173" s="137">
        <f>IF(B172="","",IF(YEAR(B172+1)=Ano,B172+1,""))</f>
        <v>46185.0</v>
      </c>
      <c r="C173" s="128" t="str">
        <f>IF(B173="","",CHOOSE(WEEKDAY(B173),"Dom","Seg","Ter","Qua","Qui","Sex","Sáb"))</f>
        <v>Sex</v>
      </c>
      <c r="D173" s="174" t="n"/>
      <c r="E173" s="106" t="n"/>
      <c r="F173" s="106" t="n"/>
      <c r="G173" s="106" t="n"/>
      <c r="H173" s="106" t="n"/>
      <c r="I173" s="129" t="n"/>
      <c r="J173" s="106" t="n"/>
      <c r="K173" s="175" t="n"/>
      <c r="L173" s="174" t="n"/>
      <c r="M173" s="174" t="n"/>
      <c r="N173" s="106" t="n"/>
      <c r="O173" s="129" t="n"/>
    </row>
    <row r="174">
      <c r="B174" s="137">
        <f>IF(B173="","",IF(YEAR(B173+1)=Ano,B173+1,""))</f>
        <v>46186.0</v>
      </c>
      <c r="C174" s="128" t="str">
        <f>IF(B174="","",CHOOSE(WEEKDAY(B174),"Dom","Seg","Ter","Qua","Qui","Sex","Sáb"))</f>
        <v>Sáb</v>
      </c>
      <c r="D174" s="174" t="n"/>
      <c r="E174" s="106" t="n"/>
      <c r="F174" s="106" t="n"/>
      <c r="G174" s="106" t="n"/>
      <c r="H174" s="106" t="n"/>
      <c r="I174" s="129" t="n"/>
      <c r="J174" s="106" t="n"/>
      <c r="K174" s="175" t="n"/>
      <c r="L174" s="174" t="n"/>
      <c r="M174" s="174" t="n"/>
      <c r="N174" s="106" t="n"/>
      <c r="O174" s="129" t="n"/>
    </row>
    <row r="175">
      <c r="B175" s="137">
        <f>IF(B174="","",IF(YEAR(B174+1)=Ano,B174+1,""))</f>
        <v>46187.0</v>
      </c>
      <c r="C175" s="128" t="str">
        <f>IF(B175="","",CHOOSE(WEEKDAY(B175),"Dom","Seg","Ter","Qua","Qui","Sex","Sáb"))</f>
        <v>Dom</v>
      </c>
      <c r="D175" s="174" t="n"/>
      <c r="E175" s="106" t="n"/>
      <c r="F175" s="106" t="n"/>
      <c r="G175" s="106" t="n"/>
      <c r="H175" s="106" t="n"/>
      <c r="I175" s="129" t="n"/>
      <c r="J175" s="106" t="n"/>
      <c r="K175" s="175" t="n"/>
      <c r="L175" s="174" t="n"/>
      <c r="M175" s="174" t="n"/>
      <c r="N175" s="106" t="n"/>
      <c r="O175" s="129" t="n"/>
    </row>
    <row r="176">
      <c r="B176" s="137">
        <f>IF(B175="","",IF(YEAR(B175+1)=Ano,B175+1,""))</f>
        <v>46188.0</v>
      </c>
      <c r="C176" s="128" t="str">
        <f>IF(B176="","",CHOOSE(WEEKDAY(B176),"Dom","Seg","Ter","Qua","Qui","Sex","Sáb"))</f>
        <v>Seg</v>
      </c>
      <c r="D176" s="174" t="n"/>
      <c r="E176" s="106" t="n"/>
      <c r="F176" s="106" t="n"/>
      <c r="G176" s="106" t="n"/>
      <c r="H176" s="106" t="n"/>
      <c r="I176" s="129" t="n"/>
      <c r="J176" s="106" t="n"/>
      <c r="K176" s="175" t="n"/>
      <c r="L176" s="174" t="n"/>
      <c r="M176" s="174" t="n"/>
      <c r="N176" s="106" t="n"/>
      <c r="O176" s="129" t="n"/>
    </row>
    <row r="177">
      <c r="B177" s="137">
        <f>IF(B176="","",IF(YEAR(B176+1)=Ano,B176+1,""))</f>
        <v>46189.0</v>
      </c>
      <c r="C177" s="128" t="str">
        <f>IF(B177="","",CHOOSE(WEEKDAY(B177),"Dom","Seg","Ter","Qua","Qui","Sex","Sáb"))</f>
        <v>Ter</v>
      </c>
      <c r="D177" s="174" t="n"/>
      <c r="E177" s="106" t="n"/>
      <c r="F177" s="106" t="n"/>
      <c r="G177" s="106" t="n"/>
      <c r="H177" s="106" t="n"/>
      <c r="I177" s="129" t="n"/>
      <c r="J177" s="106" t="n"/>
      <c r="K177" s="175" t="n"/>
      <c r="L177" s="174" t="n"/>
      <c r="M177" s="174" t="n"/>
      <c r="N177" s="106" t="n"/>
      <c r="O177" s="129" t="n"/>
    </row>
    <row r="178">
      <c r="B178" s="137">
        <f>IF(B177="","",IF(YEAR(B177+1)=Ano,B177+1,""))</f>
        <v>46190.0</v>
      </c>
      <c r="C178" s="128" t="str">
        <f>IF(B178="","",CHOOSE(WEEKDAY(B178),"Dom","Seg","Ter","Qua","Qui","Sex","Sáb"))</f>
        <v>Qua</v>
      </c>
      <c r="D178" s="174" t="n"/>
      <c r="E178" s="106" t="n"/>
      <c r="F178" s="106" t="n"/>
      <c r="G178" s="106" t="n"/>
      <c r="H178" s="106" t="n"/>
      <c r="I178" s="129" t="n"/>
      <c r="J178" s="106" t="n"/>
      <c r="K178" s="175" t="n"/>
      <c r="L178" s="174" t="n"/>
      <c r="M178" s="174" t="n"/>
      <c r="N178" s="106" t="n"/>
      <c r="O178" s="129" t="n"/>
    </row>
    <row r="179">
      <c r="B179" s="137">
        <f>IF(B178="","",IF(YEAR(B178+1)=Ano,B178+1,""))</f>
        <v>46191.0</v>
      </c>
      <c r="C179" s="128" t="str">
        <f>IF(B179="","",CHOOSE(WEEKDAY(B179),"Dom","Seg","Ter","Qua","Qui","Sex","Sáb"))</f>
        <v>Qui</v>
      </c>
      <c r="D179" s="174" t="n"/>
      <c r="E179" s="106" t="n"/>
      <c r="F179" s="106" t="n"/>
      <c r="G179" s="106" t="n"/>
      <c r="H179" s="106" t="n"/>
      <c r="I179" s="129" t="n"/>
      <c r="J179" s="106" t="n"/>
      <c r="K179" s="175" t="n"/>
      <c r="L179" s="174" t="n"/>
      <c r="M179" s="174" t="n"/>
      <c r="N179" s="106" t="n"/>
      <c r="O179" s="129" t="n"/>
    </row>
    <row r="180">
      <c r="B180" s="137">
        <f>IF(B179="","",IF(YEAR(B179+1)=Ano,B179+1,""))</f>
        <v>46192.0</v>
      </c>
      <c r="C180" s="128" t="str">
        <f>IF(B180="","",CHOOSE(WEEKDAY(B180),"Dom","Seg","Ter","Qua","Qui","Sex","Sáb"))</f>
        <v>Sex</v>
      </c>
      <c r="D180" s="174" t="n"/>
      <c r="E180" s="106" t="n"/>
      <c r="F180" s="106" t="n"/>
      <c r="G180" s="106" t="n"/>
      <c r="H180" s="106" t="n"/>
      <c r="I180" s="129" t="n"/>
      <c r="J180" s="106" t="n"/>
      <c r="K180" s="175" t="n"/>
      <c r="L180" s="174" t="n"/>
      <c r="M180" s="174" t="n"/>
      <c r="N180" s="106" t="n"/>
      <c r="O180" s="129" t="n"/>
    </row>
    <row r="181">
      <c r="B181" s="137">
        <f>IF(B180="","",IF(YEAR(B180+1)=Ano,B180+1,""))</f>
        <v>46193.0</v>
      </c>
      <c r="C181" s="128" t="str">
        <f>IF(B181="","",CHOOSE(WEEKDAY(B181),"Dom","Seg","Ter","Qua","Qui","Sex","Sáb"))</f>
        <v>Sáb</v>
      </c>
      <c r="D181" s="174" t="n"/>
      <c r="E181" s="106" t="n"/>
      <c r="F181" s="106" t="n"/>
      <c r="G181" s="106" t="n"/>
      <c r="H181" s="106" t="n"/>
      <c r="I181" s="129" t="n"/>
      <c r="J181" s="106" t="n"/>
      <c r="K181" s="175" t="n"/>
      <c r="L181" s="174" t="n"/>
      <c r="M181" s="174" t="n"/>
      <c r="N181" s="106" t="n"/>
      <c r="O181" s="129" t="n"/>
    </row>
    <row r="182">
      <c r="B182" s="137">
        <f>IF(B181="","",IF(YEAR(B181+1)=Ano,B181+1,""))</f>
        <v>46194.0</v>
      </c>
      <c r="C182" s="128" t="str">
        <f>IF(B182="","",CHOOSE(WEEKDAY(B182),"Dom","Seg","Ter","Qua","Qui","Sex","Sáb"))</f>
        <v>Dom</v>
      </c>
      <c r="D182" s="174" t="n"/>
      <c r="E182" s="106" t="n"/>
      <c r="F182" s="106" t="n"/>
      <c r="G182" s="106" t="n"/>
      <c r="H182" s="106" t="n"/>
      <c r="I182" s="129" t="n"/>
      <c r="J182" s="106" t="n"/>
      <c r="K182" s="175" t="n"/>
      <c r="L182" s="174" t="n"/>
      <c r="M182" s="174" t="n"/>
      <c r="N182" s="106" t="n"/>
      <c r="O182" s="129" t="n"/>
    </row>
    <row r="183">
      <c r="B183" s="137">
        <f>IF(B182="","",IF(YEAR(B182+1)=Ano,B182+1,""))</f>
        <v>46195.0</v>
      </c>
      <c r="C183" s="128" t="str">
        <f>IF(B183="","",CHOOSE(WEEKDAY(B183),"Dom","Seg","Ter","Qua","Qui","Sex","Sáb"))</f>
        <v>Seg</v>
      </c>
      <c r="D183" s="174" t="n"/>
      <c r="E183" s="106" t="n"/>
      <c r="F183" s="106" t="n"/>
      <c r="G183" s="106" t="n"/>
      <c r="H183" s="106" t="n"/>
      <c r="I183" s="129" t="n"/>
      <c r="J183" s="106" t="n"/>
      <c r="K183" s="175" t="n"/>
      <c r="L183" s="174" t="n"/>
      <c r="M183" s="174" t="n"/>
      <c r="N183" s="106" t="n"/>
      <c r="O183" s="129" t="n"/>
    </row>
    <row r="184">
      <c r="B184" s="137">
        <f>IF(B183="","",IF(YEAR(B183+1)=Ano,B183+1,""))</f>
        <v>46196.0</v>
      </c>
      <c r="C184" s="128" t="str">
        <f>IF(B184="","",CHOOSE(WEEKDAY(B184),"Dom","Seg","Ter","Qua","Qui","Sex","Sáb"))</f>
        <v>Ter</v>
      </c>
      <c r="D184" s="174" t="n"/>
      <c r="E184" s="106" t="n"/>
      <c r="F184" s="106" t="n"/>
      <c r="G184" s="106" t="n"/>
      <c r="H184" s="106" t="n"/>
      <c r="I184" s="129" t="n"/>
      <c r="J184" s="106" t="n"/>
      <c r="K184" s="175" t="n"/>
      <c r="L184" s="174" t="n"/>
      <c r="M184" s="174" t="n"/>
      <c r="N184" s="106" t="n"/>
      <c r="O184" s="129" t="n"/>
    </row>
    <row r="185">
      <c r="B185" s="137">
        <f>IF(B184="","",IF(YEAR(B184+1)=Ano,B184+1,""))</f>
        <v>46197.0</v>
      </c>
      <c r="C185" s="128" t="str">
        <f>IF(B185="","",CHOOSE(WEEKDAY(B185),"Dom","Seg","Ter","Qua","Qui","Sex","Sáb"))</f>
        <v>Qua</v>
      </c>
      <c r="D185" s="174" t="n"/>
      <c r="E185" s="106" t="n"/>
      <c r="F185" s="106" t="n"/>
      <c r="G185" s="106" t="n"/>
      <c r="H185" s="106" t="n"/>
      <c r="I185" s="129" t="n"/>
      <c r="J185" s="106" t="n"/>
      <c r="K185" s="175" t="n"/>
      <c r="L185" s="174" t="n"/>
      <c r="M185" s="174" t="n"/>
      <c r="N185" s="106" t="n"/>
      <c r="O185" s="129" t="n"/>
    </row>
    <row r="186">
      <c r="B186" s="137">
        <f>IF(B185="","",IF(YEAR(B185+1)=Ano,B185+1,""))</f>
        <v>46198.0</v>
      </c>
      <c r="C186" s="128" t="str">
        <f>IF(B186="","",CHOOSE(WEEKDAY(B186),"Dom","Seg","Ter","Qua","Qui","Sex","Sáb"))</f>
        <v>Qui</v>
      </c>
      <c r="D186" s="174" t="n"/>
      <c r="E186" s="106" t="n"/>
      <c r="F186" s="106" t="n"/>
      <c r="G186" s="106" t="n"/>
      <c r="H186" s="106" t="n"/>
      <c r="I186" s="129" t="n"/>
      <c r="J186" s="106" t="n"/>
      <c r="K186" s="175" t="n"/>
      <c r="L186" s="174" t="n"/>
      <c r="M186" s="174" t="n"/>
      <c r="N186" s="106" t="n"/>
      <c r="O186" s="129" t="n"/>
    </row>
    <row r="187">
      <c r="B187" s="137">
        <f>IF(B186="","",IF(YEAR(B186+1)=Ano,B186+1,""))</f>
        <v>46199.0</v>
      </c>
      <c r="C187" s="128" t="str">
        <f>IF(B187="","",CHOOSE(WEEKDAY(B187),"Dom","Seg","Ter","Qua","Qui","Sex","Sáb"))</f>
        <v>Sex</v>
      </c>
      <c r="D187" s="174" t="n"/>
      <c r="E187" s="106" t="n"/>
      <c r="F187" s="106" t="n"/>
      <c r="G187" s="106" t="n"/>
      <c r="H187" s="106" t="n"/>
      <c r="I187" s="129" t="n"/>
      <c r="J187" s="106" t="n"/>
      <c r="K187" s="175" t="n"/>
      <c r="L187" s="174" t="n"/>
      <c r="M187" s="174" t="n"/>
      <c r="N187" s="106" t="n"/>
      <c r="O187" s="129" t="n"/>
    </row>
    <row r="188">
      <c r="B188" s="137">
        <f>IF(B187="","",IF(YEAR(B187+1)=Ano,B187+1,""))</f>
        <v>46200.0</v>
      </c>
      <c r="C188" s="128" t="str">
        <f>IF(B188="","",CHOOSE(WEEKDAY(B188),"Dom","Seg","Ter","Qua","Qui","Sex","Sáb"))</f>
        <v>Sáb</v>
      </c>
      <c r="D188" s="174" t="n"/>
      <c r="E188" s="106" t="n"/>
      <c r="F188" s="106" t="n"/>
      <c r="G188" s="106" t="n"/>
      <c r="H188" s="106" t="n"/>
      <c r="I188" s="129" t="n"/>
      <c r="J188" s="106" t="n"/>
      <c r="K188" s="175" t="n"/>
      <c r="L188" s="174" t="n"/>
      <c r="M188" s="174" t="n"/>
      <c r="N188" s="106" t="n"/>
      <c r="O188" s="129" t="n"/>
    </row>
    <row r="189">
      <c r="B189" s="137">
        <f>IF(B188="","",IF(YEAR(B188+1)=Ano,B188+1,""))</f>
        <v>46201.0</v>
      </c>
      <c r="C189" s="128" t="str">
        <f>IF(B189="","",CHOOSE(WEEKDAY(B189),"Dom","Seg","Ter","Qua","Qui","Sex","Sáb"))</f>
        <v>Dom</v>
      </c>
      <c r="D189" s="174" t="n"/>
      <c r="E189" s="106" t="n"/>
      <c r="F189" s="106" t="n"/>
      <c r="G189" s="106" t="n"/>
      <c r="H189" s="106" t="n"/>
      <c r="I189" s="129" t="n"/>
      <c r="J189" s="106" t="n"/>
      <c r="K189" s="175" t="n"/>
      <c r="L189" s="174" t="n"/>
      <c r="M189" s="174" t="n"/>
      <c r="N189" s="106" t="n"/>
      <c r="O189" s="129" t="n"/>
    </row>
    <row r="190">
      <c r="B190" s="137">
        <f>IF(B189="","",IF(YEAR(B189+1)=Ano,B189+1,""))</f>
        <v>46202.0</v>
      </c>
      <c r="C190" s="128" t="str">
        <f>IF(B190="","",CHOOSE(WEEKDAY(B190),"Dom","Seg","Ter","Qua","Qui","Sex","Sáb"))</f>
        <v>Seg</v>
      </c>
      <c r="D190" s="174" t="n"/>
      <c r="E190" s="106" t="n"/>
      <c r="F190" s="106" t="n"/>
      <c r="G190" s="106" t="n"/>
      <c r="H190" s="106" t="n"/>
      <c r="I190" s="129" t="n"/>
      <c r="J190" s="106" t="n"/>
      <c r="K190" s="175" t="n"/>
      <c r="L190" s="174" t="n"/>
      <c r="M190" s="174" t="n"/>
      <c r="N190" s="106" t="n"/>
      <c r="O190" s="129" t="n"/>
    </row>
    <row r="191">
      <c r="B191" s="137">
        <f>IF(B190="","",IF(YEAR(B190+1)=Ano,B190+1,""))</f>
        <v>46203.0</v>
      </c>
      <c r="C191" s="128" t="str">
        <f>IF(B191="","",CHOOSE(WEEKDAY(B191),"Dom","Seg","Ter","Qua","Qui","Sex","Sáb"))</f>
        <v>Ter</v>
      </c>
      <c r="D191" s="174" t="n"/>
      <c r="E191" s="106" t="n"/>
      <c r="F191" s="106" t="n"/>
      <c r="G191" s="106" t="n"/>
      <c r="H191" s="106" t="n"/>
      <c r="I191" s="129" t="n"/>
      <c r="J191" s="106" t="n"/>
      <c r="K191" s="175" t="n"/>
      <c r="L191" s="174" t="n"/>
      <c r="M191" s="174" t="n"/>
      <c r="N191" s="106" t="n"/>
      <c r="O191" s="129" t="n"/>
    </row>
    <row r="192">
      <c r="B192" s="137">
        <f>IF(B191="","",IF(YEAR(B191+1)=Ano,B191+1,""))</f>
        <v>46204.0</v>
      </c>
      <c r="C192" s="128" t="str">
        <f>IF(B192="","",CHOOSE(WEEKDAY(B192),"Dom","Seg","Ter","Qua","Qui","Sex","Sáb"))</f>
        <v>Qua</v>
      </c>
      <c r="D192" s="174" t="n"/>
      <c r="E192" s="106" t="n"/>
      <c r="F192" s="106" t="n"/>
      <c r="G192" s="106" t="n"/>
      <c r="H192" s="106" t="n"/>
      <c r="I192" s="129" t="n"/>
      <c r="J192" s="106" t="n"/>
      <c r="K192" s="175" t="n"/>
      <c r="L192" s="174" t="n"/>
      <c r="M192" s="174" t="n"/>
      <c r="N192" s="106" t="n"/>
      <c r="O192" s="129" t="n"/>
    </row>
    <row r="193">
      <c r="B193" s="137">
        <f>IF(B192="","",IF(YEAR(B192+1)=Ano,B192+1,""))</f>
        <v>46205.0</v>
      </c>
      <c r="C193" s="128" t="str">
        <f>IF(B193="","",CHOOSE(WEEKDAY(B193),"Dom","Seg","Ter","Qua","Qui","Sex","Sáb"))</f>
        <v>Qui</v>
      </c>
      <c r="D193" s="174" t="n"/>
      <c r="E193" s="106" t="n"/>
      <c r="F193" s="106" t="n"/>
      <c r="G193" s="106" t="n"/>
      <c r="H193" s="106" t="n"/>
      <c r="I193" s="129" t="n"/>
      <c r="J193" s="106" t="n"/>
      <c r="K193" s="175" t="n"/>
      <c r="L193" s="174" t="n"/>
      <c r="M193" s="174" t="n"/>
      <c r="N193" s="106" t="n"/>
      <c r="O193" s="129" t="n"/>
    </row>
    <row r="194">
      <c r="B194" s="137">
        <f>IF(B193="","",IF(YEAR(B193+1)=Ano,B193+1,""))</f>
        <v>46206.0</v>
      </c>
      <c r="C194" s="128" t="str">
        <f>IF(B194="","",CHOOSE(WEEKDAY(B194),"Dom","Seg","Ter","Qua","Qui","Sex","Sáb"))</f>
        <v>Sex</v>
      </c>
      <c r="D194" s="174" t="n"/>
      <c r="E194" s="106" t="n"/>
      <c r="F194" s="106" t="n"/>
      <c r="G194" s="106" t="n"/>
      <c r="H194" s="106" t="n"/>
      <c r="I194" s="129" t="n"/>
      <c r="J194" s="106" t="n"/>
      <c r="K194" s="175" t="n"/>
      <c r="L194" s="174" t="n"/>
      <c r="M194" s="174" t="n"/>
      <c r="N194" s="106" t="n"/>
      <c r="O194" s="129" t="n"/>
    </row>
    <row r="195">
      <c r="B195" s="137">
        <f>IF(B194="","",IF(YEAR(B194+1)=Ano,B194+1,""))</f>
        <v>46207.0</v>
      </c>
      <c r="C195" s="128" t="str">
        <f>IF(B195="","",CHOOSE(WEEKDAY(B195),"Dom","Seg","Ter","Qua","Qui","Sex","Sáb"))</f>
        <v>Sáb</v>
      </c>
      <c r="D195" s="174" t="n"/>
      <c r="E195" s="106" t="n"/>
      <c r="F195" s="106" t="n"/>
      <c r="G195" s="106" t="n"/>
      <c r="H195" s="106" t="n"/>
      <c r="I195" s="129" t="n"/>
      <c r="J195" s="106" t="n"/>
      <c r="K195" s="175" t="n"/>
      <c r="L195" s="174" t="n"/>
      <c r="M195" s="174" t="n"/>
      <c r="N195" s="106" t="n"/>
      <c r="O195" s="129" t="n"/>
    </row>
    <row r="196">
      <c r="B196" s="137">
        <f>IF(B195="","",IF(YEAR(B195+1)=Ano,B195+1,""))</f>
        <v>46208.0</v>
      </c>
      <c r="C196" s="128" t="str">
        <f>IF(B196="","",CHOOSE(WEEKDAY(B196),"Dom","Seg","Ter","Qua","Qui","Sex","Sáb"))</f>
        <v>Dom</v>
      </c>
      <c r="D196" s="174" t="n"/>
      <c r="E196" s="106" t="n"/>
      <c r="F196" s="106" t="n"/>
      <c r="G196" s="106" t="n"/>
      <c r="H196" s="106" t="n"/>
      <c r="I196" s="129" t="n"/>
      <c r="J196" s="106" t="n"/>
      <c r="K196" s="175" t="n"/>
      <c r="L196" s="174" t="n"/>
      <c r="M196" s="174" t="n"/>
      <c r="N196" s="106" t="n"/>
      <c r="O196" s="129" t="n"/>
    </row>
    <row r="197">
      <c r="B197" s="137">
        <f>IF(B196="","",IF(YEAR(B196+1)=Ano,B196+1,""))</f>
        <v>46209.0</v>
      </c>
      <c r="C197" s="128" t="str">
        <f>IF(B197="","",CHOOSE(WEEKDAY(B197),"Dom","Seg","Ter","Qua","Qui","Sex","Sáb"))</f>
        <v>Seg</v>
      </c>
      <c r="D197" s="174" t="n"/>
      <c r="E197" s="106" t="n"/>
      <c r="F197" s="106" t="n"/>
      <c r="G197" s="106" t="n"/>
      <c r="H197" s="106" t="n"/>
      <c r="I197" s="129" t="n"/>
      <c r="J197" s="106" t="n"/>
      <c r="K197" s="175" t="n"/>
      <c r="L197" s="174" t="n"/>
      <c r="M197" s="174" t="n"/>
      <c r="N197" s="106" t="n"/>
      <c r="O197" s="129" t="n"/>
    </row>
    <row r="198">
      <c r="B198" s="137">
        <f>IF(B197="","",IF(YEAR(B197+1)=Ano,B197+1,""))</f>
        <v>46210.0</v>
      </c>
      <c r="C198" s="128" t="str">
        <f>IF(B198="","",CHOOSE(WEEKDAY(B198),"Dom","Seg","Ter","Qua","Qui","Sex","Sáb"))</f>
        <v>Ter</v>
      </c>
      <c r="D198" s="174" t="n"/>
      <c r="E198" s="106" t="n"/>
      <c r="F198" s="106" t="n"/>
      <c r="G198" s="106" t="n"/>
      <c r="H198" s="106" t="n"/>
      <c r="I198" s="129" t="n"/>
      <c r="J198" s="106" t="n"/>
      <c r="K198" s="175" t="n"/>
      <c r="L198" s="174" t="n"/>
      <c r="M198" s="174" t="n"/>
      <c r="N198" s="106" t="n"/>
      <c r="O198" s="129" t="n"/>
    </row>
    <row r="199">
      <c r="B199" s="137">
        <f>IF(B198="","",IF(YEAR(B198+1)=Ano,B198+1,""))</f>
        <v>46211.0</v>
      </c>
      <c r="C199" s="128" t="str">
        <f>IF(B199="","",CHOOSE(WEEKDAY(B199),"Dom","Seg","Ter","Qua","Qui","Sex","Sáb"))</f>
        <v>Qua</v>
      </c>
      <c r="D199" s="174" t="n"/>
      <c r="E199" s="106" t="n"/>
      <c r="F199" s="106" t="n"/>
      <c r="G199" s="106" t="n"/>
      <c r="H199" s="106" t="n"/>
      <c r="I199" s="129" t="n"/>
      <c r="J199" s="106" t="n"/>
      <c r="K199" s="175" t="n"/>
      <c r="L199" s="174" t="n"/>
      <c r="M199" s="174" t="n"/>
      <c r="N199" s="106" t="n"/>
      <c r="O199" s="129" t="n"/>
    </row>
    <row r="200">
      <c r="B200" s="137">
        <f>IF(B199="","",IF(YEAR(B199+1)=Ano,B199+1,""))</f>
        <v>46212.0</v>
      </c>
      <c r="C200" s="128" t="str">
        <f>IF(B200="","",CHOOSE(WEEKDAY(B200),"Dom","Seg","Ter","Qua","Qui","Sex","Sáb"))</f>
        <v>Qui</v>
      </c>
      <c r="D200" s="174" t="n"/>
      <c r="E200" s="106" t="n"/>
      <c r="F200" s="106" t="n"/>
      <c r="G200" s="106" t="n"/>
      <c r="H200" s="106" t="n"/>
      <c r="I200" s="129" t="n"/>
      <c r="J200" s="106" t="n"/>
      <c r="K200" s="175" t="n"/>
      <c r="L200" s="174" t="n"/>
      <c r="M200" s="174" t="n"/>
      <c r="N200" s="106" t="n"/>
      <c r="O200" s="129" t="n"/>
    </row>
    <row r="201">
      <c r="B201" s="137">
        <f>IF(B200="","",IF(YEAR(B200+1)=Ano,B200+1,""))</f>
        <v>46213.0</v>
      </c>
      <c r="C201" s="128" t="str">
        <f>IF(B201="","",CHOOSE(WEEKDAY(B201),"Dom","Seg","Ter","Qua","Qui","Sex","Sáb"))</f>
        <v>Sex</v>
      </c>
      <c r="D201" s="174" t="n"/>
      <c r="E201" s="106" t="n"/>
      <c r="F201" s="106" t="n"/>
      <c r="G201" s="106" t="n"/>
      <c r="H201" s="106" t="n"/>
      <c r="I201" s="129" t="n"/>
      <c r="J201" s="106" t="n"/>
      <c r="K201" s="175" t="n"/>
      <c r="L201" s="174" t="n"/>
      <c r="M201" s="174" t="n"/>
      <c r="N201" s="106" t="n"/>
      <c r="O201" s="129" t="n"/>
    </row>
    <row r="202">
      <c r="B202" s="137">
        <f>IF(B201="","",IF(YEAR(B201+1)=Ano,B201+1,""))</f>
        <v>46214.0</v>
      </c>
      <c r="C202" s="128" t="str">
        <f>IF(B202="","",CHOOSE(WEEKDAY(B202),"Dom","Seg","Ter","Qua","Qui","Sex","Sáb"))</f>
        <v>Sáb</v>
      </c>
      <c r="D202" s="174" t="n"/>
      <c r="E202" s="106" t="n"/>
      <c r="F202" s="106" t="n"/>
      <c r="G202" s="106" t="n"/>
      <c r="H202" s="106" t="n"/>
      <c r="I202" s="129" t="n"/>
      <c r="J202" s="106" t="n"/>
      <c r="K202" s="175" t="n"/>
      <c r="L202" s="174" t="n"/>
      <c r="M202" s="174" t="n"/>
      <c r="N202" s="106" t="n"/>
      <c r="O202" s="129" t="n"/>
    </row>
    <row r="203">
      <c r="B203" s="137">
        <f>IF(B202="","",IF(YEAR(B202+1)=Ano,B202+1,""))</f>
        <v>46215.0</v>
      </c>
      <c r="C203" s="128" t="str">
        <f>IF(B203="","",CHOOSE(WEEKDAY(B203),"Dom","Seg","Ter","Qua","Qui","Sex","Sáb"))</f>
        <v>Dom</v>
      </c>
      <c r="D203" s="174" t="n"/>
      <c r="E203" s="106" t="n"/>
      <c r="F203" s="106" t="n"/>
      <c r="G203" s="106" t="n"/>
      <c r="H203" s="106" t="n"/>
      <c r="I203" s="129" t="n"/>
      <c r="J203" s="106" t="n"/>
      <c r="K203" s="175" t="n"/>
      <c r="L203" s="174" t="n"/>
      <c r="M203" s="174" t="n"/>
      <c r="N203" s="106" t="n"/>
      <c r="O203" s="129" t="n"/>
    </row>
    <row r="204">
      <c r="B204" s="137">
        <f>IF(B203="","",IF(YEAR(B203+1)=Ano,B203+1,""))</f>
        <v>46216.0</v>
      </c>
      <c r="C204" s="128" t="str">
        <f>IF(B204="","",CHOOSE(WEEKDAY(B204),"Dom","Seg","Ter","Qua","Qui","Sex","Sáb"))</f>
        <v>Seg</v>
      </c>
      <c r="D204" s="174" t="n"/>
      <c r="E204" s="106" t="n"/>
      <c r="F204" s="106" t="n"/>
      <c r="G204" s="106" t="n"/>
      <c r="H204" s="106" t="n"/>
      <c r="I204" s="129" t="n"/>
      <c r="J204" s="106" t="n"/>
      <c r="K204" s="175" t="n"/>
      <c r="L204" s="174" t="n"/>
      <c r="M204" s="174" t="n"/>
      <c r="N204" s="106" t="n"/>
      <c r="O204" s="129" t="n"/>
    </row>
    <row r="205">
      <c r="B205" s="137">
        <f>IF(B204="","",IF(YEAR(B204+1)=Ano,B204+1,""))</f>
        <v>46217.0</v>
      </c>
      <c r="C205" s="128" t="str">
        <f>IF(B205="","",CHOOSE(WEEKDAY(B205),"Dom","Seg","Ter","Qua","Qui","Sex","Sáb"))</f>
        <v>Ter</v>
      </c>
      <c r="D205" s="174" t="n"/>
      <c r="E205" s="106" t="n"/>
      <c r="F205" s="106" t="n"/>
      <c r="G205" s="106" t="n"/>
      <c r="H205" s="106" t="n"/>
      <c r="I205" s="129" t="n"/>
      <c r="J205" s="106" t="n"/>
      <c r="K205" s="175" t="n"/>
      <c r="L205" s="174" t="n"/>
      <c r="M205" s="174" t="n"/>
      <c r="N205" s="106" t="n"/>
      <c r="O205" s="129" t="n"/>
    </row>
    <row r="206">
      <c r="B206" s="137">
        <f>IF(B205="","",IF(YEAR(B205+1)=Ano,B205+1,""))</f>
        <v>46218.0</v>
      </c>
      <c r="C206" s="128" t="str">
        <f>IF(B206="","",CHOOSE(WEEKDAY(B206),"Dom","Seg","Ter","Qua","Qui","Sex","Sáb"))</f>
        <v>Qua</v>
      </c>
      <c r="D206" s="174" t="n"/>
      <c r="E206" s="106" t="n"/>
      <c r="F206" s="106" t="n"/>
      <c r="G206" s="106" t="n"/>
      <c r="H206" s="106" t="n"/>
      <c r="I206" s="129" t="n"/>
      <c r="J206" s="106" t="n"/>
      <c r="K206" s="175" t="n"/>
      <c r="L206" s="174" t="n"/>
      <c r="M206" s="174" t="n"/>
      <c r="N206" s="106" t="n"/>
      <c r="O206" s="129" t="n"/>
    </row>
    <row r="207">
      <c r="B207" s="137">
        <f>IF(B206="","",IF(YEAR(B206+1)=Ano,B206+1,""))</f>
        <v>46219.0</v>
      </c>
      <c r="C207" s="128" t="str">
        <f>IF(B207="","",CHOOSE(WEEKDAY(B207),"Dom","Seg","Ter","Qua","Qui","Sex","Sáb"))</f>
        <v>Qui</v>
      </c>
      <c r="D207" s="174" t="n"/>
      <c r="E207" s="106" t="n"/>
      <c r="F207" s="106" t="n"/>
      <c r="G207" s="106" t="n"/>
      <c r="H207" s="106" t="n"/>
      <c r="I207" s="129" t="n"/>
      <c r="J207" s="106" t="n"/>
      <c r="K207" s="175" t="n"/>
      <c r="L207" s="174" t="n"/>
      <c r="M207" s="174" t="n"/>
      <c r="N207" s="106" t="n"/>
      <c r="O207" s="129" t="n"/>
    </row>
    <row r="208">
      <c r="B208" s="137">
        <f>IF(B207="","",IF(YEAR(B207+1)=Ano,B207+1,""))</f>
        <v>46220.0</v>
      </c>
      <c r="C208" s="128" t="str">
        <f>IF(B208="","",CHOOSE(WEEKDAY(B208),"Dom","Seg","Ter","Qua","Qui","Sex","Sáb"))</f>
        <v>Sex</v>
      </c>
      <c r="D208" s="174" t="n"/>
      <c r="E208" s="106" t="n"/>
      <c r="F208" s="106" t="n"/>
      <c r="G208" s="106" t="n"/>
      <c r="H208" s="106" t="n"/>
      <c r="I208" s="129" t="n"/>
      <c r="J208" s="106" t="n"/>
      <c r="K208" s="175" t="n"/>
      <c r="L208" s="174" t="n"/>
      <c r="M208" s="174" t="n"/>
      <c r="N208" s="106" t="n"/>
      <c r="O208" s="129" t="n"/>
    </row>
    <row r="209">
      <c r="B209" s="137">
        <f>IF(B208="","",IF(YEAR(B208+1)=Ano,B208+1,""))</f>
        <v>46221.0</v>
      </c>
      <c r="C209" s="128" t="str">
        <f>IF(B209="","",CHOOSE(WEEKDAY(B209),"Dom","Seg","Ter","Qua","Qui","Sex","Sáb"))</f>
        <v>Sáb</v>
      </c>
      <c r="D209" s="174" t="n"/>
      <c r="E209" s="106" t="n"/>
      <c r="F209" s="106" t="n"/>
      <c r="G209" s="106" t="n"/>
      <c r="H209" s="106" t="n"/>
      <c r="I209" s="129" t="n"/>
      <c r="J209" s="106" t="n"/>
      <c r="K209" s="175" t="n"/>
      <c r="L209" s="174" t="n"/>
      <c r="M209" s="174" t="n"/>
      <c r="N209" s="106" t="n"/>
      <c r="O209" s="129" t="n"/>
    </row>
    <row r="210">
      <c r="B210" s="137">
        <f>IF(B209="","",IF(YEAR(B209+1)=Ano,B209+1,""))</f>
        <v>46222.0</v>
      </c>
      <c r="C210" s="128" t="str">
        <f>IF(B210="","",CHOOSE(WEEKDAY(B210),"Dom","Seg","Ter","Qua","Qui","Sex","Sáb"))</f>
        <v>Dom</v>
      </c>
      <c r="D210" s="174" t="n"/>
      <c r="E210" s="106" t="n"/>
      <c r="F210" s="106" t="n"/>
      <c r="G210" s="106" t="n"/>
      <c r="H210" s="106" t="n"/>
      <c r="I210" s="129" t="n"/>
      <c r="J210" s="106" t="n"/>
      <c r="K210" s="175" t="n"/>
      <c r="L210" s="174" t="n"/>
      <c r="M210" s="174" t="n"/>
      <c r="N210" s="106" t="n"/>
      <c r="O210" s="129" t="n"/>
    </row>
    <row r="211">
      <c r="B211" s="137">
        <f>IF(B210="","",IF(YEAR(B210+1)=Ano,B210+1,""))</f>
        <v>46223.0</v>
      </c>
      <c r="C211" s="128" t="str">
        <f>IF(B211="","",CHOOSE(WEEKDAY(B211),"Dom","Seg","Ter","Qua","Qui","Sex","Sáb"))</f>
        <v>Seg</v>
      </c>
      <c r="D211" s="174" t="n"/>
      <c r="E211" s="106" t="n"/>
      <c r="F211" s="106" t="n"/>
      <c r="G211" s="106" t="n"/>
      <c r="H211" s="106" t="n"/>
      <c r="I211" s="129" t="n"/>
      <c r="J211" s="106" t="n"/>
      <c r="K211" s="175" t="n"/>
      <c r="L211" s="174" t="n"/>
      <c r="M211" s="174" t="n"/>
      <c r="N211" s="106" t="n"/>
      <c r="O211" s="129" t="n"/>
    </row>
    <row r="212">
      <c r="B212" s="137">
        <f>IF(B211="","",IF(YEAR(B211+1)=Ano,B211+1,""))</f>
        <v>46224.0</v>
      </c>
      <c r="C212" s="128" t="str">
        <f>IF(B212="","",CHOOSE(WEEKDAY(B212),"Dom","Seg","Ter","Qua","Qui","Sex","Sáb"))</f>
        <v>Ter</v>
      </c>
      <c r="D212" s="174" t="n"/>
      <c r="E212" s="106" t="n"/>
      <c r="F212" s="106" t="n"/>
      <c r="G212" s="106" t="n"/>
      <c r="H212" s="106" t="n"/>
      <c r="I212" s="129" t="n"/>
      <c r="J212" s="106" t="n"/>
      <c r="K212" s="175" t="n"/>
      <c r="L212" s="174" t="n"/>
      <c r="M212" s="174" t="n"/>
      <c r="N212" s="106" t="n"/>
      <c r="O212" s="129" t="n"/>
    </row>
    <row r="213">
      <c r="B213" s="137">
        <f>IF(B212="","",IF(YEAR(B212+1)=Ano,B212+1,""))</f>
        <v>46225.0</v>
      </c>
      <c r="C213" s="128" t="str">
        <f>IF(B213="","",CHOOSE(WEEKDAY(B213),"Dom","Seg","Ter","Qua","Qui","Sex","Sáb"))</f>
        <v>Qua</v>
      </c>
      <c r="D213" s="174" t="n"/>
      <c r="E213" s="106" t="n"/>
      <c r="F213" s="106" t="n"/>
      <c r="G213" s="106" t="n"/>
      <c r="H213" s="106" t="n"/>
      <c r="I213" s="129" t="n"/>
      <c r="J213" s="106" t="n"/>
      <c r="K213" s="175" t="n"/>
      <c r="L213" s="174" t="n"/>
      <c r="M213" s="174" t="n"/>
      <c r="N213" s="106" t="n"/>
      <c r="O213" s="129" t="n"/>
    </row>
    <row r="214">
      <c r="B214" s="137">
        <f>IF(B213="","",IF(YEAR(B213+1)=Ano,B213+1,""))</f>
        <v>46226.0</v>
      </c>
      <c r="C214" s="128" t="str">
        <f>IF(B214="","",CHOOSE(WEEKDAY(B214),"Dom","Seg","Ter","Qua","Qui","Sex","Sáb"))</f>
        <v>Qui</v>
      </c>
      <c r="D214" s="174" t="n"/>
      <c r="E214" s="106" t="n"/>
      <c r="F214" s="106" t="n"/>
      <c r="G214" s="106" t="n"/>
      <c r="H214" s="106" t="n"/>
      <c r="I214" s="129" t="n"/>
      <c r="J214" s="106" t="n"/>
      <c r="K214" s="175" t="n"/>
      <c r="L214" s="174" t="n"/>
      <c r="M214" s="174" t="n"/>
      <c r="N214" s="106" t="n"/>
      <c r="O214" s="129" t="n"/>
    </row>
    <row r="215">
      <c r="B215" s="137">
        <f>IF(B214="","",IF(YEAR(B214+1)=Ano,B214+1,""))</f>
        <v>46227.0</v>
      </c>
      <c r="C215" s="128" t="str">
        <f>IF(B215="","",CHOOSE(WEEKDAY(B215),"Dom","Seg","Ter","Qua","Qui","Sex","Sáb"))</f>
        <v>Sex</v>
      </c>
      <c r="D215" s="174" t="n"/>
      <c r="E215" s="106" t="n"/>
      <c r="F215" s="106" t="n"/>
      <c r="G215" s="106" t="n"/>
      <c r="H215" s="106" t="n"/>
      <c r="I215" s="129" t="n"/>
      <c r="J215" s="106" t="n"/>
      <c r="K215" s="175" t="n"/>
      <c r="L215" s="174" t="n"/>
      <c r="M215" s="174" t="n"/>
      <c r="N215" s="106" t="n"/>
      <c r="O215" s="129" t="n"/>
    </row>
    <row r="216">
      <c r="B216" s="137">
        <f>IF(B215="","",IF(YEAR(B215+1)=Ano,B215+1,""))</f>
        <v>46228.0</v>
      </c>
      <c r="C216" s="128" t="str">
        <f>IF(B216="","",CHOOSE(WEEKDAY(B216),"Dom","Seg","Ter","Qua","Qui","Sex","Sáb"))</f>
        <v>Sáb</v>
      </c>
      <c r="D216" s="174" t="n"/>
      <c r="E216" s="106" t="n"/>
      <c r="F216" s="106" t="n"/>
      <c r="G216" s="106" t="n"/>
      <c r="H216" s="106" t="n"/>
      <c r="I216" s="129" t="n"/>
      <c r="J216" s="106" t="n"/>
      <c r="K216" s="175" t="n"/>
      <c r="L216" s="174" t="n"/>
      <c r="M216" s="174" t="n"/>
      <c r="N216" s="106" t="n"/>
      <c r="O216" s="129" t="n"/>
    </row>
    <row r="217">
      <c r="B217" s="137">
        <f>IF(B216="","",IF(YEAR(B216+1)=Ano,B216+1,""))</f>
        <v>46229.0</v>
      </c>
      <c r="C217" s="128" t="str">
        <f>IF(B217="","",CHOOSE(WEEKDAY(B217),"Dom","Seg","Ter","Qua","Qui","Sex","Sáb"))</f>
        <v>Dom</v>
      </c>
      <c r="D217" s="174" t="n"/>
      <c r="E217" s="106" t="n"/>
      <c r="F217" s="106" t="n"/>
      <c r="G217" s="106" t="n"/>
      <c r="H217" s="106" t="n"/>
      <c r="I217" s="129" t="n"/>
      <c r="J217" s="106" t="n"/>
      <c r="K217" s="175" t="n"/>
      <c r="L217" s="174" t="n"/>
      <c r="M217" s="174" t="n"/>
      <c r="N217" s="106" t="n"/>
      <c r="O217" s="129" t="n"/>
    </row>
    <row r="218">
      <c r="B218" s="137">
        <f>IF(B217="","",IF(YEAR(B217+1)=Ano,B217+1,""))</f>
        <v>46230.0</v>
      </c>
      <c r="C218" s="128" t="str">
        <f>IF(B218="","",CHOOSE(WEEKDAY(B218),"Dom","Seg","Ter","Qua","Qui","Sex","Sáb"))</f>
        <v>Seg</v>
      </c>
      <c r="D218" s="174" t="n"/>
      <c r="E218" s="106" t="n"/>
      <c r="F218" s="106" t="n"/>
      <c r="G218" s="106" t="n"/>
      <c r="H218" s="106" t="n"/>
      <c r="I218" s="129" t="n"/>
      <c r="J218" s="106" t="n"/>
      <c r="K218" s="175" t="n"/>
      <c r="L218" s="174" t="n"/>
      <c r="M218" s="174" t="n"/>
      <c r="N218" s="106" t="n"/>
      <c r="O218" s="129" t="n"/>
    </row>
    <row r="219">
      <c r="B219" s="137">
        <f>IF(B218="","",IF(YEAR(B218+1)=Ano,B218+1,""))</f>
        <v>46231.0</v>
      </c>
      <c r="C219" s="128" t="str">
        <f>IF(B219="","",CHOOSE(WEEKDAY(B219),"Dom","Seg","Ter","Qua","Qui","Sex","Sáb"))</f>
        <v>Ter</v>
      </c>
      <c r="D219" s="174" t="n"/>
      <c r="E219" s="106" t="n"/>
      <c r="F219" s="106" t="n"/>
      <c r="G219" s="106" t="n"/>
      <c r="H219" s="106" t="n"/>
      <c r="I219" s="129" t="n"/>
      <c r="J219" s="106" t="n"/>
      <c r="K219" s="175" t="n"/>
      <c r="L219" s="174" t="n"/>
      <c r="M219" s="174" t="n"/>
      <c r="N219" s="106" t="n"/>
      <c r="O219" s="129" t="n"/>
    </row>
    <row r="220">
      <c r="B220" s="137">
        <f>IF(B219="","",IF(YEAR(B219+1)=Ano,B219+1,""))</f>
        <v>46232.0</v>
      </c>
      <c r="C220" s="128" t="str">
        <f>IF(B220="","",CHOOSE(WEEKDAY(B220),"Dom","Seg","Ter","Qua","Qui","Sex","Sáb"))</f>
        <v>Qua</v>
      </c>
      <c r="D220" s="174" t="n"/>
      <c r="E220" s="106" t="n"/>
      <c r="F220" s="106" t="n"/>
      <c r="G220" s="106" t="n"/>
      <c r="H220" s="106" t="n"/>
      <c r="I220" s="129" t="n"/>
      <c r="J220" s="106" t="n"/>
      <c r="K220" s="175" t="n"/>
      <c r="L220" s="174" t="n"/>
      <c r="M220" s="174" t="n"/>
      <c r="N220" s="106" t="n"/>
      <c r="O220" s="129" t="n"/>
    </row>
    <row r="221">
      <c r="B221" s="137">
        <f>IF(B220="","",IF(YEAR(B220+1)=Ano,B220+1,""))</f>
        <v>46233.0</v>
      </c>
      <c r="C221" s="128" t="str">
        <f>IF(B221="","",CHOOSE(WEEKDAY(B221),"Dom","Seg","Ter","Qua","Qui","Sex","Sáb"))</f>
        <v>Qui</v>
      </c>
      <c r="D221" s="174" t="n"/>
      <c r="E221" s="106" t="n"/>
      <c r="F221" s="106" t="n"/>
      <c r="G221" s="106" t="n"/>
      <c r="H221" s="106" t="n"/>
      <c r="I221" s="129" t="n"/>
      <c r="J221" s="106" t="n"/>
      <c r="K221" s="175" t="n"/>
      <c r="L221" s="174" t="n"/>
      <c r="M221" s="174" t="n"/>
      <c r="N221" s="106" t="n"/>
      <c r="O221" s="129" t="n"/>
    </row>
    <row r="222">
      <c r="B222" s="137">
        <f>IF(B221="","",IF(YEAR(B221+1)=Ano,B221+1,""))</f>
        <v>46234.0</v>
      </c>
      <c r="C222" s="128" t="str">
        <f>IF(B222="","",CHOOSE(WEEKDAY(B222),"Dom","Seg","Ter","Qua","Qui","Sex","Sáb"))</f>
        <v>Sex</v>
      </c>
      <c r="D222" s="174" t="n"/>
      <c r="E222" s="106" t="n"/>
      <c r="F222" s="106" t="n"/>
      <c r="G222" s="106" t="n"/>
      <c r="H222" s="106" t="n"/>
      <c r="I222" s="129" t="n"/>
      <c r="J222" s="106" t="n"/>
      <c r="K222" s="175" t="n"/>
      <c r="L222" s="174" t="n"/>
      <c r="M222" s="174" t="n"/>
      <c r="N222" s="106" t="n"/>
      <c r="O222" s="129" t="n"/>
    </row>
    <row r="223">
      <c r="B223" s="137">
        <f>IF(B222="","",IF(YEAR(B222+1)=Ano,B222+1,""))</f>
        <v>46235.0</v>
      </c>
      <c r="C223" s="128" t="str">
        <f>IF(B223="","",CHOOSE(WEEKDAY(B223),"Dom","Seg","Ter","Qua","Qui","Sex","Sáb"))</f>
        <v>Sáb</v>
      </c>
      <c r="D223" s="174" t="n"/>
      <c r="E223" s="106" t="n"/>
      <c r="F223" s="106" t="n"/>
      <c r="G223" s="106" t="n"/>
      <c r="H223" s="106" t="n"/>
      <c r="I223" s="129" t="n"/>
      <c r="J223" s="106" t="n"/>
      <c r="K223" s="175" t="n"/>
      <c r="L223" s="174" t="n"/>
      <c r="M223" s="174" t="n"/>
      <c r="N223" s="106" t="n"/>
      <c r="O223" s="129" t="n"/>
    </row>
    <row r="224">
      <c r="B224" s="137">
        <f>IF(B223="","",IF(YEAR(B223+1)=Ano,B223+1,""))</f>
        <v>46236.0</v>
      </c>
      <c r="C224" s="128" t="str">
        <f>IF(B224="","",CHOOSE(WEEKDAY(B224),"Dom","Seg","Ter","Qua","Qui","Sex","Sáb"))</f>
        <v>Dom</v>
      </c>
      <c r="D224" s="174" t="n"/>
      <c r="E224" s="106" t="n"/>
      <c r="F224" s="106" t="n"/>
      <c r="G224" s="106" t="n"/>
      <c r="H224" s="106" t="n"/>
      <c r="I224" s="129" t="n"/>
      <c r="J224" s="106" t="n"/>
      <c r="K224" s="175" t="n"/>
      <c r="L224" s="174" t="n"/>
      <c r="M224" s="174" t="n"/>
      <c r="N224" s="106" t="n"/>
      <c r="O224" s="129" t="n"/>
    </row>
    <row r="225">
      <c r="B225" s="137">
        <f>IF(B224="","",IF(YEAR(B224+1)=Ano,B224+1,""))</f>
        <v>46237.0</v>
      </c>
      <c r="C225" s="128" t="str">
        <f>IF(B225="","",CHOOSE(WEEKDAY(B225),"Dom","Seg","Ter","Qua","Qui","Sex","Sáb"))</f>
        <v>Seg</v>
      </c>
      <c r="D225" s="174" t="n"/>
      <c r="E225" s="106" t="n"/>
      <c r="F225" s="106" t="n"/>
      <c r="G225" s="106" t="n"/>
      <c r="H225" s="106" t="n"/>
      <c r="I225" s="129" t="n"/>
      <c r="J225" s="106" t="n"/>
      <c r="K225" s="175" t="n"/>
      <c r="L225" s="174" t="n"/>
      <c r="M225" s="174" t="n"/>
      <c r="N225" s="106" t="n"/>
      <c r="O225" s="129" t="n"/>
    </row>
    <row r="226">
      <c r="B226" s="137">
        <f>IF(B225="","",IF(YEAR(B225+1)=Ano,B225+1,""))</f>
        <v>46238.0</v>
      </c>
      <c r="C226" s="128" t="str">
        <f>IF(B226="","",CHOOSE(WEEKDAY(B226),"Dom","Seg","Ter","Qua","Qui","Sex","Sáb"))</f>
        <v>Ter</v>
      </c>
      <c r="D226" s="174" t="n"/>
      <c r="E226" s="106" t="n"/>
      <c r="F226" s="106" t="n"/>
      <c r="G226" s="106" t="n"/>
      <c r="H226" s="106" t="n"/>
      <c r="I226" s="129" t="n"/>
      <c r="J226" s="106" t="n"/>
      <c r="K226" s="175" t="n"/>
      <c r="L226" s="174" t="n"/>
      <c r="M226" s="174" t="n"/>
      <c r="N226" s="106" t="n"/>
      <c r="O226" s="129" t="n"/>
    </row>
    <row r="227">
      <c r="B227" s="137">
        <f>IF(B226="","",IF(YEAR(B226+1)=Ano,B226+1,""))</f>
        <v>46239.0</v>
      </c>
      <c r="C227" s="128" t="str">
        <f>IF(B227="","",CHOOSE(WEEKDAY(B227),"Dom","Seg","Ter","Qua","Qui","Sex","Sáb"))</f>
        <v>Qua</v>
      </c>
      <c r="D227" s="174" t="n"/>
      <c r="E227" s="106" t="n"/>
      <c r="F227" s="106" t="n"/>
      <c r="G227" s="106" t="n"/>
      <c r="H227" s="106" t="n"/>
      <c r="I227" s="129" t="n"/>
      <c r="J227" s="106" t="n"/>
      <c r="K227" s="175" t="n"/>
      <c r="L227" s="174" t="n"/>
      <c r="M227" s="174" t="n"/>
      <c r="N227" s="106" t="n"/>
      <c r="O227" s="129" t="n"/>
    </row>
    <row r="228">
      <c r="B228" s="137">
        <f>IF(B227="","",IF(YEAR(B227+1)=Ano,B227+1,""))</f>
        <v>46240.0</v>
      </c>
      <c r="C228" s="128" t="str">
        <f>IF(B228="","",CHOOSE(WEEKDAY(B228),"Dom","Seg","Ter","Qua","Qui","Sex","Sáb"))</f>
        <v>Qui</v>
      </c>
      <c r="D228" s="174" t="n"/>
      <c r="E228" s="106" t="n"/>
      <c r="F228" s="106" t="n"/>
      <c r="G228" s="106" t="n"/>
      <c r="H228" s="106" t="n"/>
      <c r="I228" s="129" t="n"/>
      <c r="J228" s="106" t="n"/>
      <c r="K228" s="175" t="n"/>
      <c r="L228" s="174" t="n"/>
      <c r="M228" s="174" t="n"/>
      <c r="N228" s="106" t="n"/>
      <c r="O228" s="129" t="n"/>
    </row>
    <row r="229">
      <c r="B229" s="137">
        <f>IF(B228="","",IF(YEAR(B228+1)=Ano,B228+1,""))</f>
        <v>46241.0</v>
      </c>
      <c r="C229" s="128" t="str">
        <f>IF(B229="","",CHOOSE(WEEKDAY(B229),"Dom","Seg","Ter","Qua","Qui","Sex","Sáb"))</f>
        <v>Sex</v>
      </c>
      <c r="D229" s="174" t="n"/>
      <c r="E229" s="106" t="n"/>
      <c r="F229" s="106" t="n"/>
      <c r="G229" s="106" t="n"/>
      <c r="H229" s="106" t="n"/>
      <c r="I229" s="129" t="n"/>
      <c r="J229" s="106" t="n"/>
      <c r="K229" s="175" t="n"/>
      <c r="L229" s="174" t="n"/>
      <c r="M229" s="174" t="n"/>
      <c r="N229" s="106" t="n"/>
      <c r="O229" s="129" t="n"/>
    </row>
    <row r="230">
      <c r="B230" s="137">
        <f>IF(B229="","",IF(YEAR(B229+1)=Ano,B229+1,""))</f>
        <v>46242.0</v>
      </c>
      <c r="C230" s="128" t="str">
        <f>IF(B230="","",CHOOSE(WEEKDAY(B230),"Dom","Seg","Ter","Qua","Qui","Sex","Sáb"))</f>
        <v>Sáb</v>
      </c>
      <c r="D230" s="174" t="n"/>
      <c r="E230" s="106" t="n"/>
      <c r="F230" s="106" t="n"/>
      <c r="G230" s="106" t="n"/>
      <c r="H230" s="106" t="n"/>
      <c r="I230" s="129" t="n"/>
      <c r="J230" s="106" t="n"/>
      <c r="K230" s="175" t="n"/>
      <c r="L230" s="174" t="n"/>
      <c r="M230" s="174" t="n"/>
      <c r="N230" s="106" t="n"/>
      <c r="O230" s="129" t="n"/>
    </row>
    <row r="231">
      <c r="B231" s="137">
        <f>IF(B230="","",IF(YEAR(B230+1)=Ano,B230+1,""))</f>
        <v>46243.0</v>
      </c>
      <c r="C231" s="128" t="str">
        <f>IF(B231="","",CHOOSE(WEEKDAY(B231),"Dom","Seg","Ter","Qua","Qui","Sex","Sáb"))</f>
        <v>Dom</v>
      </c>
      <c r="D231" s="174" t="n"/>
      <c r="E231" s="106" t="n"/>
      <c r="F231" s="106" t="n"/>
      <c r="G231" s="106" t="n"/>
      <c r="H231" s="106" t="n"/>
      <c r="I231" s="129" t="n"/>
      <c r="J231" s="106" t="n"/>
      <c r="K231" s="175" t="n"/>
      <c r="L231" s="174" t="n"/>
      <c r="M231" s="174" t="n"/>
      <c r="N231" s="106" t="n"/>
      <c r="O231" s="129" t="n"/>
    </row>
    <row r="232">
      <c r="B232" s="137">
        <f>IF(B231="","",IF(YEAR(B231+1)=Ano,B231+1,""))</f>
        <v>46244.0</v>
      </c>
      <c r="C232" s="128" t="str">
        <f>IF(B232="","",CHOOSE(WEEKDAY(B232),"Dom","Seg","Ter","Qua","Qui","Sex","Sáb"))</f>
        <v>Seg</v>
      </c>
      <c r="D232" s="174" t="n"/>
      <c r="E232" s="106" t="n"/>
      <c r="F232" s="106" t="n"/>
      <c r="G232" s="106" t="n"/>
      <c r="H232" s="106" t="n"/>
      <c r="I232" s="129" t="n"/>
      <c r="J232" s="106" t="n"/>
      <c r="K232" s="175" t="n"/>
      <c r="L232" s="174" t="n"/>
      <c r="M232" s="174" t="n"/>
      <c r="N232" s="106" t="n"/>
      <c r="O232" s="129" t="n"/>
    </row>
    <row r="233">
      <c r="B233" s="137">
        <f>IF(B232="","",IF(YEAR(B232+1)=Ano,B232+1,""))</f>
        <v>46245.0</v>
      </c>
      <c r="C233" s="128" t="str">
        <f>IF(B233="","",CHOOSE(WEEKDAY(B233),"Dom","Seg","Ter","Qua","Qui","Sex","Sáb"))</f>
        <v>Ter</v>
      </c>
      <c r="D233" s="174" t="n"/>
      <c r="E233" s="106" t="n"/>
      <c r="F233" s="106" t="n"/>
      <c r="G233" s="106" t="n"/>
      <c r="H233" s="106" t="n"/>
      <c r="I233" s="129" t="n"/>
      <c r="J233" s="106" t="n"/>
      <c r="K233" s="175" t="n"/>
      <c r="L233" s="174" t="n"/>
      <c r="M233" s="174" t="n"/>
      <c r="N233" s="106" t="n"/>
      <c r="O233" s="129" t="n"/>
    </row>
    <row r="234">
      <c r="B234" s="137">
        <f>IF(B233="","",IF(YEAR(B233+1)=Ano,B233+1,""))</f>
        <v>46246.0</v>
      </c>
      <c r="C234" s="128" t="str">
        <f>IF(B234="","",CHOOSE(WEEKDAY(B234),"Dom","Seg","Ter","Qua","Qui","Sex","Sáb"))</f>
        <v>Qua</v>
      </c>
      <c r="D234" s="174" t="n"/>
      <c r="E234" s="106" t="n"/>
      <c r="F234" s="106" t="n"/>
      <c r="G234" s="106" t="n"/>
      <c r="H234" s="106" t="n"/>
      <c r="I234" s="129" t="n"/>
      <c r="J234" s="106" t="n"/>
      <c r="K234" s="175" t="n"/>
      <c r="L234" s="174" t="n"/>
      <c r="M234" s="174" t="n"/>
      <c r="N234" s="106" t="n"/>
      <c r="O234" s="129" t="n"/>
    </row>
    <row r="235">
      <c r="B235" s="137">
        <f>IF(B234="","",IF(YEAR(B234+1)=Ano,B234+1,""))</f>
        <v>46247.0</v>
      </c>
      <c r="C235" s="128" t="str">
        <f>IF(B235="","",CHOOSE(WEEKDAY(B235),"Dom","Seg","Ter","Qua","Qui","Sex","Sáb"))</f>
        <v>Qui</v>
      </c>
      <c r="D235" s="174" t="n"/>
      <c r="E235" s="106" t="n"/>
      <c r="F235" s="106" t="n"/>
      <c r="G235" s="106" t="n"/>
      <c r="H235" s="106" t="n"/>
      <c r="I235" s="129" t="n"/>
      <c r="J235" s="106" t="n"/>
      <c r="K235" s="175" t="n"/>
      <c r="L235" s="174" t="n"/>
      <c r="M235" s="174" t="n"/>
      <c r="N235" s="106" t="n"/>
      <c r="O235" s="129" t="n"/>
    </row>
    <row r="236">
      <c r="B236" s="137">
        <f>IF(B235="","",IF(YEAR(B235+1)=Ano,B235+1,""))</f>
        <v>46248.0</v>
      </c>
      <c r="C236" s="128" t="str">
        <f>IF(B236="","",CHOOSE(WEEKDAY(B236),"Dom","Seg","Ter","Qua","Qui","Sex","Sáb"))</f>
        <v>Sex</v>
      </c>
      <c r="D236" s="174" t="n"/>
      <c r="E236" s="106" t="n"/>
      <c r="F236" s="106" t="n"/>
      <c r="G236" s="106" t="n"/>
      <c r="H236" s="106" t="n"/>
      <c r="I236" s="129" t="n"/>
      <c r="J236" s="106" t="n"/>
      <c r="K236" s="175" t="n"/>
      <c r="L236" s="174" t="n"/>
      <c r="M236" s="174" t="n"/>
      <c r="N236" s="106" t="n"/>
      <c r="O236" s="129" t="n"/>
    </row>
    <row r="237">
      <c r="B237" s="137">
        <f>IF(B236="","",IF(YEAR(B236+1)=Ano,B236+1,""))</f>
        <v>46249.0</v>
      </c>
      <c r="C237" s="128" t="str">
        <f>IF(B237="","",CHOOSE(WEEKDAY(B237),"Dom","Seg","Ter","Qua","Qui","Sex","Sáb"))</f>
        <v>Sáb</v>
      </c>
      <c r="D237" s="174" t="n"/>
      <c r="E237" s="106" t="n"/>
      <c r="F237" s="106" t="n"/>
      <c r="G237" s="106" t="n"/>
      <c r="H237" s="106" t="n"/>
      <c r="I237" s="129" t="n"/>
      <c r="J237" s="106" t="n"/>
      <c r="K237" s="175" t="n"/>
      <c r="L237" s="174" t="n"/>
      <c r="M237" s="174" t="n"/>
      <c r="N237" s="106" t="n"/>
      <c r="O237" s="129" t="n"/>
    </row>
    <row r="238">
      <c r="B238" s="137">
        <f>IF(B237="","",IF(YEAR(B237+1)=Ano,B237+1,""))</f>
        <v>46250.0</v>
      </c>
      <c r="C238" s="128" t="str">
        <f>IF(B238="","",CHOOSE(WEEKDAY(B238),"Dom","Seg","Ter","Qua","Qui","Sex","Sáb"))</f>
        <v>Dom</v>
      </c>
      <c r="D238" s="174" t="n"/>
      <c r="E238" s="106" t="n"/>
      <c r="F238" s="106" t="n"/>
      <c r="G238" s="106" t="n"/>
      <c r="H238" s="106" t="n"/>
      <c r="I238" s="129" t="n"/>
      <c r="J238" s="106" t="n"/>
      <c r="K238" s="175" t="n"/>
      <c r="L238" s="174" t="n"/>
      <c r="M238" s="174" t="n"/>
      <c r="N238" s="106" t="n"/>
      <c r="O238" s="129" t="n"/>
    </row>
    <row r="239">
      <c r="B239" s="137">
        <f>IF(B238="","",IF(YEAR(B238+1)=Ano,B238+1,""))</f>
        <v>46251.0</v>
      </c>
      <c r="C239" s="128" t="str">
        <f>IF(B239="","",CHOOSE(WEEKDAY(B239),"Dom","Seg","Ter","Qua","Qui","Sex","Sáb"))</f>
        <v>Seg</v>
      </c>
      <c r="D239" s="174" t="n"/>
      <c r="E239" s="106" t="n"/>
      <c r="F239" s="106" t="n"/>
      <c r="G239" s="106" t="n"/>
      <c r="H239" s="106" t="n"/>
      <c r="I239" s="129" t="n"/>
      <c r="J239" s="106" t="n"/>
      <c r="K239" s="175" t="n"/>
      <c r="L239" s="174" t="n"/>
      <c r="M239" s="174" t="n"/>
      <c r="N239" s="106" t="n"/>
      <c r="O239" s="129" t="n"/>
    </row>
    <row r="240">
      <c r="B240" s="137">
        <f>IF(B239="","",IF(YEAR(B239+1)=Ano,B239+1,""))</f>
        <v>46252.0</v>
      </c>
      <c r="C240" s="128" t="str">
        <f>IF(B240="","",CHOOSE(WEEKDAY(B240),"Dom","Seg","Ter","Qua","Qui","Sex","Sáb"))</f>
        <v>Ter</v>
      </c>
      <c r="D240" s="174" t="n"/>
      <c r="E240" s="106" t="n"/>
      <c r="F240" s="106" t="n"/>
      <c r="G240" s="106" t="n"/>
      <c r="H240" s="106" t="n"/>
      <c r="I240" s="129" t="n"/>
      <c r="J240" s="106" t="n"/>
      <c r="K240" s="175" t="n"/>
      <c r="L240" s="174" t="n"/>
      <c r="M240" s="174" t="n"/>
      <c r="N240" s="106" t="n"/>
      <c r="O240" s="129" t="n"/>
    </row>
    <row r="241">
      <c r="B241" s="137">
        <f>IF(B240="","",IF(YEAR(B240+1)=Ano,B240+1,""))</f>
        <v>46253.0</v>
      </c>
      <c r="C241" s="128" t="str">
        <f>IF(B241="","",CHOOSE(WEEKDAY(B241),"Dom","Seg","Ter","Qua","Qui","Sex","Sáb"))</f>
        <v>Qua</v>
      </c>
      <c r="D241" s="174" t="n"/>
      <c r="E241" s="106" t="n"/>
      <c r="F241" s="106" t="n"/>
      <c r="G241" s="106" t="n"/>
      <c r="H241" s="106" t="n"/>
      <c r="I241" s="129" t="n"/>
      <c r="J241" s="106" t="n"/>
      <c r="K241" s="175" t="n"/>
      <c r="L241" s="174" t="n"/>
      <c r="M241" s="174" t="n"/>
      <c r="N241" s="106" t="n"/>
      <c r="O241" s="129" t="n"/>
    </row>
    <row r="242">
      <c r="B242" s="137">
        <f>IF(B241="","",IF(YEAR(B241+1)=Ano,B241+1,""))</f>
        <v>46254.0</v>
      </c>
      <c r="C242" s="128" t="str">
        <f>IF(B242="","",CHOOSE(WEEKDAY(B242),"Dom","Seg","Ter","Qua","Qui","Sex","Sáb"))</f>
        <v>Qui</v>
      </c>
      <c r="D242" s="174" t="n"/>
      <c r="E242" s="106" t="n"/>
      <c r="F242" s="106" t="n"/>
      <c r="G242" s="106" t="n"/>
      <c r="H242" s="106" t="n"/>
      <c r="I242" s="129" t="n"/>
      <c r="J242" s="106" t="n"/>
      <c r="K242" s="175" t="n"/>
      <c r="L242" s="174" t="n"/>
      <c r="M242" s="174" t="n"/>
      <c r="N242" s="106" t="n"/>
      <c r="O242" s="129" t="n"/>
    </row>
    <row r="243">
      <c r="B243" s="137">
        <f>IF(B242="","",IF(YEAR(B242+1)=Ano,B242+1,""))</f>
        <v>46255.0</v>
      </c>
      <c r="C243" s="128" t="str">
        <f>IF(B243="","",CHOOSE(WEEKDAY(B243),"Dom","Seg","Ter","Qua","Qui","Sex","Sáb"))</f>
        <v>Sex</v>
      </c>
      <c r="D243" s="174" t="n"/>
      <c r="E243" s="106" t="n"/>
      <c r="F243" s="106" t="n"/>
      <c r="G243" s="106" t="n"/>
      <c r="H243" s="106" t="n"/>
      <c r="I243" s="129" t="n"/>
      <c r="J243" s="106" t="n"/>
      <c r="K243" s="175" t="n"/>
      <c r="L243" s="174" t="n"/>
      <c r="M243" s="174" t="n"/>
      <c r="N243" s="106" t="n"/>
      <c r="O243" s="129" t="n"/>
    </row>
    <row r="244">
      <c r="B244" s="137">
        <f>IF(B243="","",IF(YEAR(B243+1)=Ano,B243+1,""))</f>
        <v>46256.0</v>
      </c>
      <c r="C244" s="128" t="str">
        <f>IF(B244="","",CHOOSE(WEEKDAY(B244),"Dom","Seg","Ter","Qua","Qui","Sex","Sáb"))</f>
        <v>Sáb</v>
      </c>
      <c r="D244" s="174" t="n"/>
      <c r="E244" s="106" t="n"/>
      <c r="F244" s="106" t="n"/>
      <c r="G244" s="106" t="n"/>
      <c r="H244" s="106" t="n"/>
      <c r="I244" s="129" t="n"/>
      <c r="J244" s="106" t="n"/>
      <c r="K244" s="175" t="n"/>
      <c r="L244" s="174" t="n"/>
      <c r="M244" s="174" t="n"/>
      <c r="N244" s="106" t="n"/>
      <c r="O244" s="129" t="n"/>
    </row>
    <row r="245">
      <c r="B245" s="137">
        <f>IF(B244="","",IF(YEAR(B244+1)=Ano,B244+1,""))</f>
        <v>46257.0</v>
      </c>
      <c r="C245" s="128" t="str">
        <f>IF(B245="","",CHOOSE(WEEKDAY(B245),"Dom","Seg","Ter","Qua","Qui","Sex","Sáb"))</f>
        <v>Dom</v>
      </c>
      <c r="D245" s="174" t="n"/>
      <c r="E245" s="106" t="n"/>
      <c r="F245" s="106" t="n"/>
      <c r="G245" s="106" t="n"/>
      <c r="H245" s="106" t="n"/>
      <c r="I245" s="129" t="n"/>
      <c r="J245" s="106" t="n"/>
      <c r="K245" s="175" t="n"/>
      <c r="L245" s="174" t="n"/>
      <c r="M245" s="174" t="n"/>
      <c r="N245" s="106" t="n"/>
      <c r="O245" s="129" t="n"/>
    </row>
    <row r="246">
      <c r="B246" s="137">
        <f>IF(B245="","",IF(YEAR(B245+1)=Ano,B245+1,""))</f>
        <v>46258.0</v>
      </c>
      <c r="C246" s="128" t="str">
        <f>IF(B246="","",CHOOSE(WEEKDAY(B246),"Dom","Seg","Ter","Qua","Qui","Sex","Sáb"))</f>
        <v>Seg</v>
      </c>
      <c r="D246" s="174" t="n"/>
      <c r="E246" s="106" t="n"/>
      <c r="F246" s="106" t="n"/>
      <c r="G246" s="106" t="n"/>
      <c r="H246" s="106" t="n"/>
      <c r="I246" s="129" t="n"/>
      <c r="J246" s="106" t="n"/>
      <c r="K246" s="175" t="n"/>
      <c r="L246" s="174" t="n"/>
      <c r="M246" s="174" t="n"/>
      <c r="N246" s="106" t="n"/>
      <c r="O246" s="129" t="n"/>
    </row>
    <row r="247">
      <c r="B247" s="137">
        <f>IF(B246="","",IF(YEAR(B246+1)=Ano,B246+1,""))</f>
        <v>46259.0</v>
      </c>
      <c r="C247" s="128" t="str">
        <f>IF(B247="","",CHOOSE(WEEKDAY(B247),"Dom","Seg","Ter","Qua","Qui","Sex","Sáb"))</f>
        <v>Ter</v>
      </c>
      <c r="D247" s="174" t="n"/>
      <c r="E247" s="106" t="n"/>
      <c r="F247" s="106" t="n"/>
      <c r="G247" s="106" t="n"/>
      <c r="H247" s="106" t="n"/>
      <c r="I247" s="129" t="n"/>
      <c r="J247" s="106" t="n"/>
      <c r="K247" s="175" t="n"/>
      <c r="L247" s="174" t="n"/>
      <c r="M247" s="174" t="n"/>
      <c r="N247" s="106" t="n"/>
      <c r="O247" s="129" t="n"/>
    </row>
    <row r="248">
      <c r="B248" s="137">
        <f>IF(B247="","",IF(YEAR(B247+1)=Ano,B247+1,""))</f>
        <v>46260.0</v>
      </c>
      <c r="C248" s="128" t="str">
        <f>IF(B248="","",CHOOSE(WEEKDAY(B248),"Dom","Seg","Ter","Qua","Qui","Sex","Sáb"))</f>
        <v>Qua</v>
      </c>
      <c r="D248" s="174" t="n"/>
      <c r="E248" s="106" t="n"/>
      <c r="F248" s="106" t="n"/>
      <c r="G248" s="106" t="n"/>
      <c r="H248" s="106" t="n"/>
      <c r="I248" s="129" t="n"/>
      <c r="J248" s="106" t="n"/>
      <c r="K248" s="175" t="n"/>
      <c r="L248" s="174" t="n"/>
      <c r="M248" s="174" t="n"/>
      <c r="N248" s="106" t="n"/>
      <c r="O248" s="129" t="n"/>
    </row>
    <row r="249">
      <c r="B249" s="137">
        <f>IF(B248="","",IF(YEAR(B248+1)=Ano,B248+1,""))</f>
        <v>46261.0</v>
      </c>
      <c r="C249" s="128" t="str">
        <f>IF(B249="","",CHOOSE(WEEKDAY(B249),"Dom","Seg","Ter","Qua","Qui","Sex","Sáb"))</f>
        <v>Qui</v>
      </c>
      <c r="D249" s="174" t="n"/>
      <c r="E249" s="106" t="n"/>
      <c r="F249" s="106" t="n"/>
      <c r="G249" s="106" t="n"/>
      <c r="H249" s="106" t="n"/>
      <c r="I249" s="129" t="n"/>
      <c r="J249" s="106" t="n"/>
      <c r="K249" s="175" t="n"/>
      <c r="L249" s="174" t="n"/>
      <c r="M249" s="174" t="n"/>
      <c r="N249" s="106" t="n"/>
      <c r="O249" s="129" t="n"/>
    </row>
    <row r="250">
      <c r="B250" s="137">
        <f>IF(B249="","",IF(YEAR(B249+1)=Ano,B249+1,""))</f>
        <v>46262.0</v>
      </c>
      <c r="C250" s="128" t="str">
        <f>IF(B250="","",CHOOSE(WEEKDAY(B250),"Dom","Seg","Ter","Qua","Qui","Sex","Sáb"))</f>
        <v>Sex</v>
      </c>
      <c r="D250" s="174" t="n"/>
      <c r="E250" s="106" t="n"/>
      <c r="F250" s="106" t="n"/>
      <c r="G250" s="106" t="n"/>
      <c r="H250" s="106" t="n"/>
      <c r="I250" s="129" t="n"/>
      <c r="J250" s="106" t="n"/>
      <c r="K250" s="175" t="n"/>
      <c r="L250" s="174" t="n"/>
      <c r="M250" s="174" t="n"/>
      <c r="N250" s="106" t="n"/>
      <c r="O250" s="129" t="n"/>
    </row>
    <row r="251">
      <c r="B251" s="137">
        <f>IF(B250="","",IF(YEAR(B250+1)=Ano,B250+1,""))</f>
        <v>46263.0</v>
      </c>
      <c r="C251" s="128" t="str">
        <f>IF(B251="","",CHOOSE(WEEKDAY(B251),"Dom","Seg","Ter","Qua","Qui","Sex","Sáb"))</f>
        <v>Sáb</v>
      </c>
      <c r="D251" s="174" t="n"/>
      <c r="E251" s="106" t="n"/>
      <c r="F251" s="106" t="n"/>
      <c r="G251" s="106" t="n"/>
      <c r="H251" s="106" t="n"/>
      <c r="I251" s="129" t="n"/>
      <c r="J251" s="106" t="n"/>
      <c r="K251" s="175" t="n"/>
      <c r="L251" s="174" t="n"/>
      <c r="M251" s="174" t="n"/>
      <c r="N251" s="106" t="n"/>
      <c r="O251" s="129" t="n"/>
    </row>
    <row r="252">
      <c r="B252" s="137">
        <f>IF(B251="","",IF(YEAR(B251+1)=Ano,B251+1,""))</f>
        <v>46264.0</v>
      </c>
      <c r="C252" s="128" t="str">
        <f>IF(B252="","",CHOOSE(WEEKDAY(B252),"Dom","Seg","Ter","Qua","Qui","Sex","Sáb"))</f>
        <v>Dom</v>
      </c>
      <c r="D252" s="174" t="n"/>
      <c r="E252" s="106" t="n"/>
      <c r="F252" s="106" t="n"/>
      <c r="G252" s="106" t="n"/>
      <c r="H252" s="106" t="n"/>
      <c r="I252" s="129" t="n"/>
      <c r="J252" s="106" t="n"/>
      <c r="K252" s="175" t="n"/>
      <c r="L252" s="174" t="n"/>
      <c r="M252" s="174" t="n"/>
      <c r="N252" s="106" t="n"/>
      <c r="O252" s="129" t="n"/>
    </row>
    <row r="253">
      <c r="B253" s="137">
        <f>IF(B252="","",IF(YEAR(B252+1)=Ano,B252+1,""))</f>
        <v>46265.0</v>
      </c>
      <c r="C253" s="128" t="str">
        <f>IF(B253="","",CHOOSE(WEEKDAY(B253),"Dom","Seg","Ter","Qua","Qui","Sex","Sáb"))</f>
        <v>Seg</v>
      </c>
      <c r="D253" s="174" t="n"/>
      <c r="E253" s="106" t="n"/>
      <c r="F253" s="106" t="n"/>
      <c r="G253" s="106" t="n"/>
      <c r="H253" s="106" t="n"/>
      <c r="I253" s="129" t="n"/>
      <c r="J253" s="106" t="n"/>
      <c r="K253" s="175" t="n"/>
      <c r="L253" s="174" t="n"/>
      <c r="M253" s="174" t="n"/>
      <c r="N253" s="106" t="n"/>
      <c r="O253" s="129" t="n"/>
    </row>
    <row r="254">
      <c r="B254" s="137">
        <f>IF(B253="","",IF(YEAR(B253+1)=Ano,B253+1,""))</f>
        <v>46266.0</v>
      </c>
      <c r="C254" s="128" t="str">
        <f>IF(B254="","",CHOOSE(WEEKDAY(B254),"Dom","Seg","Ter","Qua","Qui","Sex","Sáb"))</f>
        <v>Ter</v>
      </c>
      <c r="D254" s="174" t="n"/>
      <c r="E254" s="106" t="n"/>
      <c r="F254" s="106" t="n"/>
      <c r="G254" s="106" t="n"/>
      <c r="H254" s="106" t="n"/>
      <c r="I254" s="129" t="n"/>
      <c r="J254" s="106" t="n"/>
      <c r="K254" s="175" t="n"/>
      <c r="L254" s="174" t="n"/>
      <c r="M254" s="174" t="n"/>
      <c r="N254" s="106" t="n"/>
      <c r="O254" s="129" t="n"/>
    </row>
    <row r="255">
      <c r="B255" s="137">
        <f>IF(B254="","",IF(YEAR(B254+1)=Ano,B254+1,""))</f>
        <v>46267.0</v>
      </c>
      <c r="C255" s="128" t="str">
        <f>IF(B255="","",CHOOSE(WEEKDAY(B255),"Dom","Seg","Ter","Qua","Qui","Sex","Sáb"))</f>
        <v>Qua</v>
      </c>
      <c r="D255" s="174" t="n"/>
      <c r="E255" s="106" t="n"/>
      <c r="F255" s="106" t="n"/>
      <c r="G255" s="106" t="n"/>
      <c r="H255" s="106" t="n"/>
      <c r="I255" s="129" t="n"/>
      <c r="J255" s="106" t="n"/>
      <c r="K255" s="175" t="n"/>
      <c r="L255" s="174" t="n"/>
      <c r="M255" s="174" t="n"/>
      <c r="N255" s="106" t="n"/>
      <c r="O255" s="129" t="n"/>
    </row>
    <row r="256">
      <c r="B256" s="137">
        <f>IF(B255="","",IF(YEAR(B255+1)=Ano,B255+1,""))</f>
        <v>46268.0</v>
      </c>
      <c r="C256" s="128" t="str">
        <f>IF(B256="","",CHOOSE(WEEKDAY(B256),"Dom","Seg","Ter","Qua","Qui","Sex","Sáb"))</f>
        <v>Qui</v>
      </c>
      <c r="D256" s="174" t="n"/>
      <c r="E256" s="106" t="n"/>
      <c r="F256" s="106" t="n"/>
      <c r="G256" s="106" t="n"/>
      <c r="H256" s="106" t="n"/>
      <c r="I256" s="129" t="n"/>
      <c r="J256" s="106" t="n"/>
      <c r="K256" s="175" t="n"/>
      <c r="L256" s="174" t="n"/>
      <c r="M256" s="174" t="n"/>
      <c r="N256" s="106" t="n"/>
      <c r="O256" s="129" t="n"/>
    </row>
    <row r="257">
      <c r="B257" s="137">
        <f>IF(B256="","",IF(YEAR(B256+1)=Ano,B256+1,""))</f>
        <v>46269.0</v>
      </c>
      <c r="C257" s="128" t="str">
        <f>IF(B257="","",CHOOSE(WEEKDAY(B257),"Dom","Seg","Ter","Qua","Qui","Sex","Sáb"))</f>
        <v>Sex</v>
      </c>
      <c r="D257" s="174" t="n"/>
      <c r="E257" s="106" t="n"/>
      <c r="F257" s="106" t="n"/>
      <c r="G257" s="106" t="n"/>
      <c r="H257" s="106" t="n"/>
      <c r="I257" s="129" t="n"/>
      <c r="J257" s="106" t="n"/>
      <c r="K257" s="175" t="n"/>
      <c r="L257" s="174" t="n"/>
      <c r="M257" s="174" t="n"/>
      <c r="N257" s="106" t="n"/>
      <c r="O257" s="129" t="n"/>
    </row>
    <row r="258">
      <c r="B258" s="137">
        <f>IF(B257="","",IF(YEAR(B257+1)=Ano,B257+1,""))</f>
        <v>46270.0</v>
      </c>
      <c r="C258" s="128" t="str">
        <f>IF(B258="","",CHOOSE(WEEKDAY(B258),"Dom","Seg","Ter","Qua","Qui","Sex","Sáb"))</f>
        <v>Sáb</v>
      </c>
      <c r="D258" s="174" t="n"/>
      <c r="E258" s="106" t="n"/>
      <c r="F258" s="106" t="n"/>
      <c r="G258" s="106" t="n"/>
      <c r="H258" s="106" t="n"/>
      <c r="I258" s="129" t="n"/>
      <c r="J258" s="106" t="n"/>
      <c r="K258" s="175" t="n"/>
      <c r="L258" s="174" t="n"/>
      <c r="M258" s="174" t="n"/>
      <c r="N258" s="106" t="n"/>
      <c r="O258" s="129" t="n"/>
    </row>
    <row r="259">
      <c r="B259" s="137">
        <f>IF(B258="","",IF(YEAR(B258+1)=Ano,B258+1,""))</f>
        <v>46271.0</v>
      </c>
      <c r="C259" s="128" t="str">
        <f>IF(B259="","",CHOOSE(WEEKDAY(B259),"Dom","Seg","Ter","Qua","Qui","Sex","Sáb"))</f>
        <v>Dom</v>
      </c>
      <c r="D259" s="174" t="n"/>
      <c r="E259" s="106" t="n"/>
      <c r="F259" s="106" t="n"/>
      <c r="G259" s="106" t="n"/>
      <c r="H259" s="106" t="n"/>
      <c r="I259" s="129" t="n"/>
      <c r="J259" s="106" t="n"/>
      <c r="K259" s="175" t="n"/>
      <c r="L259" s="174" t="n"/>
      <c r="M259" s="174" t="n"/>
      <c r="N259" s="106" t="n"/>
      <c r="O259" s="129" t="n"/>
    </row>
    <row r="260">
      <c r="B260" s="137">
        <f>IF(B259="","",IF(YEAR(B259+1)=Ano,B259+1,""))</f>
        <v>46272.0</v>
      </c>
      <c r="C260" s="128" t="str">
        <f>IF(B260="","",CHOOSE(WEEKDAY(B260),"Dom","Seg","Ter","Qua","Qui","Sex","Sáb"))</f>
        <v>Seg</v>
      </c>
      <c r="D260" s="174" t="n"/>
      <c r="E260" s="106" t="n"/>
      <c r="F260" s="106" t="n"/>
      <c r="G260" s="106" t="n"/>
      <c r="H260" s="106" t="n"/>
      <c r="I260" s="129" t="n"/>
      <c r="J260" s="106" t="n"/>
      <c r="K260" s="175" t="n"/>
      <c r="L260" s="174" t="n"/>
      <c r="M260" s="174" t="n"/>
      <c r="N260" s="106" t="n"/>
      <c r="O260" s="129" t="n"/>
    </row>
    <row r="261">
      <c r="B261" s="137">
        <f>IF(B260="","",IF(YEAR(B260+1)=Ano,B260+1,""))</f>
        <v>46273.0</v>
      </c>
      <c r="C261" s="128" t="str">
        <f>IF(B261="","",CHOOSE(WEEKDAY(B261),"Dom","Seg","Ter","Qua","Qui","Sex","Sáb"))</f>
        <v>Ter</v>
      </c>
      <c r="D261" s="174" t="n"/>
      <c r="E261" s="106" t="n"/>
      <c r="F261" s="106" t="n"/>
      <c r="G261" s="106" t="n"/>
      <c r="H261" s="106" t="n"/>
      <c r="I261" s="129" t="n"/>
      <c r="J261" s="106" t="n"/>
      <c r="K261" s="175" t="n"/>
      <c r="L261" s="174" t="n"/>
      <c r="M261" s="174" t="n"/>
      <c r="N261" s="106" t="n"/>
      <c r="O261" s="129" t="n"/>
    </row>
    <row r="262">
      <c r="B262" s="137">
        <f>IF(B261="","",IF(YEAR(B261+1)=Ano,B261+1,""))</f>
        <v>46274.0</v>
      </c>
      <c r="C262" s="128" t="str">
        <f>IF(B262="","",CHOOSE(WEEKDAY(B262),"Dom","Seg","Ter","Qua","Qui","Sex","Sáb"))</f>
        <v>Qua</v>
      </c>
      <c r="D262" s="174" t="n"/>
      <c r="E262" s="106" t="n"/>
      <c r="F262" s="106" t="n"/>
      <c r="G262" s="106" t="n"/>
      <c r="H262" s="106" t="n"/>
      <c r="I262" s="129" t="n"/>
      <c r="J262" s="106" t="n"/>
      <c r="K262" s="175" t="n"/>
      <c r="L262" s="174" t="n"/>
      <c r="M262" s="174" t="n"/>
      <c r="N262" s="106" t="n"/>
      <c r="O262" s="129" t="n"/>
    </row>
    <row r="263">
      <c r="B263" s="137">
        <f>IF(B262="","",IF(YEAR(B262+1)=Ano,B262+1,""))</f>
        <v>46275.0</v>
      </c>
      <c r="C263" s="128" t="str">
        <f>IF(B263="","",CHOOSE(WEEKDAY(B263),"Dom","Seg","Ter","Qua","Qui","Sex","Sáb"))</f>
        <v>Qui</v>
      </c>
      <c r="D263" s="174" t="n"/>
      <c r="E263" s="106" t="n"/>
      <c r="F263" s="106" t="n"/>
      <c r="G263" s="106" t="n"/>
      <c r="H263" s="106" t="n"/>
      <c r="I263" s="129" t="n"/>
      <c r="J263" s="106" t="n"/>
      <c r="K263" s="175" t="n"/>
      <c r="L263" s="174" t="n"/>
      <c r="M263" s="174" t="n"/>
      <c r="N263" s="106" t="n"/>
      <c r="O263" s="129" t="n"/>
    </row>
    <row r="264">
      <c r="B264" s="137">
        <f>IF(B263="","",IF(YEAR(B263+1)=Ano,B263+1,""))</f>
        <v>46276.0</v>
      </c>
      <c r="C264" s="128" t="str">
        <f>IF(B264="","",CHOOSE(WEEKDAY(B264),"Dom","Seg","Ter","Qua","Qui","Sex","Sáb"))</f>
        <v>Sex</v>
      </c>
      <c r="D264" s="174" t="n"/>
      <c r="E264" s="106" t="n"/>
      <c r="F264" s="106" t="n"/>
      <c r="G264" s="106" t="n"/>
      <c r="H264" s="106" t="n"/>
      <c r="I264" s="129" t="n"/>
      <c r="J264" s="106" t="n"/>
      <c r="K264" s="175" t="n"/>
      <c r="L264" s="174" t="n"/>
      <c r="M264" s="174" t="n"/>
      <c r="N264" s="106" t="n"/>
      <c r="O264" s="129" t="n"/>
    </row>
    <row r="265">
      <c r="B265" s="137">
        <f>IF(B264="","",IF(YEAR(B264+1)=Ano,B264+1,""))</f>
        <v>46277.0</v>
      </c>
      <c r="C265" s="128" t="str">
        <f>IF(B265="","",CHOOSE(WEEKDAY(B265),"Dom","Seg","Ter","Qua","Qui","Sex","Sáb"))</f>
        <v>Sáb</v>
      </c>
      <c r="D265" s="174" t="n"/>
      <c r="E265" s="106" t="n"/>
      <c r="F265" s="106" t="n"/>
      <c r="G265" s="106" t="n"/>
      <c r="H265" s="106" t="n"/>
      <c r="I265" s="129" t="n"/>
      <c r="J265" s="106" t="n"/>
      <c r="K265" s="175" t="n"/>
      <c r="L265" s="174" t="n"/>
      <c r="M265" s="174" t="n"/>
      <c r="N265" s="106" t="n"/>
      <c r="O265" s="129" t="n"/>
    </row>
    <row r="266">
      <c r="B266" s="137">
        <f>IF(B265="","",IF(YEAR(B265+1)=Ano,B265+1,""))</f>
        <v>46278.0</v>
      </c>
      <c r="C266" s="128" t="str">
        <f>IF(B266="","",CHOOSE(WEEKDAY(B266),"Dom","Seg","Ter","Qua","Qui","Sex","Sáb"))</f>
        <v>Dom</v>
      </c>
      <c r="D266" s="174" t="n"/>
      <c r="E266" s="106" t="n"/>
      <c r="F266" s="106" t="n"/>
      <c r="G266" s="106" t="n"/>
      <c r="H266" s="106" t="n"/>
      <c r="I266" s="129" t="n"/>
      <c r="J266" s="106" t="n"/>
      <c r="K266" s="175" t="n"/>
      <c r="L266" s="174" t="n"/>
      <c r="M266" s="174" t="n"/>
      <c r="N266" s="106" t="n"/>
      <c r="O266" s="129" t="n"/>
    </row>
    <row r="267">
      <c r="B267" s="137">
        <f>IF(B266="","",IF(YEAR(B266+1)=Ano,B266+1,""))</f>
        <v>46279.0</v>
      </c>
      <c r="C267" s="128" t="str">
        <f>IF(B267="","",CHOOSE(WEEKDAY(B267),"Dom","Seg","Ter","Qua","Qui","Sex","Sáb"))</f>
        <v>Seg</v>
      </c>
      <c r="D267" s="174" t="n"/>
      <c r="E267" s="106" t="n"/>
      <c r="F267" s="106" t="n"/>
      <c r="G267" s="106" t="n"/>
      <c r="H267" s="106" t="n"/>
      <c r="I267" s="129" t="n"/>
      <c r="J267" s="106" t="n"/>
      <c r="K267" s="175" t="n"/>
      <c r="L267" s="174" t="n"/>
      <c r="M267" s="174" t="n"/>
      <c r="N267" s="106" t="n"/>
      <c r="O267" s="129" t="n"/>
    </row>
    <row r="268">
      <c r="B268" s="137">
        <f>IF(B267="","",IF(YEAR(B267+1)=Ano,B267+1,""))</f>
        <v>46280.0</v>
      </c>
      <c r="C268" s="128" t="str">
        <f>IF(B268="","",CHOOSE(WEEKDAY(B268),"Dom","Seg","Ter","Qua","Qui","Sex","Sáb"))</f>
        <v>Ter</v>
      </c>
      <c r="D268" s="174" t="n"/>
      <c r="E268" s="106" t="n"/>
      <c r="F268" s="106" t="n"/>
      <c r="G268" s="106" t="n"/>
      <c r="H268" s="106" t="n"/>
      <c r="I268" s="129" t="n"/>
      <c r="J268" s="106" t="n"/>
      <c r="K268" s="175" t="n"/>
      <c r="L268" s="174" t="n"/>
      <c r="M268" s="174" t="n"/>
      <c r="N268" s="106" t="n"/>
      <c r="O268" s="129" t="n"/>
    </row>
    <row r="269">
      <c r="B269" s="137">
        <f>IF(B268="","",IF(YEAR(B268+1)=Ano,B268+1,""))</f>
        <v>46281.0</v>
      </c>
      <c r="C269" s="128" t="str">
        <f>IF(B269="","",CHOOSE(WEEKDAY(B269),"Dom","Seg","Ter","Qua","Qui","Sex","Sáb"))</f>
        <v>Qua</v>
      </c>
      <c r="D269" s="174" t="n"/>
      <c r="E269" s="106" t="n"/>
      <c r="F269" s="106" t="n"/>
      <c r="G269" s="106" t="n"/>
      <c r="H269" s="106" t="n"/>
      <c r="I269" s="129" t="n"/>
      <c r="J269" s="106" t="n"/>
      <c r="K269" s="175" t="n"/>
      <c r="L269" s="174" t="n"/>
      <c r="M269" s="174" t="n"/>
      <c r="N269" s="106" t="n"/>
      <c r="O269" s="129" t="n"/>
    </row>
    <row r="270">
      <c r="B270" s="137">
        <f>IF(B269="","",IF(YEAR(B269+1)=Ano,B269+1,""))</f>
        <v>46282.0</v>
      </c>
      <c r="C270" s="128" t="str">
        <f>IF(B270="","",CHOOSE(WEEKDAY(B270),"Dom","Seg","Ter","Qua","Qui","Sex","Sáb"))</f>
        <v>Qui</v>
      </c>
      <c r="D270" s="174" t="n"/>
      <c r="E270" s="106" t="n"/>
      <c r="F270" s="106" t="n"/>
      <c r="G270" s="106" t="n"/>
      <c r="H270" s="106" t="n"/>
      <c r="I270" s="129" t="n"/>
      <c r="J270" s="106" t="n"/>
      <c r="K270" s="175" t="n"/>
      <c r="L270" s="174" t="n"/>
      <c r="M270" s="174" t="n"/>
      <c r="N270" s="106" t="n"/>
      <c r="O270" s="129" t="n"/>
    </row>
    <row r="271">
      <c r="B271" s="137">
        <f>IF(B270="","",IF(YEAR(B270+1)=Ano,B270+1,""))</f>
        <v>46283.0</v>
      </c>
      <c r="C271" s="128" t="str">
        <f>IF(B271="","",CHOOSE(WEEKDAY(B271),"Dom","Seg","Ter","Qua","Qui","Sex","Sáb"))</f>
        <v>Sex</v>
      </c>
      <c r="D271" s="174" t="n"/>
      <c r="E271" s="106" t="n"/>
      <c r="F271" s="106" t="n"/>
      <c r="G271" s="106" t="n"/>
      <c r="H271" s="106" t="n"/>
      <c r="I271" s="129" t="n"/>
      <c r="J271" s="106" t="n"/>
      <c r="K271" s="175" t="n"/>
      <c r="L271" s="174" t="n"/>
      <c r="M271" s="174" t="n"/>
      <c r="N271" s="106" t="n"/>
      <c r="O271" s="129" t="n"/>
    </row>
    <row r="272">
      <c r="B272" s="137">
        <f>IF(B271="","",IF(YEAR(B271+1)=Ano,B271+1,""))</f>
        <v>46284.0</v>
      </c>
      <c r="C272" s="128" t="str">
        <f>IF(B272="","",CHOOSE(WEEKDAY(B272),"Dom","Seg","Ter","Qua","Qui","Sex","Sáb"))</f>
        <v>Sáb</v>
      </c>
      <c r="D272" s="174" t="n"/>
      <c r="E272" s="106" t="n"/>
      <c r="F272" s="106" t="n"/>
      <c r="G272" s="106" t="n"/>
      <c r="H272" s="106" t="n"/>
      <c r="I272" s="129" t="n"/>
      <c r="J272" s="106" t="n"/>
      <c r="K272" s="175" t="n"/>
      <c r="L272" s="174" t="n"/>
      <c r="M272" s="174" t="n"/>
      <c r="N272" s="106" t="n"/>
      <c r="O272" s="129" t="n"/>
    </row>
    <row r="273">
      <c r="B273" s="137">
        <f>IF(B272="","",IF(YEAR(B272+1)=Ano,B272+1,""))</f>
        <v>46285.0</v>
      </c>
      <c r="C273" s="128" t="str">
        <f>IF(B273="","",CHOOSE(WEEKDAY(B273),"Dom","Seg","Ter","Qua","Qui","Sex","Sáb"))</f>
        <v>Dom</v>
      </c>
      <c r="D273" s="174" t="n"/>
      <c r="E273" s="106" t="n"/>
      <c r="F273" s="106" t="n"/>
      <c r="G273" s="106" t="n"/>
      <c r="H273" s="106" t="n"/>
      <c r="I273" s="129" t="n"/>
      <c r="J273" s="106" t="n"/>
      <c r="K273" s="175" t="n"/>
      <c r="L273" s="174" t="n"/>
      <c r="M273" s="174" t="n"/>
      <c r="N273" s="106" t="n"/>
      <c r="O273" s="129" t="n"/>
    </row>
    <row r="274">
      <c r="B274" s="137">
        <f>IF(B273="","",IF(YEAR(B273+1)=Ano,B273+1,""))</f>
        <v>46286.0</v>
      </c>
      <c r="C274" s="128" t="str">
        <f>IF(B274="","",CHOOSE(WEEKDAY(B274),"Dom","Seg","Ter","Qua","Qui","Sex","Sáb"))</f>
        <v>Seg</v>
      </c>
      <c r="D274" s="174" t="n"/>
      <c r="E274" s="106" t="n"/>
      <c r="F274" s="106" t="n"/>
      <c r="G274" s="106" t="n"/>
      <c r="H274" s="106" t="n"/>
      <c r="I274" s="129" t="n"/>
      <c r="J274" s="106" t="n"/>
      <c r="K274" s="175" t="n"/>
      <c r="L274" s="174" t="n"/>
      <c r="M274" s="174" t="n"/>
      <c r="N274" s="106" t="n"/>
      <c r="O274" s="129" t="n"/>
    </row>
    <row r="275">
      <c r="B275" s="137">
        <f>IF(B274="","",IF(YEAR(B274+1)=Ano,B274+1,""))</f>
        <v>46287.0</v>
      </c>
      <c r="C275" s="128" t="str">
        <f>IF(B275="","",CHOOSE(WEEKDAY(B275),"Dom","Seg","Ter","Qua","Qui","Sex","Sáb"))</f>
        <v>Ter</v>
      </c>
      <c r="D275" s="174" t="n"/>
      <c r="E275" s="106" t="n"/>
      <c r="F275" s="106" t="n"/>
      <c r="G275" s="106" t="n"/>
      <c r="H275" s="106" t="n"/>
      <c r="I275" s="129" t="n"/>
      <c r="J275" s="106" t="n"/>
      <c r="K275" s="175" t="n"/>
      <c r="L275" s="174" t="n"/>
      <c r="M275" s="174" t="n"/>
      <c r="N275" s="106" t="n"/>
      <c r="O275" s="129" t="n"/>
    </row>
    <row r="276">
      <c r="B276" s="137">
        <f>IF(B275="","",IF(YEAR(B275+1)=Ano,B275+1,""))</f>
        <v>46288.0</v>
      </c>
      <c r="C276" s="128" t="str">
        <f>IF(B276="","",CHOOSE(WEEKDAY(B276),"Dom","Seg","Ter","Qua","Qui","Sex","Sáb"))</f>
        <v>Qua</v>
      </c>
      <c r="D276" s="174" t="n"/>
      <c r="E276" s="106" t="n"/>
      <c r="F276" s="106" t="n"/>
      <c r="G276" s="106" t="n"/>
      <c r="H276" s="106" t="n"/>
      <c r="I276" s="129" t="n"/>
      <c r="J276" s="106" t="n"/>
      <c r="K276" s="175" t="n"/>
      <c r="L276" s="174" t="n"/>
      <c r="M276" s="174" t="n"/>
      <c r="N276" s="106" t="n"/>
      <c r="O276" s="129" t="n"/>
    </row>
    <row r="277">
      <c r="B277" s="137">
        <f>IF(B276="","",IF(YEAR(B276+1)=Ano,B276+1,""))</f>
        <v>46289.0</v>
      </c>
      <c r="C277" s="128" t="str">
        <f>IF(B277="","",CHOOSE(WEEKDAY(B277),"Dom","Seg","Ter","Qua","Qui","Sex","Sáb"))</f>
        <v>Qui</v>
      </c>
      <c r="D277" s="174" t="n"/>
      <c r="E277" s="106" t="n"/>
      <c r="F277" s="106" t="n"/>
      <c r="G277" s="106" t="n"/>
      <c r="H277" s="106" t="n"/>
      <c r="I277" s="129" t="n"/>
      <c r="J277" s="106" t="n"/>
      <c r="K277" s="175" t="n"/>
      <c r="L277" s="174" t="n"/>
      <c r="M277" s="174" t="n"/>
      <c r="N277" s="106" t="n"/>
      <c r="O277" s="129" t="n"/>
    </row>
    <row r="278">
      <c r="B278" s="137">
        <f>IF(B277="","",IF(YEAR(B277+1)=Ano,B277+1,""))</f>
        <v>46290.0</v>
      </c>
      <c r="C278" s="128" t="str">
        <f>IF(B278="","",CHOOSE(WEEKDAY(B278),"Dom","Seg","Ter","Qua","Qui","Sex","Sáb"))</f>
        <v>Sex</v>
      </c>
      <c r="D278" s="174" t="n"/>
      <c r="E278" s="106" t="n"/>
      <c r="F278" s="106" t="n"/>
      <c r="G278" s="106" t="n"/>
      <c r="H278" s="106" t="n"/>
      <c r="I278" s="129" t="n"/>
      <c r="J278" s="106" t="n"/>
      <c r="K278" s="175" t="n"/>
      <c r="L278" s="174" t="n"/>
      <c r="M278" s="174" t="n"/>
      <c r="N278" s="106" t="n"/>
      <c r="O278" s="129" t="n"/>
    </row>
    <row r="279">
      <c r="B279" s="137">
        <f>IF(B278="","",IF(YEAR(B278+1)=Ano,B278+1,""))</f>
        <v>46291.0</v>
      </c>
      <c r="C279" s="128" t="str">
        <f>IF(B279="","",CHOOSE(WEEKDAY(B279),"Dom","Seg","Ter","Qua","Qui","Sex","Sáb"))</f>
        <v>Sáb</v>
      </c>
      <c r="D279" s="174" t="n"/>
      <c r="E279" s="106" t="n"/>
      <c r="F279" s="106" t="n"/>
      <c r="G279" s="106" t="n"/>
      <c r="H279" s="106" t="n"/>
      <c r="I279" s="129" t="n"/>
      <c r="J279" s="106" t="n"/>
      <c r="K279" s="175" t="n"/>
      <c r="L279" s="174" t="n"/>
      <c r="M279" s="174" t="n"/>
      <c r="N279" s="106" t="n"/>
      <c r="O279" s="129" t="n"/>
    </row>
    <row r="280">
      <c r="B280" s="137">
        <f>IF(B279="","",IF(YEAR(B279+1)=Ano,B279+1,""))</f>
        <v>46292.0</v>
      </c>
      <c r="C280" s="128" t="str">
        <f>IF(B280="","",CHOOSE(WEEKDAY(B280),"Dom","Seg","Ter","Qua","Qui","Sex","Sáb"))</f>
        <v>Dom</v>
      </c>
      <c r="D280" s="174" t="n"/>
      <c r="E280" s="106" t="n"/>
      <c r="F280" s="106" t="n"/>
      <c r="G280" s="106" t="n"/>
      <c r="H280" s="106" t="n"/>
      <c r="I280" s="129" t="n"/>
      <c r="J280" s="106" t="n"/>
      <c r="K280" s="175" t="n"/>
      <c r="L280" s="174" t="n"/>
      <c r="M280" s="174" t="n"/>
      <c r="N280" s="106" t="n"/>
      <c r="O280" s="129" t="n"/>
    </row>
    <row r="281">
      <c r="B281" s="137">
        <f>IF(B280="","",IF(YEAR(B280+1)=Ano,B280+1,""))</f>
        <v>46293.0</v>
      </c>
      <c r="C281" s="128" t="str">
        <f>IF(B281="","",CHOOSE(WEEKDAY(B281),"Dom","Seg","Ter","Qua","Qui","Sex","Sáb"))</f>
        <v>Seg</v>
      </c>
      <c r="D281" s="174" t="n"/>
      <c r="E281" s="106" t="n"/>
      <c r="F281" s="106" t="n"/>
      <c r="G281" s="106" t="n"/>
      <c r="H281" s="106" t="n"/>
      <c r="I281" s="129" t="n"/>
      <c r="J281" s="106" t="n"/>
      <c r="K281" s="175" t="n"/>
      <c r="L281" s="174" t="n"/>
      <c r="M281" s="174" t="n"/>
      <c r="N281" s="106" t="n"/>
      <c r="O281" s="129" t="n"/>
    </row>
    <row r="282">
      <c r="B282" s="137">
        <f>IF(B281="","",IF(YEAR(B281+1)=Ano,B281+1,""))</f>
        <v>46294.0</v>
      </c>
      <c r="C282" s="128" t="str">
        <f>IF(B282="","",CHOOSE(WEEKDAY(B282),"Dom","Seg","Ter","Qua","Qui","Sex","Sáb"))</f>
        <v>Ter</v>
      </c>
      <c r="D282" s="174" t="n"/>
      <c r="E282" s="106" t="n"/>
      <c r="F282" s="106" t="n"/>
      <c r="G282" s="106" t="n"/>
      <c r="H282" s="106" t="n"/>
      <c r="I282" s="129" t="n"/>
      <c r="J282" s="106" t="n"/>
      <c r="K282" s="175" t="n"/>
      <c r="L282" s="174" t="n"/>
      <c r="M282" s="174" t="n"/>
      <c r="N282" s="106" t="n"/>
      <c r="O282" s="129" t="n"/>
    </row>
    <row r="283">
      <c r="B283" s="137">
        <f>IF(B282="","",IF(YEAR(B282+1)=Ano,B282+1,""))</f>
        <v>46295.0</v>
      </c>
      <c r="C283" s="128" t="str">
        <f>IF(B283="","",CHOOSE(WEEKDAY(B283),"Dom","Seg","Ter","Qua","Qui","Sex","Sáb"))</f>
        <v>Qua</v>
      </c>
      <c r="D283" s="174" t="n"/>
      <c r="E283" s="106" t="n"/>
      <c r="F283" s="106" t="n"/>
      <c r="G283" s="106" t="n"/>
      <c r="H283" s="106" t="n"/>
      <c r="I283" s="129" t="n"/>
      <c r="J283" s="106" t="n"/>
      <c r="K283" s="175" t="n"/>
      <c r="L283" s="174" t="n"/>
      <c r="M283" s="174" t="n"/>
      <c r="N283" s="106" t="n"/>
      <c r="O283" s="129" t="n"/>
    </row>
    <row r="284">
      <c r="B284" s="137">
        <f>IF(B283="","",IF(YEAR(B283+1)=Ano,B283+1,""))</f>
        <v>46296.0</v>
      </c>
      <c r="C284" s="128" t="str">
        <f>IF(B284="","",CHOOSE(WEEKDAY(B284),"Dom","Seg","Ter","Qua","Qui","Sex","Sáb"))</f>
        <v>Qui</v>
      </c>
      <c r="D284" s="174" t="n"/>
      <c r="E284" s="106" t="n"/>
      <c r="F284" s="106" t="n"/>
      <c r="G284" s="106" t="n"/>
      <c r="H284" s="106" t="n"/>
      <c r="I284" s="129" t="n"/>
      <c r="J284" s="106" t="n"/>
      <c r="K284" s="175" t="n"/>
      <c r="L284" s="174" t="n"/>
      <c r="M284" s="174" t="n"/>
      <c r="N284" s="106" t="n"/>
      <c r="O284" s="129" t="n"/>
    </row>
    <row r="285">
      <c r="B285" s="137">
        <f>IF(B284="","",IF(YEAR(B284+1)=Ano,B284+1,""))</f>
        <v>46297.0</v>
      </c>
      <c r="C285" s="128" t="str">
        <f>IF(B285="","",CHOOSE(WEEKDAY(B285),"Dom","Seg","Ter","Qua","Qui","Sex","Sáb"))</f>
        <v>Sex</v>
      </c>
      <c r="D285" s="174" t="n"/>
      <c r="E285" s="106" t="n"/>
      <c r="F285" s="106" t="n"/>
      <c r="G285" s="106" t="n"/>
      <c r="H285" s="106" t="n"/>
      <c r="I285" s="129" t="n"/>
      <c r="J285" s="106" t="n"/>
      <c r="K285" s="175" t="n"/>
      <c r="L285" s="174" t="n"/>
      <c r="M285" s="174" t="n"/>
      <c r="N285" s="106" t="n"/>
      <c r="O285" s="129" t="n"/>
    </row>
    <row r="286">
      <c r="B286" s="137">
        <f>IF(B285="","",IF(YEAR(B285+1)=Ano,B285+1,""))</f>
        <v>46298.0</v>
      </c>
      <c r="C286" s="128" t="str">
        <f>IF(B286="","",CHOOSE(WEEKDAY(B286),"Dom","Seg","Ter","Qua","Qui","Sex","Sáb"))</f>
        <v>Sáb</v>
      </c>
      <c r="D286" s="174" t="n"/>
      <c r="E286" s="106" t="n"/>
      <c r="F286" s="106" t="n"/>
      <c r="G286" s="106" t="n"/>
      <c r="H286" s="106" t="n"/>
      <c r="I286" s="129" t="n"/>
      <c r="J286" s="106" t="n"/>
      <c r="K286" s="175" t="n"/>
      <c r="L286" s="174" t="n"/>
      <c r="M286" s="174" t="n"/>
      <c r="N286" s="106" t="n"/>
      <c r="O286" s="129" t="n"/>
    </row>
    <row r="287">
      <c r="B287" s="137">
        <f>IF(B286="","",IF(YEAR(B286+1)=Ano,B286+1,""))</f>
        <v>46299.0</v>
      </c>
      <c r="C287" s="128" t="str">
        <f>IF(B287="","",CHOOSE(WEEKDAY(B287),"Dom","Seg","Ter","Qua","Qui","Sex","Sáb"))</f>
        <v>Dom</v>
      </c>
      <c r="D287" s="174" t="n"/>
      <c r="E287" s="106" t="n"/>
      <c r="F287" s="106" t="n"/>
      <c r="G287" s="106" t="n"/>
      <c r="H287" s="106" t="n"/>
      <c r="I287" s="129" t="n"/>
      <c r="J287" s="106" t="n"/>
      <c r="K287" s="175" t="n"/>
      <c r="L287" s="174" t="n"/>
      <c r="M287" s="174" t="n"/>
      <c r="N287" s="106" t="n"/>
      <c r="O287" s="129" t="n"/>
    </row>
    <row r="288">
      <c r="B288" s="137">
        <f>IF(B287="","",IF(YEAR(B287+1)=Ano,B287+1,""))</f>
        <v>46300.0</v>
      </c>
      <c r="C288" s="128" t="str">
        <f>IF(B288="","",CHOOSE(WEEKDAY(B288),"Dom","Seg","Ter","Qua","Qui","Sex","Sáb"))</f>
        <v>Seg</v>
      </c>
      <c r="D288" s="174" t="n"/>
      <c r="E288" s="106" t="n"/>
      <c r="F288" s="106" t="n"/>
      <c r="G288" s="106" t="n"/>
      <c r="H288" s="106" t="n"/>
      <c r="I288" s="129" t="n"/>
      <c r="J288" s="106" t="n"/>
      <c r="K288" s="175" t="n"/>
      <c r="L288" s="174" t="n"/>
      <c r="M288" s="174" t="n"/>
      <c r="N288" s="106" t="n"/>
      <c r="O288" s="129" t="n"/>
    </row>
    <row r="289">
      <c r="B289" s="137">
        <f>IF(B288="","",IF(YEAR(B288+1)=Ano,B288+1,""))</f>
        <v>46301.0</v>
      </c>
      <c r="C289" s="128" t="str">
        <f>IF(B289="","",CHOOSE(WEEKDAY(B289),"Dom","Seg","Ter","Qua","Qui","Sex","Sáb"))</f>
        <v>Ter</v>
      </c>
      <c r="D289" s="174" t="n"/>
      <c r="E289" s="106" t="n"/>
      <c r="F289" s="106" t="n"/>
      <c r="G289" s="106" t="n"/>
      <c r="H289" s="106" t="n"/>
      <c r="I289" s="129" t="n"/>
      <c r="J289" s="106" t="n"/>
      <c r="K289" s="175" t="n"/>
      <c r="L289" s="174" t="n"/>
      <c r="M289" s="174" t="n"/>
      <c r="N289" s="106" t="n"/>
      <c r="O289" s="129" t="n"/>
    </row>
    <row r="290">
      <c r="B290" s="137">
        <f>IF(B289="","",IF(YEAR(B289+1)=Ano,B289+1,""))</f>
        <v>46302.0</v>
      </c>
      <c r="C290" s="128" t="str">
        <f>IF(B290="","",CHOOSE(WEEKDAY(B290),"Dom","Seg","Ter","Qua","Qui","Sex","Sáb"))</f>
        <v>Qua</v>
      </c>
      <c r="D290" s="174" t="n"/>
      <c r="E290" s="106" t="n"/>
      <c r="F290" s="106" t="n"/>
      <c r="G290" s="106" t="n"/>
      <c r="H290" s="106" t="n"/>
      <c r="I290" s="129" t="n"/>
      <c r="J290" s="106" t="n"/>
      <c r="K290" s="175" t="n"/>
      <c r="L290" s="174" t="n"/>
      <c r="M290" s="174" t="n"/>
      <c r="N290" s="106" t="n"/>
      <c r="O290" s="129" t="n"/>
    </row>
    <row r="291">
      <c r="B291" s="137">
        <f>IF(B290="","",IF(YEAR(B290+1)=Ano,B290+1,""))</f>
        <v>46303.0</v>
      </c>
      <c r="C291" s="128" t="str">
        <f>IF(B291="","",CHOOSE(WEEKDAY(B291),"Dom","Seg","Ter","Qua","Qui","Sex","Sáb"))</f>
        <v>Qui</v>
      </c>
      <c r="D291" s="174" t="n"/>
      <c r="E291" s="106" t="n"/>
      <c r="F291" s="106" t="n"/>
      <c r="G291" s="106" t="n"/>
      <c r="H291" s="106" t="n"/>
      <c r="I291" s="129" t="n"/>
      <c r="J291" s="106" t="n"/>
      <c r="K291" s="175" t="n"/>
      <c r="L291" s="174" t="n"/>
      <c r="M291" s="174" t="n"/>
      <c r="N291" s="106" t="n"/>
      <c r="O291" s="129" t="n"/>
    </row>
    <row r="292">
      <c r="B292" s="137">
        <f>IF(B291="","",IF(YEAR(B291+1)=Ano,B291+1,""))</f>
        <v>46304.0</v>
      </c>
      <c r="C292" s="128" t="str">
        <f>IF(B292="","",CHOOSE(WEEKDAY(B292),"Dom","Seg","Ter","Qua","Qui","Sex","Sáb"))</f>
        <v>Sex</v>
      </c>
      <c r="D292" s="174" t="n"/>
      <c r="E292" s="106" t="n"/>
      <c r="F292" s="106" t="n"/>
      <c r="G292" s="106" t="n"/>
      <c r="H292" s="106" t="n"/>
      <c r="I292" s="129" t="n"/>
      <c r="J292" s="106" t="n"/>
      <c r="K292" s="175" t="n"/>
      <c r="L292" s="174" t="n"/>
      <c r="M292" s="174" t="n"/>
      <c r="N292" s="106" t="n"/>
      <c r="O292" s="129" t="n"/>
    </row>
    <row r="293">
      <c r="B293" s="137">
        <f>IF(B292="","",IF(YEAR(B292+1)=Ano,B292+1,""))</f>
        <v>46305.0</v>
      </c>
      <c r="C293" s="128" t="str">
        <f>IF(B293="","",CHOOSE(WEEKDAY(B293),"Dom","Seg","Ter","Qua","Qui","Sex","Sáb"))</f>
        <v>Sáb</v>
      </c>
      <c r="D293" s="174" t="n"/>
      <c r="E293" s="106" t="n"/>
      <c r="F293" s="106" t="n"/>
      <c r="G293" s="106" t="n"/>
      <c r="H293" s="106" t="n"/>
      <c r="I293" s="129" t="n"/>
      <c r="J293" s="106" t="n"/>
      <c r="K293" s="175" t="n"/>
      <c r="L293" s="174" t="n"/>
      <c r="M293" s="174" t="n"/>
      <c r="N293" s="106" t="n"/>
      <c r="O293" s="129" t="n"/>
    </row>
    <row r="294">
      <c r="B294" s="137">
        <f>IF(B293="","",IF(YEAR(B293+1)=Ano,B293+1,""))</f>
        <v>46306.0</v>
      </c>
      <c r="C294" s="128" t="str">
        <f>IF(B294="","",CHOOSE(WEEKDAY(B294),"Dom","Seg","Ter","Qua","Qui","Sex","Sáb"))</f>
        <v>Dom</v>
      </c>
      <c r="D294" s="174" t="n"/>
      <c r="E294" s="106" t="n"/>
      <c r="F294" s="106" t="n"/>
      <c r="G294" s="106" t="n"/>
      <c r="H294" s="106" t="n"/>
      <c r="I294" s="129" t="n"/>
      <c r="J294" s="106" t="n"/>
      <c r="K294" s="175" t="n"/>
      <c r="L294" s="174" t="n"/>
      <c r="M294" s="174" t="n"/>
      <c r="N294" s="106" t="n"/>
      <c r="O294" s="129" t="n"/>
    </row>
    <row r="295">
      <c r="B295" s="137">
        <f>IF(B294="","",IF(YEAR(B294+1)=Ano,B294+1,""))</f>
        <v>46307.0</v>
      </c>
      <c r="C295" s="128" t="str">
        <f>IF(B295="","",CHOOSE(WEEKDAY(B295),"Dom","Seg","Ter","Qua","Qui","Sex","Sáb"))</f>
        <v>Seg</v>
      </c>
      <c r="D295" s="174" t="n"/>
      <c r="E295" s="106" t="n"/>
      <c r="F295" s="106" t="n"/>
      <c r="G295" s="106" t="n"/>
      <c r="H295" s="106" t="n"/>
      <c r="I295" s="129" t="n"/>
      <c r="J295" s="106" t="n"/>
      <c r="K295" s="175" t="n"/>
      <c r="L295" s="174" t="n"/>
      <c r="M295" s="174" t="n"/>
      <c r="N295" s="106" t="n"/>
      <c r="O295" s="129" t="n"/>
    </row>
    <row r="296">
      <c r="B296" s="137">
        <f>IF(B295="","",IF(YEAR(B295+1)=Ano,B295+1,""))</f>
        <v>46308.0</v>
      </c>
      <c r="C296" s="128" t="str">
        <f>IF(B296="","",CHOOSE(WEEKDAY(B296),"Dom","Seg","Ter","Qua","Qui","Sex","Sáb"))</f>
        <v>Ter</v>
      </c>
      <c r="D296" s="174" t="n"/>
      <c r="E296" s="106" t="n"/>
      <c r="F296" s="106" t="n"/>
      <c r="G296" s="106" t="n"/>
      <c r="H296" s="106" t="n"/>
      <c r="I296" s="129" t="n"/>
      <c r="J296" s="106" t="n"/>
      <c r="K296" s="175" t="n"/>
      <c r="L296" s="174" t="n"/>
      <c r="M296" s="174" t="n"/>
      <c r="N296" s="106" t="n"/>
      <c r="O296" s="129" t="n"/>
    </row>
    <row r="297">
      <c r="B297" s="137">
        <f>IF(B296="","",IF(YEAR(B296+1)=Ano,B296+1,""))</f>
        <v>46309.0</v>
      </c>
      <c r="C297" s="128" t="str">
        <f>IF(B297="","",CHOOSE(WEEKDAY(B297),"Dom","Seg","Ter","Qua","Qui","Sex","Sáb"))</f>
        <v>Qua</v>
      </c>
      <c r="D297" s="174" t="n"/>
      <c r="E297" s="106" t="n"/>
      <c r="F297" s="106" t="n"/>
      <c r="G297" s="106" t="n"/>
      <c r="H297" s="106" t="n"/>
      <c r="I297" s="129" t="n"/>
      <c r="J297" s="106" t="n"/>
      <c r="K297" s="175" t="n"/>
      <c r="L297" s="174" t="n"/>
      <c r="M297" s="174" t="n"/>
      <c r="N297" s="106" t="n"/>
      <c r="O297" s="129" t="n"/>
    </row>
    <row r="298">
      <c r="B298" s="137">
        <f>IF(B297="","",IF(YEAR(B297+1)=Ano,B297+1,""))</f>
        <v>46310.0</v>
      </c>
      <c r="C298" s="128" t="str">
        <f>IF(B298="","",CHOOSE(WEEKDAY(B298),"Dom","Seg","Ter","Qua","Qui","Sex","Sáb"))</f>
        <v>Qui</v>
      </c>
      <c r="D298" s="174" t="n"/>
      <c r="E298" s="106" t="n"/>
      <c r="F298" s="106" t="n"/>
      <c r="G298" s="106" t="n"/>
      <c r="H298" s="106" t="n"/>
      <c r="I298" s="129" t="n"/>
      <c r="J298" s="106" t="n"/>
      <c r="K298" s="175" t="n"/>
      <c r="L298" s="174" t="n"/>
      <c r="M298" s="174" t="n"/>
      <c r="N298" s="106" t="n"/>
      <c r="O298" s="129" t="n"/>
    </row>
    <row r="299">
      <c r="B299" s="137">
        <f>IF(B298="","",IF(YEAR(B298+1)=Ano,B298+1,""))</f>
        <v>46311.0</v>
      </c>
      <c r="C299" s="128" t="str">
        <f>IF(B299="","",CHOOSE(WEEKDAY(B299),"Dom","Seg","Ter","Qua","Qui","Sex","Sáb"))</f>
        <v>Sex</v>
      </c>
      <c r="D299" s="174" t="n"/>
      <c r="E299" s="106" t="n"/>
      <c r="F299" s="106" t="n"/>
      <c r="G299" s="106" t="n"/>
      <c r="H299" s="106" t="n"/>
      <c r="I299" s="129" t="n"/>
      <c r="J299" s="106" t="n"/>
      <c r="K299" s="175" t="n"/>
      <c r="L299" s="174" t="n"/>
      <c r="M299" s="174" t="n"/>
      <c r="N299" s="106" t="n"/>
      <c r="O299" s="129" t="n"/>
    </row>
    <row r="300">
      <c r="B300" s="137">
        <f>IF(B299="","",IF(YEAR(B299+1)=Ano,B299+1,""))</f>
        <v>46312.0</v>
      </c>
      <c r="C300" s="128" t="str">
        <f>IF(B300="","",CHOOSE(WEEKDAY(B300),"Dom","Seg","Ter","Qua","Qui","Sex","Sáb"))</f>
        <v>Sáb</v>
      </c>
      <c r="D300" s="174" t="n"/>
      <c r="E300" s="106" t="n"/>
      <c r="F300" s="106" t="n"/>
      <c r="G300" s="106" t="n"/>
      <c r="H300" s="106" t="n"/>
      <c r="I300" s="129" t="n"/>
      <c r="J300" s="106" t="n"/>
      <c r="K300" s="175" t="n"/>
      <c r="L300" s="174" t="n"/>
      <c r="M300" s="174" t="n"/>
      <c r="N300" s="106" t="n"/>
      <c r="O300" s="129" t="n"/>
    </row>
    <row r="301">
      <c r="B301" s="137">
        <f>IF(B300="","",IF(YEAR(B300+1)=Ano,B300+1,""))</f>
        <v>46313.0</v>
      </c>
      <c r="C301" s="128" t="str">
        <f>IF(B301="","",CHOOSE(WEEKDAY(B301),"Dom","Seg","Ter","Qua","Qui","Sex","Sáb"))</f>
        <v>Dom</v>
      </c>
      <c r="D301" s="174" t="n"/>
      <c r="E301" s="106" t="n"/>
      <c r="F301" s="106" t="n"/>
      <c r="G301" s="106" t="n"/>
      <c r="H301" s="106" t="n"/>
      <c r="I301" s="129" t="n"/>
      <c r="J301" s="106" t="n"/>
      <c r="K301" s="175" t="n"/>
      <c r="L301" s="174" t="n"/>
      <c r="M301" s="174" t="n"/>
      <c r="N301" s="106" t="n"/>
      <c r="O301" s="129" t="n"/>
    </row>
    <row r="302">
      <c r="B302" s="137">
        <f>IF(B301="","",IF(YEAR(B301+1)=Ano,B301+1,""))</f>
        <v>46314.0</v>
      </c>
      <c r="C302" s="128" t="str">
        <f>IF(B302="","",CHOOSE(WEEKDAY(B302),"Dom","Seg","Ter","Qua","Qui","Sex","Sáb"))</f>
        <v>Seg</v>
      </c>
      <c r="D302" s="174" t="n"/>
      <c r="E302" s="106" t="n"/>
      <c r="F302" s="106" t="n"/>
      <c r="G302" s="106" t="n"/>
      <c r="H302" s="106" t="n"/>
      <c r="I302" s="129" t="n"/>
      <c r="J302" s="106" t="n"/>
      <c r="K302" s="175" t="n"/>
      <c r="L302" s="174" t="n"/>
      <c r="M302" s="174" t="n"/>
      <c r="N302" s="106" t="n"/>
      <c r="O302" s="129" t="n"/>
    </row>
    <row r="303">
      <c r="B303" s="137">
        <f>IF(B302="","",IF(YEAR(B302+1)=Ano,B302+1,""))</f>
        <v>46315.0</v>
      </c>
      <c r="C303" s="128" t="str">
        <f>IF(B303="","",CHOOSE(WEEKDAY(B303),"Dom","Seg","Ter","Qua","Qui","Sex","Sáb"))</f>
        <v>Ter</v>
      </c>
      <c r="D303" s="174" t="n"/>
      <c r="E303" s="106" t="n"/>
      <c r="F303" s="106" t="n"/>
      <c r="G303" s="106" t="n"/>
      <c r="H303" s="106" t="n"/>
      <c r="I303" s="129" t="n"/>
      <c r="J303" s="106" t="n"/>
      <c r="K303" s="175" t="n"/>
      <c r="L303" s="174" t="n"/>
      <c r="M303" s="174" t="n"/>
      <c r="N303" s="106" t="n"/>
      <c r="O303" s="129" t="n"/>
    </row>
    <row r="304">
      <c r="B304" s="137">
        <f>IF(B303="","",IF(YEAR(B303+1)=Ano,B303+1,""))</f>
        <v>46316.0</v>
      </c>
      <c r="C304" s="128" t="str">
        <f>IF(B304="","",CHOOSE(WEEKDAY(B304),"Dom","Seg","Ter","Qua","Qui","Sex","Sáb"))</f>
        <v>Qua</v>
      </c>
      <c r="D304" s="174" t="n"/>
      <c r="E304" s="106" t="n"/>
      <c r="F304" s="106" t="n"/>
      <c r="G304" s="106" t="n"/>
      <c r="H304" s="106" t="n"/>
      <c r="I304" s="129" t="n"/>
      <c r="J304" s="106" t="n"/>
      <c r="K304" s="175" t="n"/>
      <c r="L304" s="174" t="n"/>
      <c r="M304" s="174" t="n"/>
      <c r="N304" s="106" t="n"/>
      <c r="O304" s="129" t="n"/>
    </row>
    <row r="305">
      <c r="B305" s="137">
        <f>IF(B304="","",IF(YEAR(B304+1)=Ano,B304+1,""))</f>
        <v>46317.0</v>
      </c>
      <c r="C305" s="128" t="str">
        <f>IF(B305="","",CHOOSE(WEEKDAY(B305),"Dom","Seg","Ter","Qua","Qui","Sex","Sáb"))</f>
        <v>Qui</v>
      </c>
      <c r="D305" s="174" t="n"/>
      <c r="E305" s="106" t="n"/>
      <c r="F305" s="106" t="n"/>
      <c r="G305" s="106" t="n"/>
      <c r="H305" s="106" t="n"/>
      <c r="I305" s="129" t="n"/>
      <c r="J305" s="106" t="n"/>
      <c r="K305" s="175" t="n"/>
      <c r="L305" s="174" t="n"/>
      <c r="M305" s="174" t="n"/>
      <c r="N305" s="106" t="n"/>
      <c r="O305" s="129" t="n"/>
    </row>
    <row r="306">
      <c r="B306" s="137">
        <f>IF(B305="","",IF(YEAR(B305+1)=Ano,B305+1,""))</f>
        <v>46318.0</v>
      </c>
      <c r="C306" s="128" t="str">
        <f>IF(B306="","",CHOOSE(WEEKDAY(B306),"Dom","Seg","Ter","Qua","Qui","Sex","Sáb"))</f>
        <v>Sex</v>
      </c>
      <c r="D306" s="174" t="n"/>
      <c r="E306" s="106" t="n"/>
      <c r="F306" s="106" t="n"/>
      <c r="G306" s="106" t="n"/>
      <c r="H306" s="106" t="n"/>
      <c r="I306" s="129" t="n"/>
      <c r="J306" s="106" t="n"/>
      <c r="K306" s="175" t="n"/>
      <c r="L306" s="174" t="n"/>
      <c r="M306" s="174" t="n"/>
      <c r="N306" s="106" t="n"/>
      <c r="O306" s="129" t="n"/>
    </row>
    <row r="307">
      <c r="B307" s="137">
        <f>IF(B306="","",IF(YEAR(B306+1)=Ano,B306+1,""))</f>
        <v>46319.0</v>
      </c>
      <c r="C307" s="128" t="str">
        <f>IF(B307="","",CHOOSE(WEEKDAY(B307),"Dom","Seg","Ter","Qua","Qui","Sex","Sáb"))</f>
        <v>Sáb</v>
      </c>
      <c r="D307" s="174" t="n"/>
      <c r="E307" s="106" t="n"/>
      <c r="F307" s="106" t="n"/>
      <c r="G307" s="106" t="n"/>
      <c r="H307" s="106" t="n"/>
      <c r="I307" s="129" t="n"/>
      <c r="J307" s="106" t="n"/>
      <c r="K307" s="175" t="n"/>
      <c r="L307" s="174" t="n"/>
      <c r="M307" s="174" t="n"/>
      <c r="N307" s="106" t="n"/>
      <c r="O307" s="129" t="n"/>
    </row>
    <row r="308">
      <c r="B308" s="137">
        <f>IF(B307="","",IF(YEAR(B307+1)=Ano,B307+1,""))</f>
        <v>46320.0</v>
      </c>
      <c r="C308" s="128" t="str">
        <f>IF(B308="","",CHOOSE(WEEKDAY(B308),"Dom","Seg","Ter","Qua","Qui","Sex","Sáb"))</f>
        <v>Dom</v>
      </c>
      <c r="D308" s="174" t="n"/>
      <c r="E308" s="106" t="n"/>
      <c r="F308" s="106" t="n"/>
      <c r="G308" s="106" t="n"/>
      <c r="H308" s="106" t="n"/>
      <c r="I308" s="129" t="n"/>
      <c r="J308" s="106" t="n"/>
      <c r="K308" s="175" t="n"/>
      <c r="L308" s="174" t="n"/>
      <c r="M308" s="174" t="n"/>
      <c r="N308" s="106" t="n"/>
      <c r="O308" s="129" t="n"/>
    </row>
    <row r="309">
      <c r="B309" s="137">
        <f>IF(B308="","",IF(YEAR(B308+1)=Ano,B308+1,""))</f>
        <v>46321.0</v>
      </c>
      <c r="C309" s="128" t="str">
        <f>IF(B309="","",CHOOSE(WEEKDAY(B309),"Dom","Seg","Ter","Qua","Qui","Sex","Sáb"))</f>
        <v>Seg</v>
      </c>
      <c r="D309" s="174" t="n"/>
      <c r="E309" s="106" t="n"/>
      <c r="F309" s="106" t="n"/>
      <c r="G309" s="106" t="n"/>
      <c r="H309" s="106" t="n"/>
      <c r="I309" s="129" t="n"/>
      <c r="J309" s="106" t="n"/>
      <c r="K309" s="175" t="n"/>
      <c r="L309" s="174" t="n"/>
      <c r="M309" s="174" t="n"/>
      <c r="N309" s="106" t="n"/>
      <c r="O309" s="129" t="n"/>
    </row>
    <row r="310">
      <c r="B310" s="137">
        <f>IF(B309="","",IF(YEAR(B309+1)=Ano,B309+1,""))</f>
        <v>46322.0</v>
      </c>
      <c r="C310" s="128" t="str">
        <f>IF(B310="","",CHOOSE(WEEKDAY(B310),"Dom","Seg","Ter","Qua","Qui","Sex","Sáb"))</f>
        <v>Ter</v>
      </c>
      <c r="D310" s="174" t="n"/>
      <c r="E310" s="106" t="n"/>
      <c r="F310" s="106" t="n"/>
      <c r="G310" s="106" t="n"/>
      <c r="H310" s="106" t="n"/>
      <c r="I310" s="129" t="n"/>
      <c r="J310" s="106" t="n"/>
      <c r="K310" s="175" t="n"/>
      <c r="L310" s="174" t="n"/>
      <c r="M310" s="174" t="n"/>
      <c r="N310" s="106" t="n"/>
      <c r="O310" s="129" t="n"/>
    </row>
    <row r="311">
      <c r="B311" s="137">
        <f>IF(B310="","",IF(YEAR(B310+1)=Ano,B310+1,""))</f>
        <v>46323.0</v>
      </c>
      <c r="C311" s="128" t="str">
        <f>IF(B311="","",CHOOSE(WEEKDAY(B311),"Dom","Seg","Ter","Qua","Qui","Sex","Sáb"))</f>
        <v>Qua</v>
      </c>
      <c r="D311" s="174" t="n"/>
      <c r="E311" s="106" t="n"/>
      <c r="F311" s="106" t="n"/>
      <c r="G311" s="106" t="n"/>
      <c r="H311" s="106" t="n"/>
      <c r="I311" s="129" t="n"/>
      <c r="J311" s="106" t="n"/>
      <c r="K311" s="175" t="n"/>
      <c r="L311" s="174" t="n"/>
      <c r="M311" s="174" t="n"/>
      <c r="N311" s="106" t="n"/>
      <c r="O311" s="129" t="n"/>
    </row>
    <row r="312">
      <c r="B312" s="137">
        <f>IF(B311="","",IF(YEAR(B311+1)=Ano,B311+1,""))</f>
        <v>46324.0</v>
      </c>
      <c r="C312" s="128" t="str">
        <f>IF(B312="","",CHOOSE(WEEKDAY(B312),"Dom","Seg","Ter","Qua","Qui","Sex","Sáb"))</f>
        <v>Qui</v>
      </c>
      <c r="D312" s="174" t="n"/>
      <c r="E312" s="106" t="n"/>
      <c r="F312" s="106" t="n"/>
      <c r="G312" s="106" t="n"/>
      <c r="H312" s="106" t="n"/>
      <c r="I312" s="129" t="n"/>
      <c r="J312" s="106" t="n"/>
      <c r="K312" s="175" t="n"/>
      <c r="L312" s="174" t="n"/>
      <c r="M312" s="174" t="n"/>
      <c r="N312" s="106" t="n"/>
      <c r="O312" s="129" t="n"/>
    </row>
    <row r="313">
      <c r="B313" s="137">
        <f>IF(B312="","",IF(YEAR(B312+1)=Ano,B312+1,""))</f>
        <v>46325.0</v>
      </c>
      <c r="C313" s="128" t="str">
        <f>IF(B313="","",CHOOSE(WEEKDAY(B313),"Dom","Seg","Ter","Qua","Qui","Sex","Sáb"))</f>
        <v>Sex</v>
      </c>
      <c r="D313" s="174" t="n"/>
      <c r="E313" s="106" t="n"/>
      <c r="F313" s="106" t="n"/>
      <c r="G313" s="106" t="n"/>
      <c r="H313" s="106" t="n"/>
      <c r="I313" s="129" t="n"/>
      <c r="J313" s="106" t="n"/>
      <c r="K313" s="175" t="n"/>
      <c r="L313" s="174" t="n"/>
      <c r="M313" s="174" t="n"/>
      <c r="N313" s="106" t="n"/>
      <c r="O313" s="129" t="n"/>
    </row>
    <row r="314">
      <c r="B314" s="137">
        <f>IF(B313="","",IF(YEAR(B313+1)=Ano,B313+1,""))</f>
        <v>46326.0</v>
      </c>
      <c r="C314" s="128" t="str">
        <f>IF(B314="","",CHOOSE(WEEKDAY(B314),"Dom","Seg","Ter","Qua","Qui","Sex","Sáb"))</f>
        <v>Sáb</v>
      </c>
      <c r="D314" s="174" t="n"/>
      <c r="E314" s="106" t="n"/>
      <c r="F314" s="106" t="n"/>
      <c r="G314" s="106" t="n"/>
      <c r="H314" s="106" t="n"/>
      <c r="I314" s="129" t="n"/>
      <c r="J314" s="106" t="n"/>
      <c r="K314" s="175" t="n"/>
      <c r="L314" s="174" t="n"/>
      <c r="M314" s="174" t="n"/>
      <c r="N314" s="106" t="n"/>
      <c r="O314" s="129" t="n"/>
    </row>
    <row r="315">
      <c r="B315" s="137">
        <f>IF(B314="","",IF(YEAR(B314+1)=Ano,B314+1,""))</f>
        <v>46327.0</v>
      </c>
      <c r="C315" s="128" t="str">
        <f>IF(B315="","",CHOOSE(WEEKDAY(B315),"Dom","Seg","Ter","Qua","Qui","Sex","Sáb"))</f>
        <v>Dom</v>
      </c>
      <c r="D315" s="174" t="n"/>
      <c r="E315" s="106" t="n"/>
      <c r="F315" s="106" t="n"/>
      <c r="G315" s="106" t="n"/>
      <c r="H315" s="106" t="n"/>
      <c r="I315" s="129" t="n"/>
      <c r="J315" s="106" t="n"/>
      <c r="K315" s="175" t="n"/>
      <c r="L315" s="174" t="n"/>
      <c r="M315" s="174" t="n"/>
      <c r="N315" s="106" t="n"/>
      <c r="O315" s="129" t="n"/>
    </row>
    <row r="316">
      <c r="B316" s="137">
        <f>IF(B315="","",IF(YEAR(B315+1)=Ano,B315+1,""))</f>
        <v>46328.0</v>
      </c>
      <c r="C316" s="128" t="str">
        <f>IF(B316="","",CHOOSE(WEEKDAY(B316),"Dom","Seg","Ter","Qua","Qui","Sex","Sáb"))</f>
        <v>Seg</v>
      </c>
      <c r="D316" s="174" t="n"/>
      <c r="E316" s="106" t="n"/>
      <c r="F316" s="106" t="n"/>
      <c r="G316" s="106" t="n"/>
      <c r="H316" s="106" t="n"/>
      <c r="I316" s="129" t="n"/>
      <c r="J316" s="106" t="n"/>
      <c r="K316" s="175" t="n"/>
      <c r="L316" s="174" t="n"/>
      <c r="M316" s="174" t="n"/>
      <c r="N316" s="106" t="n"/>
      <c r="O316" s="129" t="n"/>
    </row>
    <row r="317">
      <c r="B317" s="137">
        <f>IF(B316="","",IF(YEAR(B316+1)=Ano,B316+1,""))</f>
        <v>46329.0</v>
      </c>
      <c r="C317" s="128" t="str">
        <f>IF(B317="","",CHOOSE(WEEKDAY(B317),"Dom","Seg","Ter","Qua","Qui","Sex","Sáb"))</f>
        <v>Ter</v>
      </c>
      <c r="D317" s="174" t="n"/>
      <c r="E317" s="106" t="n"/>
      <c r="F317" s="106" t="n"/>
      <c r="G317" s="106" t="n"/>
      <c r="H317" s="106" t="n"/>
      <c r="I317" s="129" t="n"/>
      <c r="J317" s="106" t="n"/>
      <c r="K317" s="175" t="n"/>
      <c r="L317" s="174" t="n"/>
      <c r="M317" s="174" t="n"/>
      <c r="N317" s="106" t="n"/>
      <c r="O317" s="129" t="n"/>
    </row>
    <row r="318">
      <c r="B318" s="137">
        <f>IF(B317="","",IF(YEAR(B317+1)=Ano,B317+1,""))</f>
        <v>46330.0</v>
      </c>
      <c r="C318" s="128" t="str">
        <f>IF(B318="","",CHOOSE(WEEKDAY(B318),"Dom","Seg","Ter","Qua","Qui","Sex","Sáb"))</f>
        <v>Qua</v>
      </c>
      <c r="D318" s="174" t="n"/>
      <c r="E318" s="106" t="n"/>
      <c r="F318" s="106" t="n"/>
      <c r="G318" s="106" t="n"/>
      <c r="H318" s="106" t="n"/>
      <c r="I318" s="129" t="n"/>
      <c r="J318" s="106" t="n"/>
      <c r="K318" s="175" t="n"/>
      <c r="L318" s="174" t="n"/>
      <c r="M318" s="174" t="n"/>
      <c r="N318" s="106" t="n"/>
      <c r="O318" s="129" t="n"/>
    </row>
    <row r="319">
      <c r="B319" s="137">
        <f>IF(B318="","",IF(YEAR(B318+1)=Ano,B318+1,""))</f>
        <v>46331.0</v>
      </c>
      <c r="C319" s="128" t="str">
        <f>IF(B319="","",CHOOSE(WEEKDAY(B319),"Dom","Seg","Ter","Qua","Qui","Sex","Sáb"))</f>
        <v>Qui</v>
      </c>
      <c r="D319" s="174" t="n"/>
      <c r="E319" s="106" t="n"/>
      <c r="F319" s="106" t="n"/>
      <c r="G319" s="106" t="n"/>
      <c r="H319" s="106" t="n"/>
      <c r="I319" s="129" t="n"/>
      <c r="J319" s="106" t="n"/>
      <c r="K319" s="175" t="n"/>
      <c r="L319" s="174" t="n"/>
      <c r="M319" s="174" t="n"/>
      <c r="N319" s="106" t="n"/>
      <c r="O319" s="129" t="n"/>
    </row>
    <row r="320">
      <c r="B320" s="137">
        <f>IF(B319="","",IF(YEAR(B319+1)=Ano,B319+1,""))</f>
        <v>46332.0</v>
      </c>
      <c r="C320" s="128" t="str">
        <f>IF(B320="","",CHOOSE(WEEKDAY(B320),"Dom","Seg","Ter","Qua","Qui","Sex","Sáb"))</f>
        <v>Sex</v>
      </c>
      <c r="D320" s="174" t="n"/>
      <c r="E320" s="106" t="n"/>
      <c r="F320" s="106" t="n"/>
      <c r="G320" s="106" t="n"/>
      <c r="H320" s="106" t="n"/>
      <c r="I320" s="129" t="n"/>
      <c r="J320" s="106" t="n"/>
      <c r="K320" s="175" t="n"/>
      <c r="L320" s="174" t="n"/>
      <c r="M320" s="174" t="n"/>
      <c r="N320" s="106" t="n"/>
      <c r="O320" s="129" t="n"/>
    </row>
    <row r="321">
      <c r="B321" s="137">
        <f>IF(B320="","",IF(YEAR(B320+1)=Ano,B320+1,""))</f>
        <v>46333.0</v>
      </c>
      <c r="C321" s="128" t="str">
        <f>IF(B321="","",CHOOSE(WEEKDAY(B321),"Dom","Seg","Ter","Qua","Qui","Sex","Sáb"))</f>
        <v>Sáb</v>
      </c>
      <c r="D321" s="174" t="n"/>
      <c r="E321" s="106" t="n"/>
      <c r="F321" s="106" t="n"/>
      <c r="G321" s="106" t="n"/>
      <c r="H321" s="106" t="n"/>
      <c r="I321" s="129" t="n"/>
      <c r="J321" s="106" t="n"/>
      <c r="K321" s="175" t="n"/>
      <c r="L321" s="174" t="n"/>
      <c r="M321" s="174" t="n"/>
      <c r="N321" s="106" t="n"/>
      <c r="O321" s="129" t="n"/>
    </row>
    <row r="322">
      <c r="B322" s="137">
        <f>IF(B321="","",IF(YEAR(B321+1)=Ano,B321+1,""))</f>
        <v>46334.0</v>
      </c>
      <c r="C322" s="128" t="str">
        <f>IF(B322="","",CHOOSE(WEEKDAY(B322),"Dom","Seg","Ter","Qua","Qui","Sex","Sáb"))</f>
        <v>Dom</v>
      </c>
      <c r="D322" s="174" t="n"/>
      <c r="E322" s="106" t="n"/>
      <c r="F322" s="106" t="n"/>
      <c r="G322" s="106" t="n"/>
      <c r="H322" s="106" t="n"/>
      <c r="I322" s="129" t="n"/>
      <c r="J322" s="106" t="n"/>
      <c r="K322" s="175" t="n"/>
      <c r="L322" s="174" t="n"/>
      <c r="M322" s="174" t="n"/>
      <c r="N322" s="106" t="n"/>
      <c r="O322" s="129" t="n"/>
    </row>
    <row r="323">
      <c r="B323" s="137">
        <f>IF(B322="","",IF(YEAR(B322+1)=Ano,B322+1,""))</f>
        <v>46335.0</v>
      </c>
      <c r="C323" s="128" t="str">
        <f>IF(B323="","",CHOOSE(WEEKDAY(B323),"Dom","Seg","Ter","Qua","Qui","Sex","Sáb"))</f>
        <v>Seg</v>
      </c>
      <c r="D323" s="174" t="n"/>
      <c r="E323" s="106" t="n"/>
      <c r="F323" s="106" t="n"/>
      <c r="G323" s="106" t="n"/>
      <c r="H323" s="106" t="n"/>
      <c r="I323" s="129" t="n"/>
      <c r="J323" s="106" t="n"/>
      <c r="K323" s="175" t="n"/>
      <c r="L323" s="174" t="n"/>
      <c r="M323" s="174" t="n"/>
      <c r="N323" s="106" t="n"/>
      <c r="O323" s="129" t="n"/>
    </row>
    <row r="324">
      <c r="B324" s="137">
        <f>IF(B323="","",IF(YEAR(B323+1)=Ano,B323+1,""))</f>
        <v>46336.0</v>
      </c>
      <c r="C324" s="128" t="str">
        <f>IF(B324="","",CHOOSE(WEEKDAY(B324),"Dom","Seg","Ter","Qua","Qui","Sex","Sáb"))</f>
        <v>Ter</v>
      </c>
      <c r="D324" s="174" t="n"/>
      <c r="E324" s="106" t="n"/>
      <c r="F324" s="106" t="n"/>
      <c r="G324" s="106" t="n"/>
      <c r="H324" s="106" t="n"/>
      <c r="I324" s="129" t="n"/>
      <c r="J324" s="106" t="n"/>
      <c r="K324" s="175" t="n"/>
      <c r="L324" s="174" t="n"/>
      <c r="M324" s="174" t="n"/>
      <c r="N324" s="106" t="n"/>
      <c r="O324" s="129" t="n"/>
    </row>
    <row r="325">
      <c r="B325" s="137">
        <f>IF(B324="","",IF(YEAR(B324+1)=Ano,B324+1,""))</f>
        <v>46337.0</v>
      </c>
      <c r="C325" s="128" t="str">
        <f>IF(B325="","",CHOOSE(WEEKDAY(B325),"Dom","Seg","Ter","Qua","Qui","Sex","Sáb"))</f>
        <v>Qua</v>
      </c>
      <c r="D325" s="174" t="n"/>
      <c r="E325" s="106" t="n"/>
      <c r="F325" s="106" t="n"/>
      <c r="G325" s="106" t="n"/>
      <c r="H325" s="106" t="n"/>
      <c r="I325" s="129" t="n"/>
      <c r="J325" s="106" t="n"/>
      <c r="K325" s="175" t="n"/>
      <c r="L325" s="174" t="n"/>
      <c r="M325" s="174" t="n"/>
      <c r="N325" s="106" t="n"/>
      <c r="O325" s="129" t="n"/>
    </row>
    <row r="326">
      <c r="B326" s="137">
        <f>IF(B325="","",IF(YEAR(B325+1)=Ano,B325+1,""))</f>
        <v>46338.0</v>
      </c>
      <c r="C326" s="128" t="str">
        <f>IF(B326="","",CHOOSE(WEEKDAY(B326),"Dom","Seg","Ter","Qua","Qui","Sex","Sáb"))</f>
        <v>Qui</v>
      </c>
      <c r="D326" s="174" t="n"/>
      <c r="E326" s="106" t="n"/>
      <c r="F326" s="106" t="n"/>
      <c r="G326" s="106" t="n"/>
      <c r="H326" s="106" t="n"/>
      <c r="I326" s="129" t="n"/>
      <c r="J326" s="106" t="n"/>
      <c r="K326" s="175" t="n"/>
      <c r="L326" s="174" t="n"/>
      <c r="M326" s="174" t="n"/>
      <c r="N326" s="106" t="n"/>
      <c r="O326" s="129" t="n"/>
    </row>
    <row r="327">
      <c r="B327" s="137">
        <f>IF(B326="","",IF(YEAR(B326+1)=Ano,B326+1,""))</f>
        <v>46339.0</v>
      </c>
      <c r="C327" s="128" t="str">
        <f>IF(B327="","",CHOOSE(WEEKDAY(B327),"Dom","Seg","Ter","Qua","Qui","Sex","Sáb"))</f>
        <v>Sex</v>
      </c>
      <c r="D327" s="174" t="n"/>
      <c r="E327" s="106" t="n"/>
      <c r="F327" s="106" t="n"/>
      <c r="G327" s="106" t="n"/>
      <c r="H327" s="106" t="n"/>
      <c r="I327" s="129" t="n"/>
      <c r="J327" s="106" t="n"/>
      <c r="K327" s="175" t="n"/>
      <c r="L327" s="174" t="n"/>
      <c r="M327" s="174" t="n"/>
      <c r="N327" s="106" t="n"/>
      <c r="O327" s="129" t="n"/>
    </row>
    <row r="328">
      <c r="B328" s="137">
        <f>IF(B327="","",IF(YEAR(B327+1)=Ano,B327+1,""))</f>
        <v>46340.0</v>
      </c>
      <c r="C328" s="128" t="str">
        <f>IF(B328="","",CHOOSE(WEEKDAY(B328),"Dom","Seg","Ter","Qua","Qui","Sex","Sáb"))</f>
        <v>Sáb</v>
      </c>
      <c r="D328" s="174" t="n"/>
      <c r="E328" s="106" t="n"/>
      <c r="F328" s="106" t="n"/>
      <c r="G328" s="106" t="n"/>
      <c r="H328" s="106" t="n"/>
      <c r="I328" s="129" t="n"/>
      <c r="J328" s="106" t="n"/>
      <c r="K328" s="175" t="n"/>
      <c r="L328" s="174" t="n"/>
      <c r="M328" s="174" t="n"/>
      <c r="N328" s="106" t="n"/>
      <c r="O328" s="129" t="n"/>
    </row>
    <row r="329">
      <c r="B329" s="137">
        <f>IF(B328="","",IF(YEAR(B328+1)=Ano,B328+1,""))</f>
        <v>46341.0</v>
      </c>
      <c r="C329" s="128" t="str">
        <f>IF(B329="","",CHOOSE(WEEKDAY(B329),"Dom","Seg","Ter","Qua","Qui","Sex","Sáb"))</f>
        <v>Dom</v>
      </c>
      <c r="D329" s="174" t="n"/>
      <c r="E329" s="106" t="n"/>
      <c r="F329" s="106" t="n"/>
      <c r="G329" s="106" t="n"/>
      <c r="H329" s="106" t="n"/>
      <c r="I329" s="129" t="n"/>
      <c r="J329" s="106" t="n"/>
      <c r="K329" s="175" t="n"/>
      <c r="L329" s="174" t="n"/>
      <c r="M329" s="174" t="n"/>
      <c r="N329" s="106" t="n"/>
      <c r="O329" s="129" t="n"/>
    </row>
    <row r="330">
      <c r="B330" s="137">
        <f>IF(B329="","",IF(YEAR(B329+1)=Ano,B329+1,""))</f>
        <v>46342.0</v>
      </c>
      <c r="C330" s="128" t="str">
        <f>IF(B330="","",CHOOSE(WEEKDAY(B330),"Dom","Seg","Ter","Qua","Qui","Sex","Sáb"))</f>
        <v>Seg</v>
      </c>
      <c r="D330" s="174" t="n"/>
      <c r="E330" s="106" t="n"/>
      <c r="F330" s="106" t="n"/>
      <c r="G330" s="106" t="n"/>
      <c r="H330" s="106" t="n"/>
      <c r="I330" s="129" t="n"/>
      <c r="J330" s="106" t="n"/>
      <c r="K330" s="175" t="n"/>
      <c r="L330" s="174" t="n"/>
      <c r="M330" s="174" t="n"/>
      <c r="N330" s="106" t="n"/>
      <c r="O330" s="129" t="n"/>
    </row>
    <row r="331">
      <c r="B331" s="137">
        <f>IF(B330="","",IF(YEAR(B330+1)=Ano,B330+1,""))</f>
        <v>46343.0</v>
      </c>
      <c r="C331" s="128" t="str">
        <f>IF(B331="","",CHOOSE(WEEKDAY(B331),"Dom","Seg","Ter","Qua","Qui","Sex","Sáb"))</f>
        <v>Ter</v>
      </c>
      <c r="D331" s="174" t="n"/>
      <c r="E331" s="106" t="n"/>
      <c r="F331" s="106" t="n"/>
      <c r="G331" s="106" t="n"/>
      <c r="H331" s="106" t="n"/>
      <c r="I331" s="129" t="n"/>
      <c r="J331" s="106" t="n"/>
      <c r="K331" s="175" t="n"/>
      <c r="L331" s="174" t="n"/>
      <c r="M331" s="174" t="n"/>
      <c r="N331" s="106" t="n"/>
      <c r="O331" s="129" t="n"/>
    </row>
    <row r="332">
      <c r="B332" s="137">
        <f>IF(B331="","",IF(YEAR(B331+1)=Ano,B331+1,""))</f>
        <v>46344.0</v>
      </c>
      <c r="C332" s="128" t="str">
        <f>IF(B332="","",CHOOSE(WEEKDAY(B332),"Dom","Seg","Ter","Qua","Qui","Sex","Sáb"))</f>
        <v>Qua</v>
      </c>
      <c r="D332" s="174" t="n"/>
      <c r="E332" s="106" t="n"/>
      <c r="F332" s="106" t="n"/>
      <c r="G332" s="106" t="n"/>
      <c r="H332" s="106" t="n"/>
      <c r="I332" s="129" t="n"/>
      <c r="J332" s="106" t="n"/>
      <c r="K332" s="175" t="n"/>
      <c r="L332" s="174" t="n"/>
      <c r="M332" s="174" t="n"/>
      <c r="N332" s="106" t="n"/>
      <c r="O332" s="129" t="n"/>
    </row>
    <row r="333">
      <c r="B333" s="137">
        <f>IF(B332="","",IF(YEAR(B332+1)=Ano,B332+1,""))</f>
        <v>46345.0</v>
      </c>
      <c r="C333" s="128" t="str">
        <f>IF(B333="","",CHOOSE(WEEKDAY(B333),"Dom","Seg","Ter","Qua","Qui","Sex","Sáb"))</f>
        <v>Qui</v>
      </c>
      <c r="D333" s="174" t="n"/>
      <c r="E333" s="106" t="n"/>
      <c r="F333" s="106" t="n"/>
      <c r="G333" s="106" t="n"/>
      <c r="H333" s="106" t="n"/>
      <c r="I333" s="129" t="n"/>
      <c r="J333" s="106" t="n"/>
      <c r="K333" s="175" t="n"/>
      <c r="L333" s="174" t="n"/>
      <c r="M333" s="174" t="n"/>
      <c r="N333" s="106" t="n"/>
      <c r="O333" s="129" t="n"/>
    </row>
    <row r="334">
      <c r="B334" s="137">
        <f>IF(B333="","",IF(YEAR(B333+1)=Ano,B333+1,""))</f>
        <v>46346.0</v>
      </c>
      <c r="C334" s="128" t="str">
        <f>IF(B334="","",CHOOSE(WEEKDAY(B334),"Dom","Seg","Ter","Qua","Qui","Sex","Sáb"))</f>
        <v>Sex</v>
      </c>
      <c r="D334" s="174" t="n"/>
      <c r="E334" s="106" t="n"/>
      <c r="F334" s="106" t="n"/>
      <c r="G334" s="106" t="n"/>
      <c r="H334" s="106" t="n"/>
      <c r="I334" s="129" t="n"/>
      <c r="J334" s="106" t="n"/>
      <c r="K334" s="175" t="n"/>
      <c r="L334" s="174" t="n"/>
      <c r="M334" s="174" t="n"/>
      <c r="N334" s="106" t="n"/>
      <c r="O334" s="129" t="n"/>
    </row>
    <row r="335">
      <c r="B335" s="137">
        <f>IF(B334="","",IF(YEAR(B334+1)=Ano,B334+1,""))</f>
        <v>46347.0</v>
      </c>
      <c r="C335" s="128" t="str">
        <f>IF(B335="","",CHOOSE(WEEKDAY(B335),"Dom","Seg","Ter","Qua","Qui","Sex","Sáb"))</f>
        <v>Sáb</v>
      </c>
      <c r="D335" s="174" t="n"/>
      <c r="E335" s="106" t="n"/>
      <c r="F335" s="106" t="n"/>
      <c r="G335" s="106" t="n"/>
      <c r="H335" s="106" t="n"/>
      <c r="I335" s="129" t="n"/>
      <c r="J335" s="106" t="n"/>
      <c r="K335" s="175" t="n"/>
      <c r="L335" s="174" t="n"/>
      <c r="M335" s="174" t="n"/>
      <c r="N335" s="106" t="n"/>
      <c r="O335" s="129" t="n"/>
    </row>
    <row r="336">
      <c r="B336" s="137">
        <f>IF(B335="","",IF(YEAR(B335+1)=Ano,B335+1,""))</f>
        <v>46348.0</v>
      </c>
      <c r="C336" s="128" t="str">
        <f>IF(B336="","",CHOOSE(WEEKDAY(B336),"Dom","Seg","Ter","Qua","Qui","Sex","Sáb"))</f>
        <v>Dom</v>
      </c>
      <c r="D336" s="174" t="n"/>
      <c r="E336" s="106" t="n"/>
      <c r="F336" s="106" t="n"/>
      <c r="G336" s="106" t="n"/>
      <c r="H336" s="106" t="n"/>
      <c r="I336" s="129" t="n"/>
      <c r="J336" s="106" t="n"/>
      <c r="K336" s="175" t="n"/>
      <c r="L336" s="174" t="n"/>
      <c r="M336" s="174" t="n"/>
      <c r="N336" s="106" t="n"/>
      <c r="O336" s="129" t="n"/>
    </row>
    <row r="337">
      <c r="B337" s="137">
        <f>IF(B336="","",IF(YEAR(B336+1)=Ano,B336+1,""))</f>
        <v>46349.0</v>
      </c>
      <c r="C337" s="128" t="str">
        <f>IF(B337="","",CHOOSE(WEEKDAY(B337),"Dom","Seg","Ter","Qua","Qui","Sex","Sáb"))</f>
        <v>Seg</v>
      </c>
      <c r="D337" s="174" t="n"/>
      <c r="E337" s="106" t="n"/>
      <c r="F337" s="106" t="n"/>
      <c r="G337" s="106" t="n"/>
      <c r="H337" s="106" t="n"/>
      <c r="I337" s="129" t="n"/>
      <c r="J337" s="106" t="n"/>
      <c r="K337" s="175" t="n"/>
      <c r="L337" s="174" t="n"/>
      <c r="M337" s="174" t="n"/>
      <c r="N337" s="106" t="n"/>
      <c r="O337" s="129" t="n"/>
    </row>
    <row r="338">
      <c r="B338" s="137">
        <f>IF(B337="","",IF(YEAR(B337+1)=Ano,B337+1,""))</f>
        <v>46350.0</v>
      </c>
      <c r="C338" s="128" t="str">
        <f>IF(B338="","",CHOOSE(WEEKDAY(B338),"Dom","Seg","Ter","Qua","Qui","Sex","Sáb"))</f>
        <v>Ter</v>
      </c>
      <c r="D338" s="174" t="n"/>
      <c r="E338" s="106" t="n"/>
      <c r="F338" s="106" t="n"/>
      <c r="G338" s="106" t="n"/>
      <c r="H338" s="106" t="n"/>
      <c r="I338" s="129" t="n"/>
      <c r="J338" s="106" t="n"/>
      <c r="K338" s="175" t="n"/>
      <c r="L338" s="174" t="n"/>
      <c r="M338" s="174" t="n"/>
      <c r="N338" s="106" t="n"/>
      <c r="O338" s="129" t="n"/>
    </row>
    <row r="339">
      <c r="B339" s="137">
        <f>IF(B338="","",IF(YEAR(B338+1)=Ano,B338+1,""))</f>
        <v>46351.0</v>
      </c>
      <c r="C339" s="128" t="str">
        <f>IF(B339="","",CHOOSE(WEEKDAY(B339),"Dom","Seg","Ter","Qua","Qui","Sex","Sáb"))</f>
        <v>Qua</v>
      </c>
      <c r="D339" s="174" t="n"/>
      <c r="E339" s="106" t="n"/>
      <c r="F339" s="106" t="n"/>
      <c r="G339" s="106" t="n"/>
      <c r="H339" s="106" t="n"/>
      <c r="I339" s="129" t="n"/>
      <c r="J339" s="106" t="n"/>
      <c r="K339" s="175" t="n"/>
      <c r="L339" s="174" t="n"/>
      <c r="M339" s="174" t="n"/>
      <c r="N339" s="106" t="n"/>
      <c r="O339" s="129" t="n"/>
    </row>
    <row r="340">
      <c r="B340" s="137">
        <f>IF(B339="","",IF(YEAR(B339+1)=Ano,B339+1,""))</f>
        <v>46352.0</v>
      </c>
      <c r="C340" s="128" t="str">
        <f>IF(B340="","",CHOOSE(WEEKDAY(B340),"Dom","Seg","Ter","Qua","Qui","Sex","Sáb"))</f>
        <v>Qui</v>
      </c>
      <c r="D340" s="174" t="n"/>
      <c r="E340" s="106" t="n"/>
      <c r="F340" s="106" t="n"/>
      <c r="G340" s="106" t="n"/>
      <c r="H340" s="106" t="n"/>
      <c r="I340" s="129" t="n"/>
      <c r="J340" s="106" t="n"/>
      <c r="K340" s="175" t="n"/>
      <c r="L340" s="174" t="n"/>
      <c r="M340" s="174" t="n"/>
      <c r="N340" s="106" t="n"/>
      <c r="O340" s="129" t="n"/>
    </row>
    <row r="341">
      <c r="B341" s="137">
        <f>IF(B340="","",IF(YEAR(B340+1)=Ano,B340+1,""))</f>
        <v>46353.0</v>
      </c>
      <c r="C341" s="128" t="str">
        <f>IF(B341="","",CHOOSE(WEEKDAY(B341),"Dom","Seg","Ter","Qua","Qui","Sex","Sáb"))</f>
        <v>Sex</v>
      </c>
      <c r="D341" s="174" t="n"/>
      <c r="E341" s="106" t="n"/>
      <c r="F341" s="106" t="n"/>
      <c r="G341" s="106" t="n"/>
      <c r="H341" s="106" t="n"/>
      <c r="I341" s="129" t="n"/>
      <c r="J341" s="106" t="n"/>
      <c r="K341" s="175" t="n"/>
      <c r="L341" s="174" t="n"/>
      <c r="M341" s="174" t="n"/>
      <c r="N341" s="106" t="n"/>
      <c r="O341" s="129" t="n"/>
    </row>
    <row r="342">
      <c r="B342" s="137">
        <f>IF(B341="","",IF(YEAR(B341+1)=Ano,B341+1,""))</f>
        <v>46354.0</v>
      </c>
      <c r="C342" s="128" t="str">
        <f>IF(B342="","",CHOOSE(WEEKDAY(B342),"Dom","Seg","Ter","Qua","Qui","Sex","Sáb"))</f>
        <v>Sáb</v>
      </c>
      <c r="D342" s="174" t="n"/>
      <c r="E342" s="106" t="n"/>
      <c r="F342" s="106" t="n"/>
      <c r="G342" s="106" t="n"/>
      <c r="H342" s="106" t="n"/>
      <c r="I342" s="129" t="n"/>
      <c r="J342" s="106" t="n"/>
      <c r="K342" s="175" t="n"/>
      <c r="L342" s="174" t="n"/>
      <c r="M342" s="174" t="n"/>
      <c r="N342" s="106" t="n"/>
      <c r="O342" s="129" t="n"/>
    </row>
    <row r="343">
      <c r="B343" s="137">
        <f>IF(B342="","",IF(YEAR(B342+1)=Ano,B342+1,""))</f>
        <v>46355.0</v>
      </c>
      <c r="C343" s="128" t="str">
        <f>IF(B343="","",CHOOSE(WEEKDAY(B343),"Dom","Seg","Ter","Qua","Qui","Sex","Sáb"))</f>
        <v>Dom</v>
      </c>
      <c r="D343" s="174" t="n"/>
      <c r="E343" s="106" t="n"/>
      <c r="F343" s="106" t="n"/>
      <c r="G343" s="106" t="n"/>
      <c r="H343" s="106" t="n"/>
      <c r="I343" s="129" t="n"/>
      <c r="J343" s="106" t="n"/>
      <c r="K343" s="175" t="n"/>
      <c r="L343" s="174" t="n"/>
      <c r="M343" s="174" t="n"/>
      <c r="N343" s="106" t="n"/>
      <c r="O343" s="129" t="n"/>
    </row>
    <row r="344">
      <c r="B344" s="137">
        <f>IF(B343="","",IF(YEAR(B343+1)=Ano,B343+1,""))</f>
        <v>46356.0</v>
      </c>
      <c r="C344" s="128" t="str">
        <f>IF(B344="","",CHOOSE(WEEKDAY(B344),"Dom","Seg","Ter","Qua","Qui","Sex","Sáb"))</f>
        <v>Seg</v>
      </c>
      <c r="D344" s="174" t="n"/>
      <c r="E344" s="106" t="n"/>
      <c r="F344" s="106" t="n"/>
      <c r="G344" s="106" t="n"/>
      <c r="H344" s="106" t="n"/>
      <c r="I344" s="129" t="n"/>
      <c r="J344" s="106" t="n"/>
      <c r="K344" s="175" t="n"/>
      <c r="L344" s="174" t="n"/>
      <c r="M344" s="174" t="n"/>
      <c r="N344" s="106" t="n"/>
      <c r="O344" s="129" t="n"/>
    </row>
    <row r="345">
      <c r="B345" s="137">
        <f>IF(B344="","",IF(YEAR(B344+1)=Ano,B344+1,""))</f>
        <v>46357.0</v>
      </c>
      <c r="C345" s="128" t="str">
        <f>IF(B345="","",CHOOSE(WEEKDAY(B345),"Dom","Seg","Ter","Qua","Qui","Sex","Sáb"))</f>
        <v>Ter</v>
      </c>
      <c r="D345" s="174" t="n"/>
      <c r="E345" s="106" t="n"/>
      <c r="F345" s="106" t="n"/>
      <c r="G345" s="106" t="n"/>
      <c r="H345" s="106" t="n"/>
      <c r="I345" s="129" t="n"/>
      <c r="J345" s="106" t="n"/>
      <c r="K345" s="175" t="n"/>
      <c r="L345" s="174" t="n"/>
      <c r="M345" s="174" t="n"/>
      <c r="N345" s="106" t="n"/>
      <c r="O345" s="129" t="n"/>
    </row>
    <row r="346">
      <c r="B346" s="137">
        <f>IF(B345="","",IF(YEAR(B345+1)=Ano,B345+1,""))</f>
        <v>46358.0</v>
      </c>
      <c r="C346" s="128" t="str">
        <f>IF(B346="","",CHOOSE(WEEKDAY(B346),"Dom","Seg","Ter","Qua","Qui","Sex","Sáb"))</f>
        <v>Qua</v>
      </c>
      <c r="D346" s="174" t="n"/>
      <c r="E346" s="106" t="n"/>
      <c r="F346" s="106" t="n"/>
      <c r="G346" s="106" t="n"/>
      <c r="H346" s="106" t="n"/>
      <c r="I346" s="129" t="n"/>
      <c r="J346" s="106" t="n"/>
      <c r="K346" s="175" t="n"/>
      <c r="L346" s="174" t="n"/>
      <c r="M346" s="174" t="n"/>
      <c r="N346" s="106" t="n"/>
      <c r="O346" s="129" t="n"/>
    </row>
    <row r="347">
      <c r="B347" s="137">
        <f>IF(B346="","",IF(YEAR(B346+1)=Ano,B346+1,""))</f>
        <v>46359.0</v>
      </c>
      <c r="C347" s="128" t="str">
        <f>IF(B347="","",CHOOSE(WEEKDAY(B347),"Dom","Seg","Ter","Qua","Qui","Sex","Sáb"))</f>
        <v>Qui</v>
      </c>
      <c r="D347" s="174" t="n"/>
      <c r="E347" s="106" t="n"/>
      <c r="F347" s="106" t="n"/>
      <c r="G347" s="106" t="n"/>
      <c r="H347" s="106" t="n"/>
      <c r="I347" s="129" t="n"/>
      <c r="J347" s="106" t="n"/>
      <c r="K347" s="175" t="n"/>
      <c r="L347" s="174" t="n"/>
      <c r="M347" s="174" t="n"/>
      <c r="N347" s="106" t="n"/>
      <c r="O347" s="129" t="n"/>
    </row>
    <row r="348">
      <c r="B348" s="137">
        <f>IF(B347="","",IF(YEAR(B347+1)=Ano,B347+1,""))</f>
        <v>46360.0</v>
      </c>
      <c r="C348" s="128" t="str">
        <f>IF(B348="","",CHOOSE(WEEKDAY(B348),"Dom","Seg","Ter","Qua","Qui","Sex","Sáb"))</f>
        <v>Sex</v>
      </c>
      <c r="D348" s="174" t="n"/>
      <c r="E348" s="106" t="n"/>
      <c r="F348" s="106" t="n"/>
      <c r="G348" s="106" t="n"/>
      <c r="H348" s="106" t="n"/>
      <c r="I348" s="129" t="n"/>
      <c r="J348" s="106" t="n"/>
      <c r="K348" s="175" t="n"/>
      <c r="L348" s="174" t="n"/>
      <c r="M348" s="174" t="n"/>
      <c r="N348" s="106" t="n"/>
      <c r="O348" s="129" t="n"/>
    </row>
    <row r="349">
      <c r="B349" s="137">
        <f>IF(B348="","",IF(YEAR(B348+1)=Ano,B348+1,""))</f>
        <v>46361.0</v>
      </c>
      <c r="C349" s="128" t="str">
        <f>IF(B349="","",CHOOSE(WEEKDAY(B349),"Dom","Seg","Ter","Qua","Qui","Sex","Sáb"))</f>
        <v>Sáb</v>
      </c>
      <c r="D349" s="174" t="n"/>
      <c r="E349" s="106" t="n"/>
      <c r="F349" s="106" t="n"/>
      <c r="G349" s="106" t="n"/>
      <c r="H349" s="106" t="n"/>
      <c r="I349" s="129" t="n"/>
      <c r="J349" s="106" t="n"/>
      <c r="K349" s="175" t="n"/>
      <c r="L349" s="174" t="n"/>
      <c r="M349" s="174" t="n"/>
      <c r="N349" s="106" t="n"/>
      <c r="O349" s="129" t="n"/>
    </row>
    <row r="350">
      <c r="B350" s="137">
        <f>IF(B349="","",IF(YEAR(B349+1)=Ano,B349+1,""))</f>
        <v>46362.0</v>
      </c>
      <c r="C350" s="128" t="str">
        <f>IF(B350="","",CHOOSE(WEEKDAY(B350),"Dom","Seg","Ter","Qua","Qui","Sex","Sáb"))</f>
        <v>Dom</v>
      </c>
      <c r="D350" s="174" t="n"/>
      <c r="E350" s="106" t="n"/>
      <c r="F350" s="106" t="n"/>
      <c r="G350" s="106" t="n"/>
      <c r="H350" s="106" t="n"/>
      <c r="I350" s="129" t="n"/>
      <c r="J350" s="106" t="n"/>
      <c r="K350" s="175" t="n"/>
      <c r="L350" s="174" t="n"/>
      <c r="M350" s="174" t="n"/>
      <c r="N350" s="106" t="n"/>
      <c r="O350" s="129" t="n"/>
    </row>
    <row r="351">
      <c r="B351" s="137">
        <f>IF(B350="","",IF(YEAR(B350+1)=Ano,B350+1,""))</f>
        <v>46363.0</v>
      </c>
      <c r="C351" s="128" t="str">
        <f>IF(B351="","",CHOOSE(WEEKDAY(B351),"Dom","Seg","Ter","Qua","Qui","Sex","Sáb"))</f>
        <v>Seg</v>
      </c>
      <c r="D351" s="174" t="n"/>
      <c r="E351" s="106" t="n"/>
      <c r="F351" s="106" t="n"/>
      <c r="G351" s="106" t="n"/>
      <c r="H351" s="106" t="n"/>
      <c r="I351" s="129" t="n"/>
      <c r="J351" s="106" t="n"/>
      <c r="K351" s="175" t="n"/>
      <c r="L351" s="174" t="n"/>
      <c r="M351" s="174" t="n"/>
      <c r="N351" s="106" t="n"/>
      <c r="O351" s="129" t="n"/>
    </row>
    <row r="352">
      <c r="B352" s="137">
        <f>IF(B351="","",IF(YEAR(B351+1)=Ano,B351+1,""))</f>
        <v>46364.0</v>
      </c>
      <c r="C352" s="128" t="str">
        <f>IF(B352="","",CHOOSE(WEEKDAY(B352),"Dom","Seg","Ter","Qua","Qui","Sex","Sáb"))</f>
        <v>Ter</v>
      </c>
      <c r="D352" s="174" t="n"/>
      <c r="E352" s="106" t="n"/>
      <c r="F352" s="106" t="n"/>
      <c r="G352" s="106" t="n"/>
      <c r="H352" s="106" t="n"/>
      <c r="I352" s="129" t="n"/>
      <c r="J352" s="106" t="n"/>
      <c r="K352" s="175" t="n"/>
      <c r="L352" s="174" t="n"/>
      <c r="M352" s="174" t="n"/>
      <c r="N352" s="106" t="n"/>
      <c r="O352" s="129" t="n"/>
    </row>
    <row r="353">
      <c r="B353" s="137">
        <f>IF(B352="","",IF(YEAR(B352+1)=Ano,B352+1,""))</f>
        <v>46365.0</v>
      </c>
      <c r="C353" s="128" t="str">
        <f>IF(B353="","",CHOOSE(WEEKDAY(B353),"Dom","Seg","Ter","Qua","Qui","Sex","Sáb"))</f>
        <v>Qua</v>
      </c>
      <c r="D353" s="174" t="n"/>
      <c r="E353" s="106" t="n"/>
      <c r="F353" s="106" t="n"/>
      <c r="G353" s="106" t="n"/>
      <c r="H353" s="106" t="n"/>
      <c r="I353" s="129" t="n"/>
      <c r="J353" s="106" t="n"/>
      <c r="K353" s="175" t="n"/>
      <c r="L353" s="174" t="n"/>
      <c r="M353" s="174" t="n"/>
      <c r="N353" s="106" t="n"/>
      <c r="O353" s="129" t="n"/>
    </row>
    <row r="354">
      <c r="B354" s="137">
        <f>IF(B353="","",IF(YEAR(B353+1)=Ano,B353+1,""))</f>
        <v>46366.0</v>
      </c>
      <c r="C354" s="128" t="str">
        <f>IF(B354="","",CHOOSE(WEEKDAY(B354),"Dom","Seg","Ter","Qua","Qui","Sex","Sáb"))</f>
        <v>Qui</v>
      </c>
      <c r="D354" s="174" t="n"/>
      <c r="E354" s="106" t="n"/>
      <c r="F354" s="106" t="n"/>
      <c r="G354" s="106" t="n"/>
      <c r="H354" s="106" t="n"/>
      <c r="I354" s="129" t="n"/>
      <c r="J354" s="106" t="n"/>
      <c r="K354" s="175" t="n"/>
      <c r="L354" s="174" t="n"/>
      <c r="M354" s="174" t="n"/>
      <c r="N354" s="106" t="n"/>
      <c r="O354" s="129" t="n"/>
    </row>
    <row r="355">
      <c r="B355" s="137">
        <f>IF(B354="","",IF(YEAR(B354+1)=Ano,B354+1,""))</f>
        <v>46367.0</v>
      </c>
      <c r="C355" s="128" t="str">
        <f>IF(B355="","",CHOOSE(WEEKDAY(B355),"Dom","Seg","Ter","Qua","Qui","Sex","Sáb"))</f>
        <v>Sex</v>
      </c>
      <c r="D355" s="174" t="n"/>
      <c r="E355" s="106" t="n"/>
      <c r="F355" s="106" t="n"/>
      <c r="G355" s="106" t="n"/>
      <c r="H355" s="106" t="n"/>
      <c r="I355" s="129" t="n"/>
      <c r="J355" s="106" t="n"/>
      <c r="K355" s="175" t="n"/>
      <c r="L355" s="174" t="n"/>
      <c r="M355" s="174" t="n"/>
      <c r="N355" s="106" t="n"/>
      <c r="O355" s="129" t="n"/>
    </row>
    <row r="356">
      <c r="B356" s="137">
        <f>IF(B355="","",IF(YEAR(B355+1)=Ano,B355+1,""))</f>
        <v>46368.0</v>
      </c>
      <c r="C356" s="128" t="str">
        <f>IF(B356="","",CHOOSE(WEEKDAY(B356),"Dom","Seg","Ter","Qua","Qui","Sex","Sáb"))</f>
        <v>Sáb</v>
      </c>
      <c r="D356" s="174" t="n"/>
      <c r="E356" s="106" t="n"/>
      <c r="F356" s="106" t="n"/>
      <c r="G356" s="106" t="n"/>
      <c r="H356" s="106" t="n"/>
      <c r="I356" s="129" t="n"/>
      <c r="J356" s="106" t="n"/>
      <c r="K356" s="175" t="n"/>
      <c r="L356" s="174" t="n"/>
      <c r="M356" s="174" t="n"/>
      <c r="N356" s="106" t="n"/>
      <c r="O356" s="129" t="n"/>
    </row>
    <row r="357">
      <c r="B357" s="137">
        <f>IF(B356="","",IF(YEAR(B356+1)=Ano,B356+1,""))</f>
        <v>46369.0</v>
      </c>
      <c r="C357" s="128" t="str">
        <f>IF(B357="","",CHOOSE(WEEKDAY(B357),"Dom","Seg","Ter","Qua","Qui","Sex","Sáb"))</f>
        <v>Dom</v>
      </c>
      <c r="D357" s="174" t="n"/>
      <c r="E357" s="106" t="n"/>
      <c r="F357" s="106" t="n"/>
      <c r="G357" s="106" t="n"/>
      <c r="H357" s="106" t="n"/>
      <c r="I357" s="129" t="n"/>
      <c r="J357" s="106" t="n"/>
      <c r="K357" s="175" t="n"/>
      <c r="L357" s="174" t="n"/>
      <c r="M357" s="174" t="n"/>
      <c r="N357" s="106" t="n"/>
      <c r="O357" s="129" t="n"/>
    </row>
    <row r="358">
      <c r="B358" s="137">
        <f>IF(B357="","",IF(YEAR(B357+1)=Ano,B357+1,""))</f>
        <v>46370.0</v>
      </c>
      <c r="C358" s="128" t="str">
        <f>IF(B358="","",CHOOSE(WEEKDAY(B358),"Dom","Seg","Ter","Qua","Qui","Sex","Sáb"))</f>
        <v>Seg</v>
      </c>
      <c r="D358" s="174" t="n"/>
      <c r="E358" s="106" t="n"/>
      <c r="F358" s="106" t="n"/>
      <c r="G358" s="106" t="n"/>
      <c r="H358" s="106" t="n"/>
      <c r="I358" s="129" t="n"/>
      <c r="J358" s="106" t="n"/>
      <c r="K358" s="175" t="n"/>
      <c r="L358" s="174" t="n"/>
      <c r="M358" s="174" t="n"/>
      <c r="N358" s="106" t="n"/>
      <c r="O358" s="129" t="n"/>
    </row>
    <row r="359">
      <c r="B359" s="137">
        <f>IF(B358="","",IF(YEAR(B358+1)=Ano,B358+1,""))</f>
        <v>46371.0</v>
      </c>
      <c r="C359" s="128" t="str">
        <f>IF(B359="","",CHOOSE(WEEKDAY(B359),"Dom","Seg","Ter","Qua","Qui","Sex","Sáb"))</f>
        <v>Ter</v>
      </c>
      <c r="D359" s="174" t="n"/>
      <c r="E359" s="106" t="n"/>
      <c r="F359" s="106" t="n"/>
      <c r="G359" s="106" t="n"/>
      <c r="H359" s="106" t="n"/>
      <c r="I359" s="129" t="n"/>
      <c r="J359" s="106" t="n"/>
      <c r="K359" s="175" t="n"/>
      <c r="L359" s="174" t="n"/>
      <c r="M359" s="174" t="n"/>
      <c r="N359" s="106" t="n"/>
      <c r="O359" s="129" t="n"/>
    </row>
    <row r="360">
      <c r="B360" s="137">
        <f>IF(B359="","",IF(YEAR(B359+1)=Ano,B359+1,""))</f>
        <v>46372.0</v>
      </c>
      <c r="C360" s="128" t="str">
        <f>IF(B360="","",CHOOSE(WEEKDAY(B360),"Dom","Seg","Ter","Qua","Qui","Sex","Sáb"))</f>
        <v>Qua</v>
      </c>
      <c r="D360" s="174" t="n"/>
      <c r="E360" s="106" t="n"/>
      <c r="F360" s="106" t="n"/>
      <c r="G360" s="106" t="n"/>
      <c r="H360" s="106" t="n"/>
      <c r="I360" s="129" t="n"/>
      <c r="J360" s="106" t="n"/>
      <c r="K360" s="175" t="n"/>
      <c r="L360" s="174" t="n"/>
      <c r="M360" s="174" t="n"/>
      <c r="N360" s="106" t="n"/>
      <c r="O360" s="129" t="n"/>
    </row>
    <row r="361">
      <c r="B361" s="137">
        <f>IF(B360="","",IF(YEAR(B360+1)=Ano,B360+1,""))</f>
        <v>46373.0</v>
      </c>
      <c r="C361" s="128" t="str">
        <f>IF(B361="","",CHOOSE(WEEKDAY(B361),"Dom","Seg","Ter","Qua","Qui","Sex","Sáb"))</f>
        <v>Qui</v>
      </c>
      <c r="D361" s="174" t="n"/>
      <c r="E361" s="106" t="n"/>
      <c r="F361" s="106" t="n"/>
      <c r="G361" s="106" t="n"/>
      <c r="H361" s="106" t="n"/>
      <c r="I361" s="129" t="n"/>
      <c r="J361" s="106" t="n"/>
      <c r="K361" s="175" t="n"/>
      <c r="L361" s="174" t="n"/>
      <c r="M361" s="174" t="n"/>
      <c r="N361" s="106" t="n"/>
      <c r="O361" s="129" t="n"/>
    </row>
    <row r="362">
      <c r="B362" s="137">
        <f>IF(B361="","",IF(YEAR(B361+1)=Ano,B361+1,""))</f>
        <v>46374.0</v>
      </c>
      <c r="C362" s="128" t="str">
        <f>IF(B362="","",CHOOSE(WEEKDAY(B362),"Dom","Seg","Ter","Qua","Qui","Sex","Sáb"))</f>
        <v>Sex</v>
      </c>
      <c r="D362" s="174" t="n"/>
      <c r="E362" s="106" t="n"/>
      <c r="F362" s="106" t="n"/>
      <c r="G362" s="106" t="n"/>
      <c r="H362" s="106" t="n"/>
      <c r="I362" s="129" t="n"/>
      <c r="J362" s="106" t="n"/>
      <c r="K362" s="175" t="n"/>
      <c r="L362" s="174" t="n"/>
      <c r="M362" s="174" t="n"/>
      <c r="N362" s="106" t="n"/>
      <c r="O362" s="129" t="n"/>
    </row>
    <row r="363">
      <c r="B363" s="137">
        <f>IF(B362="","",IF(YEAR(B362+1)=Ano,B362+1,""))</f>
        <v>46375.0</v>
      </c>
      <c r="C363" s="128" t="str">
        <f>IF(B363="","",CHOOSE(WEEKDAY(B363),"Dom","Seg","Ter","Qua","Qui","Sex","Sáb"))</f>
        <v>Sáb</v>
      </c>
      <c r="D363" s="174" t="n"/>
      <c r="E363" s="106" t="n"/>
      <c r="F363" s="106" t="n"/>
      <c r="G363" s="106" t="n"/>
      <c r="H363" s="106" t="n"/>
      <c r="I363" s="129" t="n"/>
      <c r="J363" s="106" t="n"/>
      <c r="K363" s="175" t="n"/>
      <c r="L363" s="174" t="n"/>
      <c r="M363" s="174" t="n"/>
      <c r="N363" s="106" t="n"/>
      <c r="O363" s="129" t="n"/>
    </row>
    <row r="364">
      <c r="B364" s="137">
        <f>IF(B363="","",IF(YEAR(B363+1)=Ano,B363+1,""))</f>
        <v>46376.0</v>
      </c>
      <c r="C364" s="128" t="str">
        <f>IF(B364="","",CHOOSE(WEEKDAY(B364),"Dom","Seg","Ter","Qua","Qui","Sex","Sáb"))</f>
        <v>Dom</v>
      </c>
      <c r="D364" s="174" t="n"/>
      <c r="E364" s="106" t="n"/>
      <c r="F364" s="106" t="n"/>
      <c r="G364" s="106" t="n"/>
      <c r="H364" s="106" t="n"/>
      <c r="I364" s="129" t="n"/>
      <c r="J364" s="106" t="n"/>
      <c r="K364" s="175" t="n"/>
      <c r="L364" s="174" t="n"/>
      <c r="M364" s="174" t="n"/>
      <c r="N364" s="106" t="n"/>
      <c r="O364" s="129" t="n"/>
    </row>
    <row r="365">
      <c r="B365" s="137">
        <f>IF(B364="","",IF(YEAR(B364+1)=Ano,B364+1,""))</f>
        <v>46377.0</v>
      </c>
      <c r="C365" s="128" t="str">
        <f>IF(B365="","",CHOOSE(WEEKDAY(B365),"Dom","Seg","Ter","Qua","Qui","Sex","Sáb"))</f>
        <v>Seg</v>
      </c>
      <c r="D365" s="174" t="n"/>
      <c r="E365" s="106" t="n"/>
      <c r="F365" s="106" t="n"/>
      <c r="G365" s="106" t="n"/>
      <c r="H365" s="106" t="n"/>
      <c r="I365" s="129" t="n"/>
      <c r="J365" s="106" t="n"/>
      <c r="K365" s="175" t="n"/>
      <c r="L365" s="174" t="n"/>
      <c r="M365" s="174" t="n"/>
      <c r="N365" s="106" t="n"/>
      <c r="O365" s="129" t="n"/>
    </row>
    <row r="366">
      <c r="B366" s="137">
        <f>IF(B365="","",IF(YEAR(B365+1)=Ano,B365+1,""))</f>
        <v>46378.0</v>
      </c>
      <c r="C366" s="128" t="str">
        <f>IF(B366="","",CHOOSE(WEEKDAY(B366),"Dom","Seg","Ter","Qua","Qui","Sex","Sáb"))</f>
        <v>Ter</v>
      </c>
      <c r="D366" s="174" t="n"/>
      <c r="E366" s="106" t="n"/>
      <c r="F366" s="106" t="n"/>
      <c r="G366" s="106" t="n"/>
      <c r="H366" s="106" t="n"/>
      <c r="I366" s="129" t="n"/>
      <c r="J366" s="106" t="n"/>
      <c r="K366" s="175" t="n"/>
      <c r="L366" s="174" t="n"/>
      <c r="M366" s="174" t="n"/>
      <c r="N366" s="106" t="n"/>
      <c r="O366" s="129" t="n"/>
    </row>
    <row r="367">
      <c r="B367" s="137">
        <f>IF(B366="","",IF(YEAR(B366+1)=Ano,B366+1,""))</f>
        <v>46379.0</v>
      </c>
      <c r="C367" s="128" t="str">
        <f>IF(B367="","",CHOOSE(WEEKDAY(B367),"Dom","Seg","Ter","Qua","Qui","Sex","Sáb"))</f>
        <v>Qua</v>
      </c>
      <c r="D367" s="174" t="n"/>
      <c r="E367" s="106" t="n"/>
      <c r="F367" s="106" t="n"/>
      <c r="G367" s="106" t="n"/>
      <c r="H367" s="106" t="n"/>
      <c r="I367" s="129" t="n"/>
      <c r="J367" s="106" t="n"/>
      <c r="K367" s="175" t="n"/>
      <c r="L367" s="174" t="n"/>
      <c r="M367" s="174" t="n"/>
      <c r="N367" s="106" t="n"/>
      <c r="O367" s="129" t="n"/>
    </row>
    <row r="368">
      <c r="B368" s="137">
        <f>IF(B367="","",IF(YEAR(B367+1)=Ano,B367+1,""))</f>
        <v>46380.0</v>
      </c>
      <c r="C368" s="128" t="str">
        <f>IF(B368="","",CHOOSE(WEEKDAY(B368),"Dom","Seg","Ter","Qua","Qui","Sex","Sáb"))</f>
        <v>Qui</v>
      </c>
      <c r="D368" s="174" t="n"/>
      <c r="E368" s="106" t="n"/>
      <c r="F368" s="106" t="n"/>
      <c r="G368" s="106" t="n"/>
      <c r="H368" s="106" t="n"/>
      <c r="I368" s="129" t="n"/>
      <c r="J368" s="106" t="n"/>
      <c r="K368" s="175" t="n"/>
      <c r="L368" s="174" t="n"/>
      <c r="M368" s="174" t="n"/>
      <c r="N368" s="106" t="n"/>
      <c r="O368" s="129" t="n"/>
    </row>
    <row r="369">
      <c r="B369" s="137">
        <f>IF(B368="","",IF(YEAR(B368+1)=Ano,B368+1,""))</f>
        <v>46381.0</v>
      </c>
      <c r="C369" s="128" t="str">
        <f>IF(B369="","",CHOOSE(WEEKDAY(B369),"Dom","Seg","Ter","Qua","Qui","Sex","Sáb"))</f>
        <v>Sex</v>
      </c>
      <c r="D369" s="174" t="n"/>
      <c r="E369" s="106" t="n"/>
      <c r="F369" s="106" t="n"/>
      <c r="G369" s="106" t="n"/>
      <c r="H369" s="106" t="n"/>
      <c r="I369" s="129" t="n"/>
      <c r="J369" s="106" t="n"/>
      <c r="K369" s="175" t="n"/>
      <c r="L369" s="174" t="n"/>
      <c r="M369" s="174" t="n"/>
      <c r="N369" s="106" t="n"/>
      <c r="O369" s="129" t="n"/>
    </row>
    <row r="370">
      <c r="B370" s="137">
        <f>IF(B369="","",IF(YEAR(B369+1)=Ano,B369+1,""))</f>
        <v>46382.0</v>
      </c>
      <c r="C370" s="128" t="str">
        <f>IF(B370="","",CHOOSE(WEEKDAY(B370),"Dom","Seg","Ter","Qua","Qui","Sex","Sáb"))</f>
        <v>Sáb</v>
      </c>
      <c r="D370" s="174" t="n"/>
      <c r="E370" s="106" t="n"/>
      <c r="F370" s="106" t="n"/>
      <c r="G370" s="106" t="n"/>
      <c r="H370" s="106" t="n"/>
      <c r="I370" s="129" t="n"/>
      <c r="J370" s="106" t="n"/>
      <c r="K370" s="175" t="n"/>
      <c r="L370" s="174" t="n"/>
      <c r="M370" s="174" t="n"/>
      <c r="N370" s="106" t="n"/>
      <c r="O370" s="129" t="n"/>
    </row>
    <row r="371">
      <c r="B371" s="137">
        <f>IF(B370="","",IF(YEAR(B370+1)=Ano,B370+1,""))</f>
        <v>46383.0</v>
      </c>
      <c r="C371" s="128" t="str">
        <f>IF(B371="","",CHOOSE(WEEKDAY(B371),"Dom","Seg","Ter","Qua","Qui","Sex","Sáb"))</f>
        <v>Dom</v>
      </c>
      <c r="D371" s="174" t="n"/>
      <c r="E371" s="106" t="n"/>
      <c r="F371" s="106" t="n"/>
      <c r="G371" s="106" t="n"/>
      <c r="H371" s="106" t="n"/>
      <c r="I371" s="129" t="n"/>
      <c r="J371" s="106" t="n"/>
      <c r="K371" s="175" t="n"/>
      <c r="L371" s="174" t="n"/>
      <c r="M371" s="174" t="n"/>
      <c r="N371" s="106" t="n"/>
      <c r="O371" s="129" t="n"/>
    </row>
    <row r="372">
      <c r="B372" s="137">
        <f>IF(B371="","",IF(YEAR(B371+1)=Ano,B371+1,""))</f>
        <v>46384.0</v>
      </c>
      <c r="C372" s="128" t="str">
        <f>IF(B372="","",CHOOSE(WEEKDAY(B372),"Dom","Seg","Ter","Qua","Qui","Sex","Sáb"))</f>
        <v>Seg</v>
      </c>
      <c r="D372" s="174" t="n"/>
      <c r="E372" s="106" t="n"/>
      <c r="F372" s="106" t="n"/>
      <c r="G372" s="106" t="n"/>
      <c r="H372" s="106" t="n"/>
      <c r="I372" s="129" t="n"/>
      <c r="J372" s="106" t="n"/>
      <c r="K372" s="175" t="n"/>
      <c r="L372" s="174" t="n"/>
      <c r="M372" s="174" t="n"/>
      <c r="N372" s="106" t="n"/>
      <c r="O372" s="129" t="n"/>
    </row>
    <row r="373">
      <c r="B373" s="137">
        <f>IF(B372="","",IF(YEAR(B372+1)=Ano,B372+1,""))</f>
        <v>46385.0</v>
      </c>
      <c r="C373" s="128" t="str">
        <f>IF(B373="","",CHOOSE(WEEKDAY(B373),"Dom","Seg","Ter","Qua","Qui","Sex","Sáb"))</f>
        <v>Ter</v>
      </c>
      <c r="D373" s="174" t="n"/>
      <c r="E373" s="106" t="n"/>
      <c r="F373" s="106" t="n"/>
      <c r="G373" s="106" t="n"/>
      <c r="H373" s="106" t="n"/>
      <c r="I373" s="129" t="n"/>
      <c r="J373" s="106" t="n"/>
      <c r="K373" s="175" t="n"/>
      <c r="L373" s="174" t="n"/>
      <c r="M373" s="174" t="n"/>
      <c r="N373" s="106" t="n"/>
      <c r="O373" s="129" t="n"/>
    </row>
    <row r="374">
      <c r="B374" s="137">
        <f>IF(B373="","",IF(YEAR(B373+1)=Ano,B373+1,""))</f>
        <v>46386.0</v>
      </c>
      <c r="C374" s="128" t="str">
        <f>IF(B374="","",CHOOSE(WEEKDAY(B374),"Dom","Seg","Ter","Qua","Qui","Sex","Sáb"))</f>
        <v>Qua</v>
      </c>
      <c r="D374" s="174" t="n"/>
      <c r="E374" s="106" t="n"/>
      <c r="F374" s="106" t="n"/>
      <c r="G374" s="106" t="n"/>
      <c r="H374" s="106" t="n"/>
      <c r="I374" s="129" t="n"/>
      <c r="J374" s="106" t="n"/>
      <c r="K374" s="175" t="n"/>
      <c r="L374" s="174" t="n"/>
      <c r="M374" s="174" t="n"/>
      <c r="N374" s="106" t="n"/>
      <c r="O374" s="129" t="n"/>
    </row>
    <row r="375">
      <c r="B375" s="137">
        <f>IF(B374="","",IF(YEAR(B374+1)=Ano,B374+1,""))</f>
        <v>46387.0</v>
      </c>
      <c r="C375" s="128" t="str">
        <f>IF(B375="","",CHOOSE(WEEKDAY(B375),"Dom","Seg","Ter","Qua","Qui","Sex","Sáb"))</f>
        <v>Qui</v>
      </c>
      <c r="D375" s="174" t="n"/>
      <c r="E375" s="106" t="n"/>
      <c r="F375" s="106" t="n"/>
      <c r="G375" s="106" t="n"/>
      <c r="H375" s="106" t="n"/>
      <c r="I375" s="129" t="n"/>
      <c r="J375" s="106" t="n"/>
      <c r="K375" s="175" t="n"/>
      <c r="L375" s="174" t="n"/>
      <c r="M375" s="174" t="n"/>
      <c r="N375" s="106" t="n"/>
      <c r="O375" s="129" t="n"/>
    </row>
    <row r="376">
      <c r="B376" s="137" t="str">
        <f>IF(B375="","",IF(YEAR(B375+1)=Ano,B375+1,""))</f>
        <v/>
      </c>
      <c r="C376" s="128" t="str">
        <f>IF(B376="","",CHOOSE(WEEKDAY(B376),"Dom","Seg","Ter","Qua","Qui","Sex","Sáb"))</f>
        <v/>
      </c>
      <c r="D376" s="174" t="n"/>
      <c r="E376" s="106" t="n"/>
      <c r="F376" s="106" t="n"/>
      <c r="G376" s="106" t="n"/>
      <c r="H376" s="106" t="n"/>
      <c r="I376" s="129" t="n"/>
      <c r="J376" s="106" t="n"/>
      <c r="K376" s="175" t="n"/>
      <c r="L376" s="174" t="n"/>
      <c r="M376" s="174" t="n"/>
      <c r="N376" s="106" t="n"/>
      <c r="O376" s="129" t="n"/>
    </row>
  </sheetData>
  <mergeCells count="80">
    <mergeCell ref="D6:E6"/>
    <mergeCell ref="X45:Z45"/>
    <mergeCell ref="X51:Z51"/>
    <mergeCell ref="S49:T49"/>
    <mergeCell ref="D7:E7"/>
    <mergeCell ref="X44:Z44"/>
    <mergeCell ref="X31:Z31"/>
    <mergeCell ref="X39:Z39"/>
    <mergeCell ref="S35:T35"/>
    <mergeCell ref="S30:T30"/>
    <mergeCell ref="S47:T47"/>
    <mergeCell ref="S46:T46"/>
    <mergeCell ref="X49:Z49"/>
    <mergeCell ref="F6:G6"/>
    <mergeCell ref="S52:T52"/>
    <mergeCell ref="X33:Z33"/>
    <mergeCell ref="S39:T39"/>
    <mergeCell ref="S48:T48"/>
    <mergeCell ref="F5:G5"/>
    <mergeCell ref="X41:Z41"/>
    <mergeCell ref="S38:T38"/>
    <mergeCell ref="X35:Z35"/>
    <mergeCell ref="X50:Z50"/>
    <mergeCell ref="S40:T40"/>
    <mergeCell ref="X27:Z27"/>
    <mergeCell ref="X36:Z36"/>
    <mergeCell ref="S33:T33"/>
    <mergeCell ref="B6:C6"/>
    <mergeCell ref="X52:Z52"/>
    <mergeCell ref="H5:I5"/>
    <mergeCell ref="S50:T50"/>
    <mergeCell ref="S51:T51"/>
    <mergeCell ref="B7:C7"/>
    <mergeCell ref="X53:Z53"/>
    <mergeCell ref="X47:Z47"/>
    <mergeCell ref="S42:T42"/>
    <mergeCell ref="F7:G7"/>
    <mergeCell ref="X55:Z55"/>
    <mergeCell ref="X38:Z38"/>
    <mergeCell ref="X26:Z26"/>
    <mergeCell ref="S28:T28"/>
    <mergeCell ref="S37:T37"/>
    <mergeCell ref="S53:T53"/>
    <mergeCell ref="X43:Z43"/>
    <mergeCell ref="S55:T55"/>
    <mergeCell ref="B5:C5"/>
    <mergeCell ref="D5:E5"/>
    <mergeCell ref="S54:T54"/>
    <mergeCell ref="S32:T32"/>
    <mergeCell ref="S26:T26"/>
    <mergeCell ref="S41:T41"/>
    <mergeCell ref="X34:Z34"/>
    <mergeCell ref="S56:T56"/>
    <mergeCell ref="X28:Z28"/>
    <mergeCell ref="J5:K5"/>
    <mergeCell ref="X37:Z37"/>
    <mergeCell ref="S43:T43"/>
    <mergeCell ref="L5:N5"/>
    <mergeCell ref="S27:T27"/>
    <mergeCell ref="X30:Z30"/>
    <mergeCell ref="X42:Z42"/>
    <mergeCell ref="H6:I6"/>
    <mergeCell ref="X29:Z29"/>
    <mergeCell ref="J6:K6"/>
    <mergeCell ref="L6:N6"/>
    <mergeCell ref="X54:Z54"/>
    <mergeCell ref="S34:T34"/>
    <mergeCell ref="X46:Z46"/>
    <mergeCell ref="H7:I7"/>
    <mergeCell ref="J7:K7"/>
    <mergeCell ref="X56:Z56"/>
    <mergeCell ref="S36:T36"/>
    <mergeCell ref="X48:Z48"/>
    <mergeCell ref="S45:T45"/>
    <mergeCell ref="L7:N7"/>
    <mergeCell ref="X40:Z40"/>
    <mergeCell ref="X32:Z32"/>
    <mergeCell ref="S29:T29"/>
    <mergeCell ref="S44:T44"/>
    <mergeCell ref="S31:T31"/>
  </mergeCells>
  <conditionalFormatting sqref="B7:O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E11:G376">
    <cfRule type="colorScale" priority="7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N11:N376">
    <cfRule type="colorScale" priority="8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H11:H376">
    <cfRule type="colorScale" priority="9">
      <colorScale>
        <cfvo type="num" val="1"/>
        <cfvo type="num" val="3"/>
        <cfvo type="num" val="5"/>
        <color rgb="009EC5F4"/>
        <color rgb="00F0EFEC"/>
        <color rgb="00F4B9B9"/>
      </colorScale>
    </cfRule>
  </conditionalFormatting>
  <conditionalFormatting sqref="B11:O376">
    <cfRule type="expression" priority="10" dxfId="18">
      <formula>$B11=Hoje</formula>
    </cfRule>
  </conditionalFormatting>
  <conditionalFormatting sqref="B11:C376">
    <cfRule type="expression" priority="11" dxfId="19">
      <formula>AND($B11&lt;&gt;"",WEEKDAY($B11,2)&gt;5)</formula>
    </cfRule>
  </conditionalFormatting>
  <conditionalFormatting sqref="Q11:Z22">
    <cfRule type="expression" priority="12" dxfId="11">
      <formula>ROW()-10=RefMes</formula>
    </cfRule>
  </conditionalFormatting>
  <conditionalFormatting sqref="W27:W56">
    <cfRule type="expression" priority="13" dxfId="7">
      <formula>AND(ISNUMBER(W27),W27&lt;=30)</formula>
    </cfRule>
  </conditionalFormatting>
  <dataValidations count="13">
    <dataValidation sqref="D11:D376" showDropDown="0" showInputMessage="1" showErrorMessage="1" allowBlank="1" errorTitle="Valor inválido" error="Use um número entre 0 e 24." promptTitle="" prompt="Horas dormidas (ex.: 7,5)" type="decimal" operator="between">
      <formula1>0</formula1>
      <formula2>24</formula2>
    </dataValidation>
    <dataValidation sqref="E11:G376" showDropDown="0" showInputMessage="1" showErrorMessage="1" allowBlank="1" errorTitle="Valor inválido" error="Use um número entre 1 e 5." promptTitle="" prompt="1 = muito ruim · 3 = normal · 5 = excelente" type="whole" operator="between">
      <formula1>1</formula1>
      <formula2>5</formula2>
    </dataValidation>
    <dataValidation sqref="H11:H376" showDropDown="0" showInputMessage="1" showErrorMessage="1" allowBlank="1" errorTitle="Valor inválido" error="Use um número entre 1 e 5." promptTitle="" prompt="1 = tranquilo · 5 = muito estressado" type="whole" operator="between">
      <formula1>1</formula1>
      <formula2>5</formula2>
    </dataValidation>
    <dataValidation sqref="N11:N376" showDropDown="0" showInputMessage="1" showErrorMessage="1" allowBlank="1" errorTitle="Valor inválido" error="Use um número entre 1 e 5." promptTitle="" prompt="1 = muito desregrada · 5 = muito boa" type="whole" operator="between">
      <formula1>1</formula1>
      <formula2>5</formula2>
    </dataValidation>
    <dataValidation sqref="I11:I376" showDropDown="0" showInputMessage="1" showErrorMessage="1" allowBlank="1" errorTitle="Valor fora da lista" error="Escolha um item da lista (as listas ficam na aba Config)." prompt="Deixe vazio se não treinou" type="list" errorStyle="stop">
      <formula1>lst_Treino</formula1>
    </dataValidation>
    <dataValidation sqref="J11:J376" showDropDown="0" showInputMessage="0" showErrorMessage="1" allowBlank="1" errorTitle="Valor inválido" error="Use um número entre 0 e 600." type="decimal" operator="between">
      <formula1>0</formula1>
      <formula2>600</formula2>
    </dataValidation>
    <dataValidation sqref="K11:K376" showDropDown="0" showInputMessage="0" showErrorMessage="1" allowBlank="1" errorTitle="Valor inválido" error="Use um número entre 0 e 100000." type="whole" operator="between">
      <formula1>0</formula1>
      <formula2>100000</formula2>
    </dataValidation>
    <dataValidation sqref="L11:L376" showDropDown="0" showInputMessage="0" showErrorMessage="1" allowBlank="1" errorTitle="Valor inválido" error="Use um número entre 20 e 300." type="decimal" operator="between">
      <formula1>20</formula1>
      <formula2>300</formula2>
    </dataValidation>
    <dataValidation sqref="M11:M376" showDropDown="0" showInputMessage="0" showErrorMessage="1" allowBlank="1" errorTitle="Valor inválido" error="Use um número entre 0 e 15." type="decimal" operator="between">
      <formula1>0</formula1>
      <formula2>15</formula2>
    </dataValidation>
    <dataValidation sqref="Q27:Q56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V27:V56" showDropDown="0" showInputMessage="1" showErrorMessage="1" allowBlank="1" errorTitle="Data inválida" error="Digite uma data (ex.: 15/03/2026). Atalho: Ctrl+; insere a data de hoje." prompt="Quando é a próxima (retorno, novo exame)" type="date" operator="between">
      <formula1>36526</formula1>
      <formula2>73051</formula2>
    </dataValidation>
    <dataValidation sqref="R27:R56" showDropDown="0" showInputMessage="0" showErrorMessage="1" allowBlank="1" errorTitle="Valor fora da lista" error="Escolha um item da lista (as listas ficam na aba Config)." type="list" errorStyle="stop">
      <formula1>lst_TipoConsulta</formula1>
    </dataValidation>
    <dataValidation sqref="U27:U56" showDropDown="0" showInputMessage="0" showErrorMessage="1" allowBlank="1" errorTitle="Valor fora da lista" error="Escolha um item da lista (as listas ficam na aba Config)." type="list" errorStyle="stop">
      <formula1>lst_StatusConsulta</formula1>
    </dataValidation>
  </dataValidations>
  <hyperlinks>
    <hyperlink ref="Z1" location="'Dashboard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B6834"/>
    <outlinePr summaryBelow="1" summaryRight="1"/>
    <pageSetUpPr/>
  </sheetPr>
  <dimension ref="A1:Z382"/>
  <sheetViews>
    <sheetView showGridLines="0" tabSelected="0" zoomScale="100"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9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8" customWidth="1" min="14" max="14"/>
    <col width="9" customWidth="1" min="15" max="15"/>
    <col width="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34" customHeight="1">
      <c r="A1" s="162" t="n"/>
      <c r="B1" s="97" t="inlineStr">
        <is>
          <t>Hábitos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98" t="inlineStr">
        <is>
          <t>◀ Dashboard</t>
        </is>
      </c>
    </row>
    <row r="2" ht="18" customHeight="1">
      <c r="A2" s="162" t="n"/>
      <c r="B2" s="99" t="inlineStr">
        <is>
          <t>Escreva o nome dos hábitos na linha azul e marque x no dia em que cumprir. Metas por semana definem o que é 'no alvo'.</t>
        </is>
      </c>
    </row>
    <row r="3" ht="16" customHeight="1">
      <c r="A3" s="162" t="n"/>
      <c r="B3" s="100" t="inlineStr">
        <is>
          <t>Legenda:  branco = você preenche  ·  cinza = automático (não editar)  ·  ✔ ok   ▲ atenção   ✖ crítico   ○ sem dados</t>
        </is>
      </c>
      <c r="M3" s="163" t="str">
        <f>HYPERLINK("#'Hábitos'!B"&amp;MAX(17,IdxHoje+16),"→ Ir para a linha de hoje")</f>
        <v>→ Ir para a linha de hoje</v>
      </c>
    </row>
    <row r="4" ht="8" customHeight="1"/>
    <row r="5" ht="22" customHeight="1">
      <c r="B5" s="172" t="str">
        <f>"RESUMO · "&amp;UPPER(RotuloMes)</f>
        <v>RESUMO · OUTUBRO 2026</v>
      </c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3" t="n"/>
    </row>
    <row r="6" ht="26" customHeight="1">
      <c r="B6" s="148" t="inlineStr">
        <is>
          <t>Área da vida</t>
        </is>
      </c>
      <c r="C6" s="115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1" t="inlineStr">
        <is>
          <t>Geral</t>
        </is>
      </c>
      <c r="O6" s="115" t="n"/>
    </row>
    <row r="7" ht="18" customHeight="1">
      <c r="B7" s="148" t="inlineStr">
        <is>
          <t>Meta (dias por semana)</t>
        </is>
      </c>
      <c r="C7" s="115" t="n"/>
      <c r="D7" s="182" t="n"/>
      <c r="E7" s="182" t="n"/>
      <c r="F7" s="182" t="n"/>
      <c r="G7" s="182" t="n"/>
      <c r="H7" s="182" t="n"/>
      <c r="I7" s="182" t="n"/>
      <c r="J7" s="182" t="n"/>
      <c r="K7" s="182" t="n"/>
      <c r="L7" s="182" t="n"/>
      <c r="M7" s="182" t="n"/>
      <c r="N7" s="128" t="n"/>
      <c r="O7" s="128" t="n"/>
    </row>
    <row r="8" ht="18" customHeight="1">
      <c r="B8" s="105" t="inlineStr">
        <is>
          <t>Feitos no mês</t>
        </is>
      </c>
      <c r="C8" s="115" t="n"/>
      <c r="D8" s="183" t="str">
        <f>IF(D$16="","",COUNTIFS(D$17:D$382,"x",$B$17:$B$382,"&gt;="&amp;RefIni,$B$17:$B$382,"&lt;="&amp;RefFim))</f>
        <v/>
      </c>
      <c r="E8" s="183" t="str">
        <f>IF(E$16="","",COUNTIFS(E$17:E$382,"x",$B$17:$B$382,"&gt;="&amp;RefIni,$B$17:$B$382,"&lt;="&amp;RefFim))</f>
        <v/>
      </c>
      <c r="F8" s="183" t="str">
        <f>IF(F$16="","",COUNTIFS(F$17:F$382,"x",$B$17:$B$382,"&gt;="&amp;RefIni,$B$17:$B$382,"&lt;="&amp;RefFim))</f>
        <v/>
      </c>
      <c r="G8" s="183" t="str">
        <f>IF(G$16="","",COUNTIFS(G$17:G$382,"x",$B$17:$B$382,"&gt;="&amp;RefIni,$B$17:$B$382,"&lt;="&amp;RefFim))</f>
        <v/>
      </c>
      <c r="H8" s="183" t="str">
        <f>IF(H$16="","",COUNTIFS(H$17:H$382,"x",$B$17:$B$382,"&gt;="&amp;RefIni,$B$17:$B$382,"&lt;="&amp;RefFim))</f>
        <v/>
      </c>
      <c r="I8" s="183" t="str">
        <f>IF(I$16="","",COUNTIFS(I$17:I$382,"x",$B$17:$B$382,"&gt;="&amp;RefIni,$B$17:$B$382,"&lt;="&amp;RefFim))</f>
        <v/>
      </c>
      <c r="J8" s="183" t="str">
        <f>IF(J$16="","",COUNTIFS(J$17:J$382,"x",$B$17:$B$382,"&gt;="&amp;RefIni,$B$17:$B$382,"&lt;="&amp;RefFim))</f>
        <v/>
      </c>
      <c r="K8" s="183" t="str">
        <f>IF(K$16="","",COUNTIFS(K$17:K$382,"x",$B$17:$B$382,"&gt;="&amp;RefIni,$B$17:$B$382,"&lt;="&amp;RefFim))</f>
        <v/>
      </c>
      <c r="L8" s="183" t="str">
        <f>IF(L$16="","",COUNTIFS(L$17:L$382,"x",$B$17:$B$382,"&gt;="&amp;RefIni,$B$17:$B$382,"&lt;="&amp;RefFim))</f>
        <v/>
      </c>
      <c r="M8" s="183" t="str">
        <f>IF(M$16="","",COUNTIFS(M$17:M$382,"x",$B$17:$B$382,"&gt;="&amp;RefIni,$B$17:$B$382,"&lt;="&amp;RefFim))</f>
        <v/>
      </c>
      <c r="N8" s="183">
        <f>SUM(D8:M8)</f>
        <v>0</v>
      </c>
      <c r="O8" s="184" t="n"/>
    </row>
    <row r="9" ht="18" customHeight="1">
      <c r="B9" s="105" t="inlineStr">
        <is>
          <t>% dos dias do mês</t>
        </is>
      </c>
      <c r="C9" s="115" t="n"/>
      <c r="D9" s="185" t="str">
        <f>IF(OR(D$16="",DiasRef=0),"",D8/DiasRef)</f>
        <v/>
      </c>
      <c r="E9" s="185" t="str">
        <f>IF(OR(E$16="",DiasRef=0),"",E8/DiasRef)</f>
        <v/>
      </c>
      <c r="F9" s="185" t="str">
        <f>IF(OR(F$16="",DiasRef=0),"",F8/DiasRef)</f>
        <v/>
      </c>
      <c r="G9" s="185" t="str">
        <f>IF(OR(G$16="",DiasRef=0),"",G8/DiasRef)</f>
        <v/>
      </c>
      <c r="H9" s="185" t="str">
        <f>IF(OR(H$16="",DiasRef=0),"",H8/DiasRef)</f>
        <v/>
      </c>
      <c r="I9" s="185" t="str">
        <f>IF(OR(I$16="",DiasRef=0),"",I8/DiasRef)</f>
        <v/>
      </c>
      <c r="J9" s="185" t="str">
        <f>IF(OR(J$16="",DiasRef=0),"",J8/DiasRef)</f>
        <v/>
      </c>
      <c r="K9" s="185" t="str">
        <f>IF(OR(K$16="",DiasRef=0),"",K8/DiasRef)</f>
        <v/>
      </c>
      <c r="L9" s="185" t="str">
        <f>IF(OR(L$16="",DiasRef=0),"",L8/DiasRef)</f>
        <v/>
      </c>
      <c r="M9" s="185" t="str">
        <f>IF(OR(M$16="",DiasRef=0),"",M8/DiasRef)</f>
        <v/>
      </c>
      <c r="N9" s="185" t="str">
        <f>IF(OR(COUNTA($D$16:$M$16)=0,DiasRef=0),"",N8/(COUNTA($D$16:$M$16)*DiasRef))</f>
        <v/>
      </c>
      <c r="O9" s="184" t="n"/>
    </row>
    <row r="10" ht="18" customHeight="1">
      <c r="B10" s="105" t="inlineStr">
        <is>
          <t>% da meta do mês</t>
        </is>
      </c>
      <c r="C10" s="115" t="n"/>
      <c r="D10" s="186" t="str">
        <f>IF(OR(D$16="",DiasRef=0,N(D7)=0),"",MIN(1,D8/(D7*DiasRef/7)))</f>
        <v/>
      </c>
      <c r="E10" s="186" t="str">
        <f>IF(OR(E$16="",DiasRef=0,N(E7)=0),"",MIN(1,E8/(E7*DiasRef/7)))</f>
        <v/>
      </c>
      <c r="F10" s="186" t="str">
        <f>IF(OR(F$16="",DiasRef=0,N(F7)=0),"",MIN(1,F8/(F7*DiasRef/7)))</f>
        <v/>
      </c>
      <c r="G10" s="186" t="str">
        <f>IF(OR(G$16="",DiasRef=0,N(G7)=0),"",MIN(1,G8/(G7*DiasRef/7)))</f>
        <v/>
      </c>
      <c r="H10" s="186" t="str">
        <f>IF(OR(H$16="",DiasRef=0,N(H7)=0),"",MIN(1,H8/(H7*DiasRef/7)))</f>
        <v/>
      </c>
      <c r="I10" s="186" t="str">
        <f>IF(OR(I$16="",DiasRef=0,N(I7)=0),"",MIN(1,I8/(I7*DiasRef/7)))</f>
        <v/>
      </c>
      <c r="J10" s="186" t="str">
        <f>IF(OR(J$16="",DiasRef=0,N(J7)=0),"",MIN(1,J8/(J7*DiasRef/7)))</f>
        <v/>
      </c>
      <c r="K10" s="186" t="str">
        <f>IF(OR(K$16="",DiasRef=0,N(K7)=0),"",MIN(1,K8/(K7*DiasRef/7)))</f>
        <v/>
      </c>
      <c r="L10" s="186" t="str">
        <f>IF(OR(L$16="",DiasRef=0,N(L7)=0),"",MIN(1,L8/(L7*DiasRef/7)))</f>
        <v/>
      </c>
      <c r="M10" s="186" t="str">
        <f>IF(OR(M$16="",DiasRef=0,N(M7)=0),"",MIN(1,M8/(M7*DiasRef/7)))</f>
        <v/>
      </c>
      <c r="N10" s="186" t="str">
        <f>IFERROR(AVERAGE(D10:M10),"")</f>
        <v/>
      </c>
      <c r="O10" s="187" t="n"/>
    </row>
    <row r="11" ht="18" customHeight="1">
      <c r="B11" s="105" t="inlineStr">
        <is>
          <t>Sequência atual (dias)</t>
        </is>
      </c>
      <c r="C11" s="115" t="n"/>
      <c r="D11" s="183" t="str">
        <f>IF(D$16="","",IF(IdxHoje=0,0,IF(INDEX(D$17:D$382,IdxHoje)="x",INDEX(Q$17:Q$382,IdxHoje),IF(IdxHoje&gt;1,INDEX(Q$17:Q$382,IdxHoje-1),0))))</f>
        <v/>
      </c>
      <c r="E11" s="183" t="str">
        <f>IF(E$16="","",IF(IdxHoje=0,0,IF(INDEX(E$17:E$382,IdxHoje)="x",INDEX(R$17:R$382,IdxHoje),IF(IdxHoje&gt;1,INDEX(R$17:R$382,IdxHoje-1),0))))</f>
        <v/>
      </c>
      <c r="F11" s="183" t="str">
        <f>IF(F$16="","",IF(IdxHoje=0,0,IF(INDEX(F$17:F$382,IdxHoje)="x",INDEX(S$17:S$382,IdxHoje),IF(IdxHoje&gt;1,INDEX(S$17:S$382,IdxHoje-1),0))))</f>
        <v/>
      </c>
      <c r="G11" s="183" t="str">
        <f>IF(G$16="","",IF(IdxHoje=0,0,IF(INDEX(G$17:G$382,IdxHoje)="x",INDEX(T$17:T$382,IdxHoje),IF(IdxHoje&gt;1,INDEX(T$17:T$382,IdxHoje-1),0))))</f>
        <v/>
      </c>
      <c r="H11" s="183" t="str">
        <f>IF(H$16="","",IF(IdxHoje=0,0,IF(INDEX(H$17:H$382,IdxHoje)="x",INDEX(U$17:U$382,IdxHoje),IF(IdxHoje&gt;1,INDEX(U$17:U$382,IdxHoje-1),0))))</f>
        <v/>
      </c>
      <c r="I11" s="183" t="str">
        <f>IF(I$16="","",IF(IdxHoje=0,0,IF(INDEX(I$17:I$382,IdxHoje)="x",INDEX(V$17:V$382,IdxHoje),IF(IdxHoje&gt;1,INDEX(V$17:V$382,IdxHoje-1),0))))</f>
        <v/>
      </c>
      <c r="J11" s="183" t="str">
        <f>IF(J$16="","",IF(IdxHoje=0,0,IF(INDEX(J$17:J$382,IdxHoje)="x",INDEX(W$17:W$382,IdxHoje),IF(IdxHoje&gt;1,INDEX(W$17:W$382,IdxHoje-1),0))))</f>
        <v/>
      </c>
      <c r="K11" s="183" t="str">
        <f>IF(K$16="","",IF(IdxHoje=0,0,IF(INDEX(K$17:K$382,IdxHoje)="x",INDEX(X$17:X$382,IdxHoje),IF(IdxHoje&gt;1,INDEX(X$17:X$382,IdxHoje-1),0))))</f>
        <v/>
      </c>
      <c r="L11" s="183" t="str">
        <f>IF(L$16="","",IF(IdxHoje=0,0,IF(INDEX(L$17:L$382,IdxHoje)="x",INDEX(Y$17:Y$382,IdxHoje),IF(IdxHoje&gt;1,INDEX(Y$17:Y$382,IdxHoje-1),0))))</f>
        <v/>
      </c>
      <c r="M11" s="183" t="str">
        <f>IF(M$16="","",IF(IdxHoje=0,0,IF(INDEX(M$17:M$382,IdxHoje)="x",INDEX(Z$17:Z$382,IdxHoje),IF(IdxHoje&gt;1,INDEX(Z$17:Z$382,IdxHoje-1),0))))</f>
        <v/>
      </c>
      <c r="N11" s="183" t="str">
        <f>IF(COUNT(D11:M11)=0,"",MAX(D11:M11))</f>
        <v/>
      </c>
      <c r="O11" s="184" t="n"/>
    </row>
    <row r="12" ht="18" customHeight="1">
      <c r="B12" s="105" t="inlineStr">
        <is>
          <t>Melhor sequência no ano</t>
        </is>
      </c>
      <c r="C12" s="115" t="n"/>
      <c r="D12" s="183" t="str">
        <f>IF(D$16="","",MAX(Q$17:Q$382))</f>
        <v/>
      </c>
      <c r="E12" s="183" t="str">
        <f>IF(E$16="","",MAX(R$17:R$382))</f>
        <v/>
      </c>
      <c r="F12" s="183" t="str">
        <f>IF(F$16="","",MAX(S$17:S$382))</f>
        <v/>
      </c>
      <c r="G12" s="183" t="str">
        <f>IF(G$16="","",MAX(T$17:T$382))</f>
        <v/>
      </c>
      <c r="H12" s="183" t="str">
        <f>IF(H$16="","",MAX(U$17:U$382))</f>
        <v/>
      </c>
      <c r="I12" s="183" t="str">
        <f>IF(I$16="","",MAX(V$17:V$382))</f>
        <v/>
      </c>
      <c r="J12" s="183" t="str">
        <f>IF(J$16="","",MAX(W$17:W$382))</f>
        <v/>
      </c>
      <c r="K12" s="183" t="str">
        <f>IF(K$16="","",MAX(X$17:X$382))</f>
        <v/>
      </c>
      <c r="L12" s="183" t="str">
        <f>IF(L$16="","",MAX(Y$17:Y$382))</f>
        <v/>
      </c>
      <c r="M12" s="183" t="str">
        <f>IF(M$16="","",MAX(Z$17:Z$382))</f>
        <v/>
      </c>
      <c r="N12" s="183" t="str">
        <f>IF(COUNT(D12:M12)=0,"",MAX(D12:M12))</f>
        <v/>
      </c>
      <c r="O12" s="184" t="n"/>
    </row>
    <row r="13" ht="18" customHeight="1">
      <c r="B13" s="105" t="inlineStr">
        <is>
          <t>Feitos no ano</t>
        </is>
      </c>
      <c r="C13" s="115" t="n"/>
      <c r="D13" s="183" t="str">
        <f>IF(D$16="","",COUNTIF(D$17:D$382,"x"))</f>
        <v/>
      </c>
      <c r="E13" s="183" t="str">
        <f>IF(E$16="","",COUNTIF(E$17:E$382,"x"))</f>
        <v/>
      </c>
      <c r="F13" s="183" t="str">
        <f>IF(F$16="","",COUNTIF(F$17:F$382,"x"))</f>
        <v/>
      </c>
      <c r="G13" s="183" t="str">
        <f>IF(G$16="","",COUNTIF(G$17:G$382,"x"))</f>
        <v/>
      </c>
      <c r="H13" s="183" t="str">
        <f>IF(H$16="","",COUNTIF(H$17:H$382,"x"))</f>
        <v/>
      </c>
      <c r="I13" s="183" t="str">
        <f>IF(I$16="","",COUNTIF(I$17:I$382,"x"))</f>
        <v/>
      </c>
      <c r="J13" s="183" t="str">
        <f>IF(J$16="","",COUNTIF(J$17:J$382,"x"))</f>
        <v/>
      </c>
      <c r="K13" s="183" t="str">
        <f>IF(K$16="","",COUNTIF(K$17:K$382,"x"))</f>
        <v/>
      </c>
      <c r="L13" s="183" t="str">
        <f>IF(L$16="","",COUNTIF(L$17:L$382,"x"))</f>
        <v/>
      </c>
      <c r="M13" s="183" t="str">
        <f>IF(M$16="","",COUNTIF(M$17:M$382,"x"))</f>
        <v/>
      </c>
      <c r="N13" s="183">
        <f>SUM(D13:M13)</f>
        <v>0</v>
      </c>
      <c r="O13" s="184" t="n"/>
    </row>
    <row r="14" ht="18" customHeight="1">
      <c r="B14" s="105" t="inlineStr">
        <is>
          <t>Situação</t>
        </is>
      </c>
      <c r="C14" s="115" t="n"/>
      <c r="D14" s="181" t="str">
        <f>IF(D10="","",IF(D10&gt;=0.9,"✔ No alvo",IF(D10&gt;=0.6,"▲ Quase","✖ Abaixo")))</f>
        <v/>
      </c>
      <c r="E14" s="181" t="str">
        <f>IF(E10="","",IF(E10&gt;=0.9,"✔ No alvo",IF(E10&gt;=0.6,"▲ Quase","✖ Abaixo")))</f>
        <v/>
      </c>
      <c r="F14" s="181" t="str">
        <f>IF(F10="","",IF(F10&gt;=0.9,"✔ No alvo",IF(F10&gt;=0.6,"▲ Quase","✖ Abaixo")))</f>
        <v/>
      </c>
      <c r="G14" s="181" t="str">
        <f>IF(G10="","",IF(G10&gt;=0.9,"✔ No alvo",IF(G10&gt;=0.6,"▲ Quase","✖ Abaixo")))</f>
        <v/>
      </c>
      <c r="H14" s="181" t="str">
        <f>IF(H10="","",IF(H10&gt;=0.9,"✔ No alvo",IF(H10&gt;=0.6,"▲ Quase","✖ Abaixo")))</f>
        <v/>
      </c>
      <c r="I14" s="181" t="str">
        <f>IF(I10="","",IF(I10&gt;=0.9,"✔ No alvo",IF(I10&gt;=0.6,"▲ Quase","✖ Abaixo")))</f>
        <v/>
      </c>
      <c r="J14" s="181" t="str">
        <f>IF(J10="","",IF(J10&gt;=0.9,"✔ No alvo",IF(J10&gt;=0.6,"▲ Quase","✖ Abaixo")))</f>
        <v/>
      </c>
      <c r="K14" s="181" t="str">
        <f>IF(K10="","",IF(K10&gt;=0.9,"✔ No alvo",IF(K10&gt;=0.6,"▲ Quase","✖ Abaixo")))</f>
        <v/>
      </c>
      <c r="L14" s="181" t="str">
        <f>IF(L10="","",IF(L10&gt;=0.9,"✔ No alvo",IF(L10&gt;=0.6,"▲ Quase","✖ Abaixo")))</f>
        <v/>
      </c>
      <c r="M14" s="181" t="str">
        <f>IF(M10="","",IF(M10&gt;=0.9,"✔ No alvo",IF(M10&gt;=0.6,"▲ Quase","✖ Abaixo")))</f>
        <v/>
      </c>
      <c r="N14" s="181" t="str">
        <f>IF(N10="","",IF(N10&gt;=0.9,"✔ No alvo",IF(N10&gt;=0.6,"▲ Quase","✖ Abaixo")))</f>
        <v/>
      </c>
      <c r="O14" s="187" t="n"/>
    </row>
    <row r="15" ht="8" customHeight="1"/>
    <row r="16" ht="36" customHeight="1">
      <c r="B16" s="104" t="inlineStr">
        <is>
          <t>Data</t>
        </is>
      </c>
      <c r="C16" s="104" t="inlineStr">
        <is>
          <t>Dia</t>
        </is>
      </c>
      <c r="D16" s="188" t="inlineStr"/>
      <c r="E16" s="188" t="inlineStr"/>
      <c r="F16" s="188" t="inlineStr"/>
      <c r="G16" s="188" t="inlineStr"/>
      <c r="H16" s="188" t="inlineStr"/>
      <c r="I16" s="188" t="inlineStr"/>
      <c r="J16" s="188" t="inlineStr"/>
      <c r="K16" s="188" t="inlineStr"/>
      <c r="L16" s="188" t="inlineStr"/>
      <c r="M16" s="188" t="inlineStr"/>
      <c r="N16" s="104" t="inlineStr">
        <is>
          <t>Feitos</t>
        </is>
      </c>
      <c r="O16" s="104" t="inlineStr">
        <is>
          <t>% do dia</t>
        </is>
      </c>
    </row>
    <row r="17">
      <c r="B17" s="137">
        <f>DATE(Ano,1,1)</f>
        <v>46023.0</v>
      </c>
      <c r="C17" s="128" t="str">
        <f>IF(B17="","",CHOOSE(WEEKDAY(B17),"Dom","Seg","Ter","Qua","Qui","Sex","Sáb"))</f>
        <v>Qui</v>
      </c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28">
        <f>IF(OR(B17="",B17&gt;Hoje),"",COUNTIF(D17:M17,"x"))</f>
        <v>0</v>
      </c>
      <c r="O17" s="133" t="str">
        <f>IF(OR(N17="",COUNTA($D$16:$M$16)=0),"",N17/COUNTA($D$16:$M$16))</f>
        <v/>
      </c>
      <c r="Q17">
        <f>IF(D17="x",1,0)</f>
        <v>0</v>
      </c>
      <c r="R17">
        <f>IF(E17="x",1,0)</f>
        <v>0</v>
      </c>
      <c r="S17">
        <f>IF(F17="x",1,0)</f>
        <v>0</v>
      </c>
      <c r="T17">
        <f>IF(G17="x",1,0)</f>
        <v>0</v>
      </c>
      <c r="U17">
        <f>IF(H17="x",1,0)</f>
        <v>0</v>
      </c>
      <c r="V17">
        <f>IF(I17="x",1,0)</f>
        <v>0</v>
      </c>
      <c r="W17">
        <f>IF(J17="x",1,0)</f>
        <v>0</v>
      </c>
      <c r="X17">
        <f>IF(K17="x",1,0)</f>
        <v>0</v>
      </c>
      <c r="Y17">
        <f>IF(L17="x",1,0)</f>
        <v>0</v>
      </c>
      <c r="Z17">
        <f>IF(M17="x",1,0)</f>
        <v>0</v>
      </c>
    </row>
    <row r="18">
      <c r="B18" s="137">
        <f>IF(B17="","",IF(YEAR(B17+1)=Ano,B17+1,""))</f>
        <v>46024.0</v>
      </c>
      <c r="C18" s="128" t="str">
        <f>IF(B18="","",CHOOSE(WEEKDAY(B18),"Dom","Seg","Ter","Qua","Qui","Sex","Sáb"))</f>
        <v>Sex</v>
      </c>
      <c r="D18" s="182" t="n"/>
      <c r="E18" s="182" t="n"/>
      <c r="F18" s="182" t="n"/>
      <c r="G18" s="182" t="n"/>
      <c r="H18" s="182" t="n"/>
      <c r="I18" s="182" t="n"/>
      <c r="J18" s="182" t="n"/>
      <c r="K18" s="182" t="n"/>
      <c r="L18" s="182" t="n"/>
      <c r="M18" s="182" t="n"/>
      <c r="N18" s="128">
        <f>IF(OR(B18="",B18&gt;Hoje),"",COUNTIF(D18:M18,"x"))</f>
        <v>0</v>
      </c>
      <c r="O18" s="133" t="str">
        <f>IF(OR(N18="",COUNTA($D$16:$M$16)=0),"",N18/COUNTA($D$16:$M$16))</f>
        <v/>
      </c>
      <c r="Q18">
        <f>IF(D18="x",Q17+1,0)</f>
        <v>0</v>
      </c>
      <c r="R18">
        <f>IF(E18="x",R17+1,0)</f>
        <v>0</v>
      </c>
      <c r="S18">
        <f>IF(F18="x",S17+1,0)</f>
        <v>0</v>
      </c>
      <c r="T18">
        <f>IF(G18="x",T17+1,0)</f>
        <v>0</v>
      </c>
      <c r="U18">
        <f>IF(H18="x",U17+1,0)</f>
        <v>0</v>
      </c>
      <c r="V18">
        <f>IF(I18="x",V17+1,0)</f>
        <v>0</v>
      </c>
      <c r="W18">
        <f>IF(J18="x",W17+1,0)</f>
        <v>0</v>
      </c>
      <c r="X18">
        <f>IF(K18="x",X17+1,0)</f>
        <v>0</v>
      </c>
      <c r="Y18">
        <f>IF(L18="x",Y17+1,0)</f>
        <v>0</v>
      </c>
      <c r="Z18">
        <f>IF(M18="x",Z17+1,0)</f>
        <v>0</v>
      </c>
    </row>
    <row r="19">
      <c r="B19" s="137">
        <f>IF(B18="","",IF(YEAR(B18+1)=Ano,B18+1,""))</f>
        <v>46025.0</v>
      </c>
      <c r="C19" s="128" t="str">
        <f>IF(B19="","",CHOOSE(WEEKDAY(B19),"Dom","Seg","Ter","Qua","Qui","Sex","Sáb"))</f>
        <v>Sáb</v>
      </c>
      <c r="D19" s="182" t="n"/>
      <c r="E19" s="182" t="n"/>
      <c r="F19" s="182" t="n"/>
      <c r="G19" s="182" t="n"/>
      <c r="H19" s="182" t="n"/>
      <c r="I19" s="182" t="n"/>
      <c r="J19" s="182" t="n"/>
      <c r="K19" s="182" t="n"/>
      <c r="L19" s="182" t="n"/>
      <c r="M19" s="182" t="n"/>
      <c r="N19" s="128">
        <f>IF(OR(B19="",B19&gt;Hoje),"",COUNTIF(D19:M19,"x"))</f>
        <v>0</v>
      </c>
      <c r="O19" s="133" t="str">
        <f>IF(OR(N19="",COUNTA($D$16:$M$16)=0),"",N19/COUNTA($D$16:$M$16))</f>
        <v/>
      </c>
      <c r="Q19">
        <f>IF(D19="x",Q18+1,0)</f>
        <v>0</v>
      </c>
      <c r="R19">
        <f>IF(E19="x",R18+1,0)</f>
        <v>0</v>
      </c>
      <c r="S19">
        <f>IF(F19="x",S18+1,0)</f>
        <v>0</v>
      </c>
      <c r="T19">
        <f>IF(G19="x",T18+1,0)</f>
        <v>0</v>
      </c>
      <c r="U19">
        <f>IF(H19="x",U18+1,0)</f>
        <v>0</v>
      </c>
      <c r="V19">
        <f>IF(I19="x",V18+1,0)</f>
        <v>0</v>
      </c>
      <c r="W19">
        <f>IF(J19="x",W18+1,0)</f>
        <v>0</v>
      </c>
      <c r="X19">
        <f>IF(K19="x",X18+1,0)</f>
        <v>0</v>
      </c>
      <c r="Y19">
        <f>IF(L19="x",Y18+1,0)</f>
        <v>0</v>
      </c>
      <c r="Z19">
        <f>IF(M19="x",Z18+1,0)</f>
        <v>0</v>
      </c>
    </row>
    <row r="20">
      <c r="B20" s="137">
        <f>IF(B19="","",IF(YEAR(B19+1)=Ano,B19+1,""))</f>
        <v>46026.0</v>
      </c>
      <c r="C20" s="128" t="str">
        <f>IF(B20="","",CHOOSE(WEEKDAY(B20),"Dom","Seg","Ter","Qua","Qui","Sex","Sáb"))</f>
        <v>Dom</v>
      </c>
      <c r="D20" s="182" t="n"/>
      <c r="E20" s="182" t="n"/>
      <c r="F20" s="182" t="n"/>
      <c r="G20" s="182" t="n"/>
      <c r="H20" s="182" t="n"/>
      <c r="I20" s="182" t="n"/>
      <c r="J20" s="182" t="n"/>
      <c r="K20" s="182" t="n"/>
      <c r="L20" s="182" t="n"/>
      <c r="M20" s="182" t="n"/>
      <c r="N20" s="128">
        <f>IF(OR(B20="",B20&gt;Hoje),"",COUNTIF(D20:M20,"x"))</f>
        <v>0</v>
      </c>
      <c r="O20" s="133" t="str">
        <f>IF(OR(N20="",COUNTA($D$16:$M$16)=0),"",N20/COUNTA($D$16:$M$16))</f>
        <v/>
      </c>
      <c r="Q20">
        <f>IF(D20="x",Q19+1,0)</f>
        <v>0</v>
      </c>
      <c r="R20">
        <f>IF(E20="x",R19+1,0)</f>
        <v>0</v>
      </c>
      <c r="S20">
        <f>IF(F20="x",S19+1,0)</f>
        <v>0</v>
      </c>
      <c r="T20">
        <f>IF(G20="x",T19+1,0)</f>
        <v>0</v>
      </c>
      <c r="U20">
        <f>IF(H20="x",U19+1,0)</f>
        <v>0</v>
      </c>
      <c r="V20">
        <f>IF(I20="x",V19+1,0)</f>
        <v>0</v>
      </c>
      <c r="W20">
        <f>IF(J20="x",W19+1,0)</f>
        <v>0</v>
      </c>
      <c r="X20">
        <f>IF(K20="x",X19+1,0)</f>
        <v>0</v>
      </c>
      <c r="Y20">
        <f>IF(L20="x",Y19+1,0)</f>
        <v>0</v>
      </c>
      <c r="Z20">
        <f>IF(M20="x",Z19+1,0)</f>
        <v>0</v>
      </c>
    </row>
    <row r="21">
      <c r="B21" s="137">
        <f>IF(B20="","",IF(YEAR(B20+1)=Ano,B20+1,""))</f>
        <v>46027.0</v>
      </c>
      <c r="C21" s="128" t="str">
        <f>IF(B21="","",CHOOSE(WEEKDAY(B21),"Dom","Seg","Ter","Qua","Qui","Sex","Sáb"))</f>
        <v>Seg</v>
      </c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28">
        <f>IF(OR(B21="",B21&gt;Hoje),"",COUNTIF(D21:M21,"x"))</f>
        <v>0</v>
      </c>
      <c r="O21" s="133" t="str">
        <f>IF(OR(N21="",COUNTA($D$16:$M$16)=0),"",N21/COUNTA($D$16:$M$16))</f>
        <v/>
      </c>
      <c r="Q21">
        <f>IF(D21="x",Q20+1,0)</f>
        <v>0</v>
      </c>
      <c r="R21">
        <f>IF(E21="x",R20+1,0)</f>
        <v>0</v>
      </c>
      <c r="S21">
        <f>IF(F21="x",S20+1,0)</f>
        <v>0</v>
      </c>
      <c r="T21">
        <f>IF(G21="x",T20+1,0)</f>
        <v>0</v>
      </c>
      <c r="U21">
        <f>IF(H21="x",U20+1,0)</f>
        <v>0</v>
      </c>
      <c r="V21">
        <f>IF(I21="x",V20+1,0)</f>
        <v>0</v>
      </c>
      <c r="W21">
        <f>IF(J21="x",W20+1,0)</f>
        <v>0</v>
      </c>
      <c r="X21">
        <f>IF(K21="x",X20+1,0)</f>
        <v>0</v>
      </c>
      <c r="Y21">
        <f>IF(L21="x",Y20+1,0)</f>
        <v>0</v>
      </c>
      <c r="Z21">
        <f>IF(M21="x",Z20+1,0)</f>
        <v>0</v>
      </c>
    </row>
    <row r="22">
      <c r="B22" s="137">
        <f>IF(B21="","",IF(YEAR(B21+1)=Ano,B21+1,""))</f>
        <v>46028.0</v>
      </c>
      <c r="C22" s="128" t="str">
        <f>IF(B22="","",CHOOSE(WEEKDAY(B22),"Dom","Seg","Ter","Qua","Qui","Sex","Sáb"))</f>
        <v>Ter</v>
      </c>
      <c r="D22" s="182" t="n"/>
      <c r="E22" s="182" t="n"/>
      <c r="F22" s="182" t="n"/>
      <c r="G22" s="182" t="n"/>
      <c r="H22" s="182" t="n"/>
      <c r="I22" s="182" t="n"/>
      <c r="J22" s="182" t="n"/>
      <c r="K22" s="182" t="n"/>
      <c r="L22" s="182" t="n"/>
      <c r="M22" s="182" t="n"/>
      <c r="N22" s="128">
        <f>IF(OR(B22="",B22&gt;Hoje),"",COUNTIF(D22:M22,"x"))</f>
        <v>0</v>
      </c>
      <c r="O22" s="133" t="str">
        <f>IF(OR(N22="",COUNTA($D$16:$M$16)=0),"",N22/COUNTA($D$16:$M$16))</f>
        <v/>
      </c>
      <c r="Q22">
        <f>IF(D22="x",Q21+1,0)</f>
        <v>0</v>
      </c>
      <c r="R22">
        <f>IF(E22="x",R21+1,0)</f>
        <v>0</v>
      </c>
      <c r="S22">
        <f>IF(F22="x",S21+1,0)</f>
        <v>0</v>
      </c>
      <c r="T22">
        <f>IF(G22="x",T21+1,0)</f>
        <v>0</v>
      </c>
      <c r="U22">
        <f>IF(H22="x",U21+1,0)</f>
        <v>0</v>
      </c>
      <c r="V22">
        <f>IF(I22="x",V21+1,0)</f>
        <v>0</v>
      </c>
      <c r="W22">
        <f>IF(J22="x",W21+1,0)</f>
        <v>0</v>
      </c>
      <c r="X22">
        <f>IF(K22="x",X21+1,0)</f>
        <v>0</v>
      </c>
      <c r="Y22">
        <f>IF(L22="x",Y21+1,0)</f>
        <v>0</v>
      </c>
      <c r="Z22">
        <f>IF(M22="x",Z21+1,0)</f>
        <v>0</v>
      </c>
    </row>
    <row r="23">
      <c r="B23" s="137">
        <f>IF(B22="","",IF(YEAR(B22+1)=Ano,B22+1,""))</f>
        <v>46029.0</v>
      </c>
      <c r="C23" s="128" t="str">
        <f>IF(B23="","",CHOOSE(WEEKDAY(B23),"Dom","Seg","Ter","Qua","Qui","Sex","Sáb"))</f>
        <v>Qua</v>
      </c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28">
        <f>IF(OR(B23="",B23&gt;Hoje),"",COUNTIF(D23:M23,"x"))</f>
        <v>0</v>
      </c>
      <c r="O23" s="133" t="str">
        <f>IF(OR(N23="",COUNTA($D$16:$M$16)=0),"",N23/COUNTA($D$16:$M$16))</f>
        <v/>
      </c>
      <c r="Q23">
        <f>IF(D23="x",Q22+1,0)</f>
        <v>0</v>
      </c>
      <c r="R23">
        <f>IF(E23="x",R22+1,0)</f>
        <v>0</v>
      </c>
      <c r="S23">
        <f>IF(F23="x",S22+1,0)</f>
        <v>0</v>
      </c>
      <c r="T23">
        <f>IF(G23="x",T22+1,0)</f>
        <v>0</v>
      </c>
      <c r="U23">
        <f>IF(H23="x",U22+1,0)</f>
        <v>0</v>
      </c>
      <c r="V23">
        <f>IF(I23="x",V22+1,0)</f>
        <v>0</v>
      </c>
      <c r="W23">
        <f>IF(J23="x",W22+1,0)</f>
        <v>0</v>
      </c>
      <c r="X23">
        <f>IF(K23="x",X22+1,0)</f>
        <v>0</v>
      </c>
      <c r="Y23">
        <f>IF(L23="x",Y22+1,0)</f>
        <v>0</v>
      </c>
      <c r="Z23">
        <f>IF(M23="x",Z22+1,0)</f>
        <v>0</v>
      </c>
    </row>
    <row r="24">
      <c r="B24" s="137">
        <f>IF(B23="","",IF(YEAR(B23+1)=Ano,B23+1,""))</f>
        <v>46030.0</v>
      </c>
      <c r="C24" s="128" t="str">
        <f>IF(B24="","",CHOOSE(WEEKDAY(B24),"Dom","Seg","Ter","Qua","Qui","Sex","Sáb"))</f>
        <v>Qui</v>
      </c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28">
        <f>IF(OR(B24="",B24&gt;Hoje),"",COUNTIF(D24:M24,"x"))</f>
        <v>0</v>
      </c>
      <c r="O24" s="133" t="str">
        <f>IF(OR(N24="",COUNTA($D$16:$M$16)=0),"",N24/COUNTA($D$16:$M$16))</f>
        <v/>
      </c>
      <c r="Q24">
        <f>IF(D24="x",Q23+1,0)</f>
        <v>0</v>
      </c>
      <c r="R24">
        <f>IF(E24="x",R23+1,0)</f>
        <v>0</v>
      </c>
      <c r="S24">
        <f>IF(F24="x",S23+1,0)</f>
        <v>0</v>
      </c>
      <c r="T24">
        <f>IF(G24="x",T23+1,0)</f>
        <v>0</v>
      </c>
      <c r="U24">
        <f>IF(H24="x",U23+1,0)</f>
        <v>0</v>
      </c>
      <c r="V24">
        <f>IF(I24="x",V23+1,0)</f>
        <v>0</v>
      </c>
      <c r="W24">
        <f>IF(J24="x",W23+1,0)</f>
        <v>0</v>
      </c>
      <c r="X24">
        <f>IF(K24="x",X23+1,0)</f>
        <v>0</v>
      </c>
      <c r="Y24">
        <f>IF(L24="x",Y23+1,0)</f>
        <v>0</v>
      </c>
      <c r="Z24">
        <f>IF(M24="x",Z23+1,0)</f>
        <v>0</v>
      </c>
    </row>
    <row r="25">
      <c r="B25" s="137">
        <f>IF(B24="","",IF(YEAR(B24+1)=Ano,B24+1,""))</f>
        <v>46031.0</v>
      </c>
      <c r="C25" s="128" t="str">
        <f>IF(B25="","",CHOOSE(WEEKDAY(B25),"Dom","Seg","Ter","Qua","Qui","Sex","Sáb"))</f>
        <v>Sex</v>
      </c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28">
        <f>IF(OR(B25="",B25&gt;Hoje),"",COUNTIF(D25:M25,"x"))</f>
        <v>0</v>
      </c>
      <c r="O25" s="133" t="str">
        <f>IF(OR(N25="",COUNTA($D$16:$M$16)=0),"",N25/COUNTA($D$16:$M$16))</f>
        <v/>
      </c>
      <c r="Q25">
        <f>IF(D25="x",Q24+1,0)</f>
        <v>0</v>
      </c>
      <c r="R25">
        <f>IF(E25="x",R24+1,0)</f>
        <v>0</v>
      </c>
      <c r="S25">
        <f>IF(F25="x",S24+1,0)</f>
        <v>0</v>
      </c>
      <c r="T25">
        <f>IF(G25="x",T24+1,0)</f>
        <v>0</v>
      </c>
      <c r="U25">
        <f>IF(H25="x",U24+1,0)</f>
        <v>0</v>
      </c>
      <c r="V25">
        <f>IF(I25="x",V24+1,0)</f>
        <v>0</v>
      </c>
      <c r="W25">
        <f>IF(J25="x",W24+1,0)</f>
        <v>0</v>
      </c>
      <c r="X25">
        <f>IF(K25="x",X24+1,0)</f>
        <v>0</v>
      </c>
      <c r="Y25">
        <f>IF(L25="x",Y24+1,0)</f>
        <v>0</v>
      </c>
      <c r="Z25">
        <f>IF(M25="x",Z24+1,0)</f>
        <v>0</v>
      </c>
    </row>
    <row r="26">
      <c r="B26" s="137">
        <f>IF(B25="","",IF(YEAR(B25+1)=Ano,B25+1,""))</f>
        <v>46032.0</v>
      </c>
      <c r="C26" s="128" t="str">
        <f>IF(B26="","",CHOOSE(WEEKDAY(B26),"Dom","Seg","Ter","Qua","Qui","Sex","Sáb"))</f>
        <v>Sáb</v>
      </c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28">
        <f>IF(OR(B26="",B26&gt;Hoje),"",COUNTIF(D26:M26,"x"))</f>
        <v>0</v>
      </c>
      <c r="O26" s="133" t="str">
        <f>IF(OR(N26="",COUNTA($D$16:$M$16)=0),"",N26/COUNTA($D$16:$M$16))</f>
        <v/>
      </c>
      <c r="Q26">
        <f>IF(D26="x",Q25+1,0)</f>
        <v>0</v>
      </c>
      <c r="R26">
        <f>IF(E26="x",R25+1,0)</f>
        <v>0</v>
      </c>
      <c r="S26">
        <f>IF(F26="x",S25+1,0)</f>
        <v>0</v>
      </c>
      <c r="T26">
        <f>IF(G26="x",T25+1,0)</f>
        <v>0</v>
      </c>
      <c r="U26">
        <f>IF(H26="x",U25+1,0)</f>
        <v>0</v>
      </c>
      <c r="V26">
        <f>IF(I26="x",V25+1,0)</f>
        <v>0</v>
      </c>
      <c r="W26">
        <f>IF(J26="x",W25+1,0)</f>
        <v>0</v>
      </c>
      <c r="X26">
        <f>IF(K26="x",X25+1,0)</f>
        <v>0</v>
      </c>
      <c r="Y26">
        <f>IF(L26="x",Y25+1,0)</f>
        <v>0</v>
      </c>
      <c r="Z26">
        <f>IF(M26="x",Z25+1,0)</f>
        <v>0</v>
      </c>
    </row>
    <row r="27">
      <c r="B27" s="137">
        <f>IF(B26="","",IF(YEAR(B26+1)=Ano,B26+1,""))</f>
        <v>46033.0</v>
      </c>
      <c r="C27" s="128" t="str">
        <f>IF(B27="","",CHOOSE(WEEKDAY(B27),"Dom","Seg","Ter","Qua","Qui","Sex","Sáb"))</f>
        <v>Dom</v>
      </c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28">
        <f>IF(OR(B27="",B27&gt;Hoje),"",COUNTIF(D27:M27,"x"))</f>
        <v>0</v>
      </c>
      <c r="O27" s="133" t="str">
        <f>IF(OR(N27="",COUNTA($D$16:$M$16)=0),"",N27/COUNTA($D$16:$M$16))</f>
        <v/>
      </c>
      <c r="Q27">
        <f>IF(D27="x",Q26+1,0)</f>
        <v>0</v>
      </c>
      <c r="R27">
        <f>IF(E27="x",R26+1,0)</f>
        <v>0</v>
      </c>
      <c r="S27">
        <f>IF(F27="x",S26+1,0)</f>
        <v>0</v>
      </c>
      <c r="T27">
        <f>IF(G27="x",T26+1,0)</f>
        <v>0</v>
      </c>
      <c r="U27">
        <f>IF(H27="x",U26+1,0)</f>
        <v>0</v>
      </c>
      <c r="V27">
        <f>IF(I27="x",V26+1,0)</f>
        <v>0</v>
      </c>
      <c r="W27">
        <f>IF(J27="x",W26+1,0)</f>
        <v>0</v>
      </c>
      <c r="X27">
        <f>IF(K27="x",X26+1,0)</f>
        <v>0</v>
      </c>
      <c r="Y27">
        <f>IF(L27="x",Y26+1,0)</f>
        <v>0</v>
      </c>
      <c r="Z27">
        <f>IF(M27="x",Z26+1,0)</f>
        <v>0</v>
      </c>
    </row>
    <row r="28">
      <c r="B28" s="137">
        <f>IF(B27="","",IF(YEAR(B27+1)=Ano,B27+1,""))</f>
        <v>46034.0</v>
      </c>
      <c r="C28" s="128" t="str">
        <f>IF(B28="","",CHOOSE(WEEKDAY(B28),"Dom","Seg","Ter","Qua","Qui","Sex","Sáb"))</f>
        <v>Seg</v>
      </c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28">
        <f>IF(OR(B28="",B28&gt;Hoje),"",COUNTIF(D28:M28,"x"))</f>
        <v>0</v>
      </c>
      <c r="O28" s="133" t="str">
        <f>IF(OR(N28="",COUNTA($D$16:$M$16)=0),"",N28/COUNTA($D$16:$M$16))</f>
        <v/>
      </c>
      <c r="Q28">
        <f>IF(D28="x",Q27+1,0)</f>
        <v>0</v>
      </c>
      <c r="R28">
        <f>IF(E28="x",R27+1,0)</f>
        <v>0</v>
      </c>
      <c r="S28">
        <f>IF(F28="x",S27+1,0)</f>
        <v>0</v>
      </c>
      <c r="T28">
        <f>IF(G28="x",T27+1,0)</f>
        <v>0</v>
      </c>
      <c r="U28">
        <f>IF(H28="x",U27+1,0)</f>
        <v>0</v>
      </c>
      <c r="V28">
        <f>IF(I28="x",V27+1,0)</f>
        <v>0</v>
      </c>
      <c r="W28">
        <f>IF(J28="x",W27+1,0)</f>
        <v>0</v>
      </c>
      <c r="X28">
        <f>IF(K28="x",X27+1,0)</f>
        <v>0</v>
      </c>
      <c r="Y28">
        <f>IF(L28="x",Y27+1,0)</f>
        <v>0</v>
      </c>
      <c r="Z28">
        <f>IF(M28="x",Z27+1,0)</f>
        <v>0</v>
      </c>
    </row>
    <row r="29">
      <c r="B29" s="137">
        <f>IF(B28="","",IF(YEAR(B28+1)=Ano,B28+1,""))</f>
        <v>46035.0</v>
      </c>
      <c r="C29" s="128" t="str">
        <f>IF(B29="","",CHOOSE(WEEKDAY(B29),"Dom","Seg","Ter","Qua","Qui","Sex","Sáb"))</f>
        <v>Ter</v>
      </c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28">
        <f>IF(OR(B29="",B29&gt;Hoje),"",COUNTIF(D29:M29,"x"))</f>
        <v>0</v>
      </c>
      <c r="O29" s="133" t="str">
        <f>IF(OR(N29="",COUNTA($D$16:$M$16)=0),"",N29/COUNTA($D$16:$M$16))</f>
        <v/>
      </c>
      <c r="Q29">
        <f>IF(D29="x",Q28+1,0)</f>
        <v>0</v>
      </c>
      <c r="R29">
        <f>IF(E29="x",R28+1,0)</f>
        <v>0</v>
      </c>
      <c r="S29">
        <f>IF(F29="x",S28+1,0)</f>
        <v>0</v>
      </c>
      <c r="T29">
        <f>IF(G29="x",T28+1,0)</f>
        <v>0</v>
      </c>
      <c r="U29">
        <f>IF(H29="x",U28+1,0)</f>
        <v>0</v>
      </c>
      <c r="V29">
        <f>IF(I29="x",V28+1,0)</f>
        <v>0</v>
      </c>
      <c r="W29">
        <f>IF(J29="x",W28+1,0)</f>
        <v>0</v>
      </c>
      <c r="X29">
        <f>IF(K29="x",X28+1,0)</f>
        <v>0</v>
      </c>
      <c r="Y29">
        <f>IF(L29="x",Y28+1,0)</f>
        <v>0</v>
      </c>
      <c r="Z29">
        <f>IF(M29="x",Z28+1,0)</f>
        <v>0</v>
      </c>
    </row>
    <row r="30">
      <c r="B30" s="137">
        <f>IF(B29="","",IF(YEAR(B29+1)=Ano,B29+1,""))</f>
        <v>46036.0</v>
      </c>
      <c r="C30" s="128" t="str">
        <f>IF(B30="","",CHOOSE(WEEKDAY(B30),"Dom","Seg","Ter","Qua","Qui","Sex","Sáb"))</f>
        <v>Qua</v>
      </c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28">
        <f>IF(OR(B30="",B30&gt;Hoje),"",COUNTIF(D30:M30,"x"))</f>
        <v>0</v>
      </c>
      <c r="O30" s="133" t="str">
        <f>IF(OR(N30="",COUNTA($D$16:$M$16)=0),"",N30/COUNTA($D$16:$M$16))</f>
        <v/>
      </c>
      <c r="Q30">
        <f>IF(D30="x",Q29+1,0)</f>
        <v>0</v>
      </c>
      <c r="R30">
        <f>IF(E30="x",R29+1,0)</f>
        <v>0</v>
      </c>
      <c r="S30">
        <f>IF(F30="x",S29+1,0)</f>
        <v>0</v>
      </c>
      <c r="T30">
        <f>IF(G30="x",T29+1,0)</f>
        <v>0</v>
      </c>
      <c r="U30">
        <f>IF(H30="x",U29+1,0)</f>
        <v>0</v>
      </c>
      <c r="V30">
        <f>IF(I30="x",V29+1,0)</f>
        <v>0</v>
      </c>
      <c r="W30">
        <f>IF(J30="x",W29+1,0)</f>
        <v>0</v>
      </c>
      <c r="X30">
        <f>IF(K30="x",X29+1,0)</f>
        <v>0</v>
      </c>
      <c r="Y30">
        <f>IF(L30="x",Y29+1,0)</f>
        <v>0</v>
      </c>
      <c r="Z30">
        <f>IF(M30="x",Z29+1,0)</f>
        <v>0</v>
      </c>
    </row>
    <row r="31">
      <c r="B31" s="137">
        <f>IF(B30="","",IF(YEAR(B30+1)=Ano,B30+1,""))</f>
        <v>46037.0</v>
      </c>
      <c r="C31" s="128" t="str">
        <f>IF(B31="","",CHOOSE(WEEKDAY(B31),"Dom","Seg","Ter","Qua","Qui","Sex","Sáb"))</f>
        <v>Qui</v>
      </c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28">
        <f>IF(OR(B31="",B31&gt;Hoje),"",COUNTIF(D31:M31,"x"))</f>
        <v>0</v>
      </c>
      <c r="O31" s="133" t="str">
        <f>IF(OR(N31="",COUNTA($D$16:$M$16)=0),"",N31/COUNTA($D$16:$M$16))</f>
        <v/>
      </c>
      <c r="Q31">
        <f>IF(D31="x",Q30+1,0)</f>
        <v>0</v>
      </c>
      <c r="R31">
        <f>IF(E31="x",R30+1,0)</f>
        <v>0</v>
      </c>
      <c r="S31">
        <f>IF(F31="x",S30+1,0)</f>
        <v>0</v>
      </c>
      <c r="T31">
        <f>IF(G31="x",T30+1,0)</f>
        <v>0</v>
      </c>
      <c r="U31">
        <f>IF(H31="x",U30+1,0)</f>
        <v>0</v>
      </c>
      <c r="V31">
        <f>IF(I31="x",V30+1,0)</f>
        <v>0</v>
      </c>
      <c r="W31">
        <f>IF(J31="x",W30+1,0)</f>
        <v>0</v>
      </c>
      <c r="X31">
        <f>IF(K31="x",X30+1,0)</f>
        <v>0</v>
      </c>
      <c r="Y31">
        <f>IF(L31="x",Y30+1,0)</f>
        <v>0</v>
      </c>
      <c r="Z31">
        <f>IF(M31="x",Z30+1,0)</f>
        <v>0</v>
      </c>
    </row>
    <row r="32">
      <c r="B32" s="137">
        <f>IF(B31="","",IF(YEAR(B31+1)=Ano,B31+1,""))</f>
        <v>46038.0</v>
      </c>
      <c r="C32" s="128" t="str">
        <f>IF(B32="","",CHOOSE(WEEKDAY(B32),"Dom","Seg","Ter","Qua","Qui","Sex","Sáb"))</f>
        <v>Sex</v>
      </c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28">
        <f>IF(OR(B32="",B32&gt;Hoje),"",COUNTIF(D32:M32,"x"))</f>
        <v>0</v>
      </c>
      <c r="O32" s="133" t="str">
        <f>IF(OR(N32="",COUNTA($D$16:$M$16)=0),"",N32/COUNTA($D$16:$M$16))</f>
        <v/>
      </c>
      <c r="Q32">
        <f>IF(D32="x",Q31+1,0)</f>
        <v>0</v>
      </c>
      <c r="R32">
        <f>IF(E32="x",R31+1,0)</f>
        <v>0</v>
      </c>
      <c r="S32">
        <f>IF(F32="x",S31+1,0)</f>
        <v>0</v>
      </c>
      <c r="T32">
        <f>IF(G32="x",T31+1,0)</f>
        <v>0</v>
      </c>
      <c r="U32">
        <f>IF(H32="x",U31+1,0)</f>
        <v>0</v>
      </c>
      <c r="V32">
        <f>IF(I32="x",V31+1,0)</f>
        <v>0</v>
      </c>
      <c r="W32">
        <f>IF(J32="x",W31+1,0)</f>
        <v>0</v>
      </c>
      <c r="X32">
        <f>IF(K32="x",X31+1,0)</f>
        <v>0</v>
      </c>
      <c r="Y32">
        <f>IF(L32="x",Y31+1,0)</f>
        <v>0</v>
      </c>
      <c r="Z32">
        <f>IF(M32="x",Z31+1,0)</f>
        <v>0</v>
      </c>
    </row>
    <row r="33">
      <c r="B33" s="137">
        <f>IF(B32="","",IF(YEAR(B32+1)=Ano,B32+1,""))</f>
        <v>46039.0</v>
      </c>
      <c r="C33" s="128" t="str">
        <f>IF(B33="","",CHOOSE(WEEKDAY(B33),"Dom","Seg","Ter","Qua","Qui","Sex","Sáb"))</f>
        <v>Sáb</v>
      </c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28">
        <f>IF(OR(B33="",B33&gt;Hoje),"",COUNTIF(D33:M33,"x"))</f>
        <v>0</v>
      </c>
      <c r="O33" s="133" t="str">
        <f>IF(OR(N33="",COUNTA($D$16:$M$16)=0),"",N33/COUNTA($D$16:$M$16))</f>
        <v/>
      </c>
      <c r="Q33">
        <f>IF(D33="x",Q32+1,0)</f>
        <v>0</v>
      </c>
      <c r="R33">
        <f>IF(E33="x",R32+1,0)</f>
        <v>0</v>
      </c>
      <c r="S33">
        <f>IF(F33="x",S32+1,0)</f>
        <v>0</v>
      </c>
      <c r="T33">
        <f>IF(G33="x",T32+1,0)</f>
        <v>0</v>
      </c>
      <c r="U33">
        <f>IF(H33="x",U32+1,0)</f>
        <v>0</v>
      </c>
      <c r="V33">
        <f>IF(I33="x",V32+1,0)</f>
        <v>0</v>
      </c>
      <c r="W33">
        <f>IF(J33="x",W32+1,0)</f>
        <v>0</v>
      </c>
      <c r="X33">
        <f>IF(K33="x",X32+1,0)</f>
        <v>0</v>
      </c>
      <c r="Y33">
        <f>IF(L33="x",Y32+1,0)</f>
        <v>0</v>
      </c>
      <c r="Z33">
        <f>IF(M33="x",Z32+1,0)</f>
        <v>0</v>
      </c>
    </row>
    <row r="34">
      <c r="B34" s="137">
        <f>IF(B33="","",IF(YEAR(B33+1)=Ano,B33+1,""))</f>
        <v>46040.0</v>
      </c>
      <c r="C34" s="128" t="str">
        <f>IF(B34="","",CHOOSE(WEEKDAY(B34),"Dom","Seg","Ter","Qua","Qui","Sex","Sáb"))</f>
        <v>Dom</v>
      </c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28">
        <f>IF(OR(B34="",B34&gt;Hoje),"",COUNTIF(D34:M34,"x"))</f>
        <v>0</v>
      </c>
      <c r="O34" s="133" t="str">
        <f>IF(OR(N34="",COUNTA($D$16:$M$16)=0),"",N34/COUNTA($D$16:$M$16))</f>
        <v/>
      </c>
      <c r="Q34">
        <f>IF(D34="x",Q33+1,0)</f>
        <v>0</v>
      </c>
      <c r="R34">
        <f>IF(E34="x",R33+1,0)</f>
        <v>0</v>
      </c>
      <c r="S34">
        <f>IF(F34="x",S33+1,0)</f>
        <v>0</v>
      </c>
      <c r="T34">
        <f>IF(G34="x",T33+1,0)</f>
        <v>0</v>
      </c>
      <c r="U34">
        <f>IF(H34="x",U33+1,0)</f>
        <v>0</v>
      </c>
      <c r="V34">
        <f>IF(I34="x",V33+1,0)</f>
        <v>0</v>
      </c>
      <c r="W34">
        <f>IF(J34="x",W33+1,0)</f>
        <v>0</v>
      </c>
      <c r="X34">
        <f>IF(K34="x",X33+1,0)</f>
        <v>0</v>
      </c>
      <c r="Y34">
        <f>IF(L34="x",Y33+1,0)</f>
        <v>0</v>
      </c>
      <c r="Z34">
        <f>IF(M34="x",Z33+1,0)</f>
        <v>0</v>
      </c>
    </row>
    <row r="35">
      <c r="B35" s="137">
        <f>IF(B34="","",IF(YEAR(B34+1)=Ano,B34+1,""))</f>
        <v>46041.0</v>
      </c>
      <c r="C35" s="128" t="str">
        <f>IF(B35="","",CHOOSE(WEEKDAY(B35),"Dom","Seg","Ter","Qua","Qui","Sex","Sáb"))</f>
        <v>Seg</v>
      </c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28">
        <f>IF(OR(B35="",B35&gt;Hoje),"",COUNTIF(D35:M35,"x"))</f>
        <v>0</v>
      </c>
      <c r="O35" s="133" t="str">
        <f>IF(OR(N35="",COUNTA($D$16:$M$16)=0),"",N35/COUNTA($D$16:$M$16))</f>
        <v/>
      </c>
      <c r="Q35">
        <f>IF(D35="x",Q34+1,0)</f>
        <v>0</v>
      </c>
      <c r="R35">
        <f>IF(E35="x",R34+1,0)</f>
        <v>0</v>
      </c>
      <c r="S35">
        <f>IF(F35="x",S34+1,0)</f>
        <v>0</v>
      </c>
      <c r="T35">
        <f>IF(G35="x",T34+1,0)</f>
        <v>0</v>
      </c>
      <c r="U35">
        <f>IF(H35="x",U34+1,0)</f>
        <v>0</v>
      </c>
      <c r="V35">
        <f>IF(I35="x",V34+1,0)</f>
        <v>0</v>
      </c>
      <c r="W35">
        <f>IF(J35="x",W34+1,0)</f>
        <v>0</v>
      </c>
      <c r="X35">
        <f>IF(K35="x",X34+1,0)</f>
        <v>0</v>
      </c>
      <c r="Y35">
        <f>IF(L35="x",Y34+1,0)</f>
        <v>0</v>
      </c>
      <c r="Z35">
        <f>IF(M35="x",Z34+1,0)</f>
        <v>0</v>
      </c>
    </row>
    <row r="36">
      <c r="B36" s="137">
        <f>IF(B35="","",IF(YEAR(B35+1)=Ano,B35+1,""))</f>
        <v>46042.0</v>
      </c>
      <c r="C36" s="128" t="str">
        <f>IF(B36="","",CHOOSE(WEEKDAY(B36),"Dom","Seg","Ter","Qua","Qui","Sex","Sáb"))</f>
        <v>Ter</v>
      </c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28">
        <f>IF(OR(B36="",B36&gt;Hoje),"",COUNTIF(D36:M36,"x"))</f>
        <v>0</v>
      </c>
      <c r="O36" s="133" t="str">
        <f>IF(OR(N36="",COUNTA($D$16:$M$16)=0),"",N36/COUNTA($D$16:$M$16))</f>
        <v/>
      </c>
      <c r="Q36">
        <f>IF(D36="x",Q35+1,0)</f>
        <v>0</v>
      </c>
      <c r="R36">
        <f>IF(E36="x",R35+1,0)</f>
        <v>0</v>
      </c>
      <c r="S36">
        <f>IF(F36="x",S35+1,0)</f>
        <v>0</v>
      </c>
      <c r="T36">
        <f>IF(G36="x",T35+1,0)</f>
        <v>0</v>
      </c>
      <c r="U36">
        <f>IF(H36="x",U35+1,0)</f>
        <v>0</v>
      </c>
      <c r="V36">
        <f>IF(I36="x",V35+1,0)</f>
        <v>0</v>
      </c>
      <c r="W36">
        <f>IF(J36="x",W35+1,0)</f>
        <v>0</v>
      </c>
      <c r="X36">
        <f>IF(K36="x",X35+1,0)</f>
        <v>0</v>
      </c>
      <c r="Y36">
        <f>IF(L36="x",Y35+1,0)</f>
        <v>0</v>
      </c>
      <c r="Z36">
        <f>IF(M36="x",Z35+1,0)</f>
        <v>0</v>
      </c>
    </row>
    <row r="37">
      <c r="B37" s="137">
        <f>IF(B36="","",IF(YEAR(B36+1)=Ano,B36+1,""))</f>
        <v>46043.0</v>
      </c>
      <c r="C37" s="128" t="str">
        <f>IF(B37="","",CHOOSE(WEEKDAY(B37),"Dom","Seg","Ter","Qua","Qui","Sex","Sáb"))</f>
        <v>Qua</v>
      </c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28">
        <f>IF(OR(B37="",B37&gt;Hoje),"",COUNTIF(D37:M37,"x"))</f>
        <v>0</v>
      </c>
      <c r="O37" s="133" t="str">
        <f>IF(OR(N37="",COUNTA($D$16:$M$16)=0),"",N37/COUNTA($D$16:$M$16))</f>
        <v/>
      </c>
      <c r="Q37">
        <f>IF(D37="x",Q36+1,0)</f>
        <v>0</v>
      </c>
      <c r="R37">
        <f>IF(E37="x",R36+1,0)</f>
        <v>0</v>
      </c>
      <c r="S37">
        <f>IF(F37="x",S36+1,0)</f>
        <v>0</v>
      </c>
      <c r="T37">
        <f>IF(G37="x",T36+1,0)</f>
        <v>0</v>
      </c>
      <c r="U37">
        <f>IF(H37="x",U36+1,0)</f>
        <v>0</v>
      </c>
      <c r="V37">
        <f>IF(I37="x",V36+1,0)</f>
        <v>0</v>
      </c>
      <c r="W37">
        <f>IF(J37="x",W36+1,0)</f>
        <v>0</v>
      </c>
      <c r="X37">
        <f>IF(K37="x",X36+1,0)</f>
        <v>0</v>
      </c>
      <c r="Y37">
        <f>IF(L37="x",Y36+1,0)</f>
        <v>0</v>
      </c>
      <c r="Z37">
        <f>IF(M37="x",Z36+1,0)</f>
        <v>0</v>
      </c>
    </row>
    <row r="38">
      <c r="B38" s="137">
        <f>IF(B37="","",IF(YEAR(B37+1)=Ano,B37+1,""))</f>
        <v>46044.0</v>
      </c>
      <c r="C38" s="128" t="str">
        <f>IF(B38="","",CHOOSE(WEEKDAY(B38),"Dom","Seg","Ter","Qua","Qui","Sex","Sáb"))</f>
        <v>Qui</v>
      </c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28">
        <f>IF(OR(B38="",B38&gt;Hoje),"",COUNTIF(D38:M38,"x"))</f>
        <v>0</v>
      </c>
      <c r="O38" s="133" t="str">
        <f>IF(OR(N38="",COUNTA($D$16:$M$16)=0),"",N38/COUNTA($D$16:$M$16))</f>
        <v/>
      </c>
      <c r="Q38">
        <f>IF(D38="x",Q37+1,0)</f>
        <v>0</v>
      </c>
      <c r="R38">
        <f>IF(E38="x",R37+1,0)</f>
        <v>0</v>
      </c>
      <c r="S38">
        <f>IF(F38="x",S37+1,0)</f>
        <v>0</v>
      </c>
      <c r="T38">
        <f>IF(G38="x",T37+1,0)</f>
        <v>0</v>
      </c>
      <c r="U38">
        <f>IF(H38="x",U37+1,0)</f>
        <v>0</v>
      </c>
      <c r="V38">
        <f>IF(I38="x",V37+1,0)</f>
        <v>0</v>
      </c>
      <c r="W38">
        <f>IF(J38="x",W37+1,0)</f>
        <v>0</v>
      </c>
      <c r="X38">
        <f>IF(K38="x",X37+1,0)</f>
        <v>0</v>
      </c>
      <c r="Y38">
        <f>IF(L38="x",Y37+1,0)</f>
        <v>0</v>
      </c>
      <c r="Z38">
        <f>IF(M38="x",Z37+1,0)</f>
        <v>0</v>
      </c>
    </row>
    <row r="39">
      <c r="B39" s="137">
        <f>IF(B38="","",IF(YEAR(B38+1)=Ano,B38+1,""))</f>
        <v>46045.0</v>
      </c>
      <c r="C39" s="128" t="str">
        <f>IF(B39="","",CHOOSE(WEEKDAY(B39),"Dom","Seg","Ter","Qua","Qui","Sex","Sáb"))</f>
        <v>Sex</v>
      </c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28">
        <f>IF(OR(B39="",B39&gt;Hoje),"",COUNTIF(D39:M39,"x"))</f>
        <v>0</v>
      </c>
      <c r="O39" s="133" t="str">
        <f>IF(OR(N39="",COUNTA($D$16:$M$16)=0),"",N39/COUNTA($D$16:$M$16))</f>
        <v/>
      </c>
      <c r="Q39">
        <f>IF(D39="x",Q38+1,0)</f>
        <v>0</v>
      </c>
      <c r="R39">
        <f>IF(E39="x",R38+1,0)</f>
        <v>0</v>
      </c>
      <c r="S39">
        <f>IF(F39="x",S38+1,0)</f>
        <v>0</v>
      </c>
      <c r="T39">
        <f>IF(G39="x",T38+1,0)</f>
        <v>0</v>
      </c>
      <c r="U39">
        <f>IF(H39="x",U38+1,0)</f>
        <v>0</v>
      </c>
      <c r="V39">
        <f>IF(I39="x",V38+1,0)</f>
        <v>0</v>
      </c>
      <c r="W39">
        <f>IF(J39="x",W38+1,0)</f>
        <v>0</v>
      </c>
      <c r="X39">
        <f>IF(K39="x",X38+1,0)</f>
        <v>0</v>
      </c>
      <c r="Y39">
        <f>IF(L39="x",Y38+1,0)</f>
        <v>0</v>
      </c>
      <c r="Z39">
        <f>IF(M39="x",Z38+1,0)</f>
        <v>0</v>
      </c>
    </row>
    <row r="40">
      <c r="B40" s="137">
        <f>IF(B39="","",IF(YEAR(B39+1)=Ano,B39+1,""))</f>
        <v>46046.0</v>
      </c>
      <c r="C40" s="128" t="str">
        <f>IF(B40="","",CHOOSE(WEEKDAY(B40),"Dom","Seg","Ter","Qua","Qui","Sex","Sáb"))</f>
        <v>Sáb</v>
      </c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28">
        <f>IF(OR(B40="",B40&gt;Hoje),"",COUNTIF(D40:M40,"x"))</f>
        <v>0</v>
      </c>
      <c r="O40" s="133" t="str">
        <f>IF(OR(N40="",COUNTA($D$16:$M$16)=0),"",N40/COUNTA($D$16:$M$16))</f>
        <v/>
      </c>
      <c r="Q40">
        <f>IF(D40="x",Q39+1,0)</f>
        <v>0</v>
      </c>
      <c r="R40">
        <f>IF(E40="x",R39+1,0)</f>
        <v>0</v>
      </c>
      <c r="S40">
        <f>IF(F40="x",S39+1,0)</f>
        <v>0</v>
      </c>
      <c r="T40">
        <f>IF(G40="x",T39+1,0)</f>
        <v>0</v>
      </c>
      <c r="U40">
        <f>IF(H40="x",U39+1,0)</f>
        <v>0</v>
      </c>
      <c r="V40">
        <f>IF(I40="x",V39+1,0)</f>
        <v>0</v>
      </c>
      <c r="W40">
        <f>IF(J40="x",W39+1,0)</f>
        <v>0</v>
      </c>
      <c r="X40">
        <f>IF(K40="x",X39+1,0)</f>
        <v>0</v>
      </c>
      <c r="Y40">
        <f>IF(L40="x",Y39+1,0)</f>
        <v>0</v>
      </c>
      <c r="Z40">
        <f>IF(M40="x",Z39+1,0)</f>
        <v>0</v>
      </c>
    </row>
    <row r="41">
      <c r="B41" s="137">
        <f>IF(B40="","",IF(YEAR(B40+1)=Ano,B40+1,""))</f>
        <v>46047.0</v>
      </c>
      <c r="C41" s="128" t="str">
        <f>IF(B41="","",CHOOSE(WEEKDAY(B41),"Dom","Seg","Ter","Qua","Qui","Sex","Sáb"))</f>
        <v>Dom</v>
      </c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28">
        <f>IF(OR(B41="",B41&gt;Hoje),"",COUNTIF(D41:M41,"x"))</f>
        <v>0</v>
      </c>
      <c r="O41" s="133" t="str">
        <f>IF(OR(N41="",COUNTA($D$16:$M$16)=0),"",N41/COUNTA($D$16:$M$16))</f>
        <v/>
      </c>
      <c r="Q41">
        <f>IF(D41="x",Q40+1,0)</f>
        <v>0</v>
      </c>
      <c r="R41">
        <f>IF(E41="x",R40+1,0)</f>
        <v>0</v>
      </c>
      <c r="S41">
        <f>IF(F41="x",S40+1,0)</f>
        <v>0</v>
      </c>
      <c r="T41">
        <f>IF(G41="x",T40+1,0)</f>
        <v>0</v>
      </c>
      <c r="U41">
        <f>IF(H41="x",U40+1,0)</f>
        <v>0</v>
      </c>
      <c r="V41">
        <f>IF(I41="x",V40+1,0)</f>
        <v>0</v>
      </c>
      <c r="W41">
        <f>IF(J41="x",W40+1,0)</f>
        <v>0</v>
      </c>
      <c r="X41">
        <f>IF(K41="x",X40+1,0)</f>
        <v>0</v>
      </c>
      <c r="Y41">
        <f>IF(L41="x",Y40+1,0)</f>
        <v>0</v>
      </c>
      <c r="Z41">
        <f>IF(M41="x",Z40+1,0)</f>
        <v>0</v>
      </c>
    </row>
    <row r="42">
      <c r="B42" s="137">
        <f>IF(B41="","",IF(YEAR(B41+1)=Ano,B41+1,""))</f>
        <v>46048.0</v>
      </c>
      <c r="C42" s="128" t="str">
        <f>IF(B42="","",CHOOSE(WEEKDAY(B42),"Dom","Seg","Ter","Qua","Qui","Sex","Sáb"))</f>
        <v>Seg</v>
      </c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28">
        <f>IF(OR(B42="",B42&gt;Hoje),"",COUNTIF(D42:M42,"x"))</f>
        <v>0</v>
      </c>
      <c r="O42" s="133" t="str">
        <f>IF(OR(N42="",COUNTA($D$16:$M$16)=0),"",N42/COUNTA($D$16:$M$16))</f>
        <v/>
      </c>
      <c r="Q42">
        <f>IF(D42="x",Q41+1,0)</f>
        <v>0</v>
      </c>
      <c r="R42">
        <f>IF(E42="x",R41+1,0)</f>
        <v>0</v>
      </c>
      <c r="S42">
        <f>IF(F42="x",S41+1,0)</f>
        <v>0</v>
      </c>
      <c r="T42">
        <f>IF(G42="x",T41+1,0)</f>
        <v>0</v>
      </c>
      <c r="U42">
        <f>IF(H42="x",U41+1,0)</f>
        <v>0</v>
      </c>
      <c r="V42">
        <f>IF(I42="x",V41+1,0)</f>
        <v>0</v>
      </c>
      <c r="W42">
        <f>IF(J42="x",W41+1,0)</f>
        <v>0</v>
      </c>
      <c r="X42">
        <f>IF(K42="x",X41+1,0)</f>
        <v>0</v>
      </c>
      <c r="Y42">
        <f>IF(L42="x",Y41+1,0)</f>
        <v>0</v>
      </c>
      <c r="Z42">
        <f>IF(M42="x",Z41+1,0)</f>
        <v>0</v>
      </c>
    </row>
    <row r="43">
      <c r="B43" s="137">
        <f>IF(B42="","",IF(YEAR(B42+1)=Ano,B42+1,""))</f>
        <v>46049.0</v>
      </c>
      <c r="C43" s="128" t="str">
        <f>IF(B43="","",CHOOSE(WEEKDAY(B43),"Dom","Seg","Ter","Qua","Qui","Sex","Sáb"))</f>
        <v>Ter</v>
      </c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28">
        <f>IF(OR(B43="",B43&gt;Hoje),"",COUNTIF(D43:M43,"x"))</f>
        <v>0</v>
      </c>
      <c r="O43" s="133" t="str">
        <f>IF(OR(N43="",COUNTA($D$16:$M$16)=0),"",N43/COUNTA($D$16:$M$16))</f>
        <v/>
      </c>
      <c r="Q43">
        <f>IF(D43="x",Q42+1,0)</f>
        <v>0</v>
      </c>
      <c r="R43">
        <f>IF(E43="x",R42+1,0)</f>
        <v>0</v>
      </c>
      <c r="S43">
        <f>IF(F43="x",S42+1,0)</f>
        <v>0</v>
      </c>
      <c r="T43">
        <f>IF(G43="x",T42+1,0)</f>
        <v>0</v>
      </c>
      <c r="U43">
        <f>IF(H43="x",U42+1,0)</f>
        <v>0</v>
      </c>
      <c r="V43">
        <f>IF(I43="x",V42+1,0)</f>
        <v>0</v>
      </c>
      <c r="W43">
        <f>IF(J43="x",W42+1,0)</f>
        <v>0</v>
      </c>
      <c r="X43">
        <f>IF(K43="x",X42+1,0)</f>
        <v>0</v>
      </c>
      <c r="Y43">
        <f>IF(L43="x",Y42+1,0)</f>
        <v>0</v>
      </c>
      <c r="Z43">
        <f>IF(M43="x",Z42+1,0)</f>
        <v>0</v>
      </c>
    </row>
    <row r="44">
      <c r="B44" s="137">
        <f>IF(B43="","",IF(YEAR(B43+1)=Ano,B43+1,""))</f>
        <v>46050.0</v>
      </c>
      <c r="C44" s="128" t="str">
        <f>IF(B44="","",CHOOSE(WEEKDAY(B44),"Dom","Seg","Ter","Qua","Qui","Sex","Sáb"))</f>
        <v>Qua</v>
      </c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28">
        <f>IF(OR(B44="",B44&gt;Hoje),"",COUNTIF(D44:M44,"x"))</f>
        <v>0</v>
      </c>
      <c r="O44" s="133" t="str">
        <f>IF(OR(N44="",COUNTA($D$16:$M$16)=0),"",N44/COUNTA($D$16:$M$16))</f>
        <v/>
      </c>
      <c r="Q44">
        <f>IF(D44="x",Q43+1,0)</f>
        <v>0</v>
      </c>
      <c r="R44">
        <f>IF(E44="x",R43+1,0)</f>
        <v>0</v>
      </c>
      <c r="S44">
        <f>IF(F44="x",S43+1,0)</f>
        <v>0</v>
      </c>
      <c r="T44">
        <f>IF(G44="x",T43+1,0)</f>
        <v>0</v>
      </c>
      <c r="U44">
        <f>IF(H44="x",U43+1,0)</f>
        <v>0</v>
      </c>
      <c r="V44">
        <f>IF(I44="x",V43+1,0)</f>
        <v>0</v>
      </c>
      <c r="W44">
        <f>IF(J44="x",W43+1,0)</f>
        <v>0</v>
      </c>
      <c r="X44">
        <f>IF(K44="x",X43+1,0)</f>
        <v>0</v>
      </c>
      <c r="Y44">
        <f>IF(L44="x",Y43+1,0)</f>
        <v>0</v>
      </c>
      <c r="Z44">
        <f>IF(M44="x",Z43+1,0)</f>
        <v>0</v>
      </c>
    </row>
    <row r="45">
      <c r="B45" s="137">
        <f>IF(B44="","",IF(YEAR(B44+1)=Ano,B44+1,""))</f>
        <v>46051.0</v>
      </c>
      <c r="C45" s="128" t="str">
        <f>IF(B45="","",CHOOSE(WEEKDAY(B45),"Dom","Seg","Ter","Qua","Qui","Sex","Sáb"))</f>
        <v>Qui</v>
      </c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28">
        <f>IF(OR(B45="",B45&gt;Hoje),"",COUNTIF(D45:M45,"x"))</f>
        <v>0</v>
      </c>
      <c r="O45" s="133" t="str">
        <f>IF(OR(N45="",COUNTA($D$16:$M$16)=0),"",N45/COUNTA($D$16:$M$16))</f>
        <v/>
      </c>
      <c r="Q45">
        <f>IF(D45="x",Q44+1,0)</f>
        <v>0</v>
      </c>
      <c r="R45">
        <f>IF(E45="x",R44+1,0)</f>
        <v>0</v>
      </c>
      <c r="S45">
        <f>IF(F45="x",S44+1,0)</f>
        <v>0</v>
      </c>
      <c r="T45">
        <f>IF(G45="x",T44+1,0)</f>
        <v>0</v>
      </c>
      <c r="U45">
        <f>IF(H45="x",U44+1,0)</f>
        <v>0</v>
      </c>
      <c r="V45">
        <f>IF(I45="x",V44+1,0)</f>
        <v>0</v>
      </c>
      <c r="W45">
        <f>IF(J45="x",W44+1,0)</f>
        <v>0</v>
      </c>
      <c r="X45">
        <f>IF(K45="x",X44+1,0)</f>
        <v>0</v>
      </c>
      <c r="Y45">
        <f>IF(L45="x",Y44+1,0)</f>
        <v>0</v>
      </c>
      <c r="Z45">
        <f>IF(M45="x",Z44+1,0)</f>
        <v>0</v>
      </c>
    </row>
    <row r="46">
      <c r="B46" s="137">
        <f>IF(B45="","",IF(YEAR(B45+1)=Ano,B45+1,""))</f>
        <v>46052.0</v>
      </c>
      <c r="C46" s="128" t="str">
        <f>IF(B46="","",CHOOSE(WEEKDAY(B46),"Dom","Seg","Ter","Qua","Qui","Sex","Sáb"))</f>
        <v>Sex</v>
      </c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28">
        <f>IF(OR(B46="",B46&gt;Hoje),"",COUNTIF(D46:M46,"x"))</f>
        <v>0</v>
      </c>
      <c r="O46" s="133" t="str">
        <f>IF(OR(N46="",COUNTA($D$16:$M$16)=0),"",N46/COUNTA($D$16:$M$16))</f>
        <v/>
      </c>
      <c r="Q46">
        <f>IF(D46="x",Q45+1,0)</f>
        <v>0</v>
      </c>
      <c r="R46">
        <f>IF(E46="x",R45+1,0)</f>
        <v>0</v>
      </c>
      <c r="S46">
        <f>IF(F46="x",S45+1,0)</f>
        <v>0</v>
      </c>
      <c r="T46">
        <f>IF(G46="x",T45+1,0)</f>
        <v>0</v>
      </c>
      <c r="U46">
        <f>IF(H46="x",U45+1,0)</f>
        <v>0</v>
      </c>
      <c r="V46">
        <f>IF(I46="x",V45+1,0)</f>
        <v>0</v>
      </c>
      <c r="W46">
        <f>IF(J46="x",W45+1,0)</f>
        <v>0</v>
      </c>
      <c r="X46">
        <f>IF(K46="x",X45+1,0)</f>
        <v>0</v>
      </c>
      <c r="Y46">
        <f>IF(L46="x",Y45+1,0)</f>
        <v>0</v>
      </c>
      <c r="Z46">
        <f>IF(M46="x",Z45+1,0)</f>
        <v>0</v>
      </c>
    </row>
    <row r="47">
      <c r="B47" s="137">
        <f>IF(B46="","",IF(YEAR(B46+1)=Ano,B46+1,""))</f>
        <v>46053.0</v>
      </c>
      <c r="C47" s="128" t="str">
        <f>IF(B47="","",CHOOSE(WEEKDAY(B47),"Dom","Seg","Ter","Qua","Qui","Sex","Sáb"))</f>
        <v>Sáb</v>
      </c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28">
        <f>IF(OR(B47="",B47&gt;Hoje),"",COUNTIF(D47:M47,"x"))</f>
        <v>0</v>
      </c>
      <c r="O47" s="133" t="str">
        <f>IF(OR(N47="",COUNTA($D$16:$M$16)=0),"",N47/COUNTA($D$16:$M$16))</f>
        <v/>
      </c>
      <c r="Q47">
        <f>IF(D47="x",Q46+1,0)</f>
        <v>0</v>
      </c>
      <c r="R47">
        <f>IF(E47="x",R46+1,0)</f>
        <v>0</v>
      </c>
      <c r="S47">
        <f>IF(F47="x",S46+1,0)</f>
        <v>0</v>
      </c>
      <c r="T47">
        <f>IF(G47="x",T46+1,0)</f>
        <v>0</v>
      </c>
      <c r="U47">
        <f>IF(H47="x",U46+1,0)</f>
        <v>0</v>
      </c>
      <c r="V47">
        <f>IF(I47="x",V46+1,0)</f>
        <v>0</v>
      </c>
      <c r="W47">
        <f>IF(J47="x",W46+1,0)</f>
        <v>0</v>
      </c>
      <c r="X47">
        <f>IF(K47="x",X46+1,0)</f>
        <v>0</v>
      </c>
      <c r="Y47">
        <f>IF(L47="x",Y46+1,0)</f>
        <v>0</v>
      </c>
      <c r="Z47">
        <f>IF(M47="x",Z46+1,0)</f>
        <v>0</v>
      </c>
    </row>
    <row r="48">
      <c r="B48" s="137">
        <f>IF(B47="","",IF(YEAR(B47+1)=Ano,B47+1,""))</f>
        <v>46054.0</v>
      </c>
      <c r="C48" s="128" t="str">
        <f>IF(B48="","",CHOOSE(WEEKDAY(B48),"Dom","Seg","Ter","Qua","Qui","Sex","Sáb"))</f>
        <v>Dom</v>
      </c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28">
        <f>IF(OR(B48="",B48&gt;Hoje),"",COUNTIF(D48:M48,"x"))</f>
        <v>0</v>
      </c>
      <c r="O48" s="133" t="str">
        <f>IF(OR(N48="",COUNTA($D$16:$M$16)=0),"",N48/COUNTA($D$16:$M$16))</f>
        <v/>
      </c>
      <c r="Q48">
        <f>IF(D48="x",Q47+1,0)</f>
        <v>0</v>
      </c>
      <c r="R48">
        <f>IF(E48="x",R47+1,0)</f>
        <v>0</v>
      </c>
      <c r="S48">
        <f>IF(F48="x",S47+1,0)</f>
        <v>0</v>
      </c>
      <c r="T48">
        <f>IF(G48="x",T47+1,0)</f>
        <v>0</v>
      </c>
      <c r="U48">
        <f>IF(H48="x",U47+1,0)</f>
        <v>0</v>
      </c>
      <c r="V48">
        <f>IF(I48="x",V47+1,0)</f>
        <v>0</v>
      </c>
      <c r="W48">
        <f>IF(J48="x",W47+1,0)</f>
        <v>0</v>
      </c>
      <c r="X48">
        <f>IF(K48="x",X47+1,0)</f>
        <v>0</v>
      </c>
      <c r="Y48">
        <f>IF(L48="x",Y47+1,0)</f>
        <v>0</v>
      </c>
      <c r="Z48">
        <f>IF(M48="x",Z47+1,0)</f>
        <v>0</v>
      </c>
    </row>
    <row r="49">
      <c r="B49" s="137">
        <f>IF(B48="","",IF(YEAR(B48+1)=Ano,B48+1,""))</f>
        <v>46055.0</v>
      </c>
      <c r="C49" s="128" t="str">
        <f>IF(B49="","",CHOOSE(WEEKDAY(B49),"Dom","Seg","Ter","Qua","Qui","Sex","Sáb"))</f>
        <v>Seg</v>
      </c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28">
        <f>IF(OR(B49="",B49&gt;Hoje),"",COUNTIF(D49:M49,"x"))</f>
        <v>0</v>
      </c>
      <c r="O49" s="133" t="str">
        <f>IF(OR(N49="",COUNTA($D$16:$M$16)=0),"",N49/COUNTA($D$16:$M$16))</f>
        <v/>
      </c>
      <c r="Q49">
        <f>IF(D49="x",Q48+1,0)</f>
        <v>0</v>
      </c>
      <c r="R49">
        <f>IF(E49="x",R48+1,0)</f>
        <v>0</v>
      </c>
      <c r="S49">
        <f>IF(F49="x",S48+1,0)</f>
        <v>0</v>
      </c>
      <c r="T49">
        <f>IF(G49="x",T48+1,0)</f>
        <v>0</v>
      </c>
      <c r="U49">
        <f>IF(H49="x",U48+1,0)</f>
        <v>0</v>
      </c>
      <c r="V49">
        <f>IF(I49="x",V48+1,0)</f>
        <v>0</v>
      </c>
      <c r="W49">
        <f>IF(J49="x",W48+1,0)</f>
        <v>0</v>
      </c>
      <c r="X49">
        <f>IF(K49="x",X48+1,0)</f>
        <v>0</v>
      </c>
      <c r="Y49">
        <f>IF(L49="x",Y48+1,0)</f>
        <v>0</v>
      </c>
      <c r="Z49">
        <f>IF(M49="x",Z48+1,0)</f>
        <v>0</v>
      </c>
    </row>
    <row r="50">
      <c r="B50" s="137">
        <f>IF(B49="","",IF(YEAR(B49+1)=Ano,B49+1,""))</f>
        <v>46056.0</v>
      </c>
      <c r="C50" s="128" t="str">
        <f>IF(B50="","",CHOOSE(WEEKDAY(B50),"Dom","Seg","Ter","Qua","Qui","Sex","Sáb"))</f>
        <v>Ter</v>
      </c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28">
        <f>IF(OR(B50="",B50&gt;Hoje),"",COUNTIF(D50:M50,"x"))</f>
        <v>0</v>
      </c>
      <c r="O50" s="133" t="str">
        <f>IF(OR(N50="",COUNTA($D$16:$M$16)=0),"",N50/COUNTA($D$16:$M$16))</f>
        <v/>
      </c>
      <c r="Q50">
        <f>IF(D50="x",Q49+1,0)</f>
        <v>0</v>
      </c>
      <c r="R50">
        <f>IF(E50="x",R49+1,0)</f>
        <v>0</v>
      </c>
      <c r="S50">
        <f>IF(F50="x",S49+1,0)</f>
        <v>0</v>
      </c>
      <c r="T50">
        <f>IF(G50="x",T49+1,0)</f>
        <v>0</v>
      </c>
      <c r="U50">
        <f>IF(H50="x",U49+1,0)</f>
        <v>0</v>
      </c>
      <c r="V50">
        <f>IF(I50="x",V49+1,0)</f>
        <v>0</v>
      </c>
      <c r="W50">
        <f>IF(J50="x",W49+1,0)</f>
        <v>0</v>
      </c>
      <c r="X50">
        <f>IF(K50="x",X49+1,0)</f>
        <v>0</v>
      </c>
      <c r="Y50">
        <f>IF(L50="x",Y49+1,0)</f>
        <v>0</v>
      </c>
      <c r="Z50">
        <f>IF(M50="x",Z49+1,0)</f>
        <v>0</v>
      </c>
    </row>
    <row r="51">
      <c r="B51" s="137">
        <f>IF(B50="","",IF(YEAR(B50+1)=Ano,B50+1,""))</f>
        <v>46057.0</v>
      </c>
      <c r="C51" s="128" t="str">
        <f>IF(B51="","",CHOOSE(WEEKDAY(B51),"Dom","Seg","Ter","Qua","Qui","Sex","Sáb"))</f>
        <v>Qua</v>
      </c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28">
        <f>IF(OR(B51="",B51&gt;Hoje),"",COUNTIF(D51:M51,"x"))</f>
        <v>0</v>
      </c>
      <c r="O51" s="133" t="str">
        <f>IF(OR(N51="",COUNTA($D$16:$M$16)=0),"",N51/COUNTA($D$16:$M$16))</f>
        <v/>
      </c>
      <c r="Q51">
        <f>IF(D51="x",Q50+1,0)</f>
        <v>0</v>
      </c>
      <c r="R51">
        <f>IF(E51="x",R50+1,0)</f>
        <v>0</v>
      </c>
      <c r="S51">
        <f>IF(F51="x",S50+1,0)</f>
        <v>0</v>
      </c>
      <c r="T51">
        <f>IF(G51="x",T50+1,0)</f>
        <v>0</v>
      </c>
      <c r="U51">
        <f>IF(H51="x",U50+1,0)</f>
        <v>0</v>
      </c>
      <c r="V51">
        <f>IF(I51="x",V50+1,0)</f>
        <v>0</v>
      </c>
      <c r="W51">
        <f>IF(J51="x",W50+1,0)</f>
        <v>0</v>
      </c>
      <c r="X51">
        <f>IF(K51="x",X50+1,0)</f>
        <v>0</v>
      </c>
      <c r="Y51">
        <f>IF(L51="x",Y50+1,0)</f>
        <v>0</v>
      </c>
      <c r="Z51">
        <f>IF(M51="x",Z50+1,0)</f>
        <v>0</v>
      </c>
    </row>
    <row r="52">
      <c r="B52" s="137">
        <f>IF(B51="","",IF(YEAR(B51+1)=Ano,B51+1,""))</f>
        <v>46058.0</v>
      </c>
      <c r="C52" s="128" t="str">
        <f>IF(B52="","",CHOOSE(WEEKDAY(B52),"Dom","Seg","Ter","Qua","Qui","Sex","Sáb"))</f>
        <v>Qui</v>
      </c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28">
        <f>IF(OR(B52="",B52&gt;Hoje),"",COUNTIF(D52:M52,"x"))</f>
        <v>0</v>
      </c>
      <c r="O52" s="133" t="str">
        <f>IF(OR(N52="",COUNTA($D$16:$M$16)=0),"",N52/COUNTA($D$16:$M$16))</f>
        <v/>
      </c>
      <c r="Q52">
        <f>IF(D52="x",Q51+1,0)</f>
        <v>0</v>
      </c>
      <c r="R52">
        <f>IF(E52="x",R51+1,0)</f>
        <v>0</v>
      </c>
      <c r="S52">
        <f>IF(F52="x",S51+1,0)</f>
        <v>0</v>
      </c>
      <c r="T52">
        <f>IF(G52="x",T51+1,0)</f>
        <v>0</v>
      </c>
      <c r="U52">
        <f>IF(H52="x",U51+1,0)</f>
        <v>0</v>
      </c>
      <c r="V52">
        <f>IF(I52="x",V51+1,0)</f>
        <v>0</v>
      </c>
      <c r="W52">
        <f>IF(J52="x",W51+1,0)</f>
        <v>0</v>
      </c>
      <c r="X52">
        <f>IF(K52="x",X51+1,0)</f>
        <v>0</v>
      </c>
      <c r="Y52">
        <f>IF(L52="x",Y51+1,0)</f>
        <v>0</v>
      </c>
      <c r="Z52">
        <f>IF(M52="x",Z51+1,0)</f>
        <v>0</v>
      </c>
    </row>
    <row r="53">
      <c r="B53" s="137">
        <f>IF(B52="","",IF(YEAR(B52+1)=Ano,B52+1,""))</f>
        <v>46059.0</v>
      </c>
      <c r="C53" s="128" t="str">
        <f>IF(B53="","",CHOOSE(WEEKDAY(B53),"Dom","Seg","Ter","Qua","Qui","Sex","Sáb"))</f>
        <v>Sex</v>
      </c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28">
        <f>IF(OR(B53="",B53&gt;Hoje),"",COUNTIF(D53:M53,"x"))</f>
        <v>0</v>
      </c>
      <c r="O53" s="133" t="str">
        <f>IF(OR(N53="",COUNTA($D$16:$M$16)=0),"",N53/COUNTA($D$16:$M$16))</f>
        <v/>
      </c>
      <c r="Q53">
        <f>IF(D53="x",Q52+1,0)</f>
        <v>0</v>
      </c>
      <c r="R53">
        <f>IF(E53="x",R52+1,0)</f>
        <v>0</v>
      </c>
      <c r="S53">
        <f>IF(F53="x",S52+1,0)</f>
        <v>0</v>
      </c>
      <c r="T53">
        <f>IF(G53="x",T52+1,0)</f>
        <v>0</v>
      </c>
      <c r="U53">
        <f>IF(H53="x",U52+1,0)</f>
        <v>0</v>
      </c>
      <c r="V53">
        <f>IF(I53="x",V52+1,0)</f>
        <v>0</v>
      </c>
      <c r="W53">
        <f>IF(J53="x",W52+1,0)</f>
        <v>0</v>
      </c>
      <c r="X53">
        <f>IF(K53="x",X52+1,0)</f>
        <v>0</v>
      </c>
      <c r="Y53">
        <f>IF(L53="x",Y52+1,0)</f>
        <v>0</v>
      </c>
      <c r="Z53">
        <f>IF(M53="x",Z52+1,0)</f>
        <v>0</v>
      </c>
    </row>
    <row r="54">
      <c r="B54" s="137">
        <f>IF(B53="","",IF(YEAR(B53+1)=Ano,B53+1,""))</f>
        <v>46060.0</v>
      </c>
      <c r="C54" s="128" t="str">
        <f>IF(B54="","",CHOOSE(WEEKDAY(B54),"Dom","Seg","Ter","Qua","Qui","Sex","Sáb"))</f>
        <v>Sáb</v>
      </c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28">
        <f>IF(OR(B54="",B54&gt;Hoje),"",COUNTIF(D54:M54,"x"))</f>
        <v>0</v>
      </c>
      <c r="O54" s="133" t="str">
        <f>IF(OR(N54="",COUNTA($D$16:$M$16)=0),"",N54/COUNTA($D$16:$M$16))</f>
        <v/>
      </c>
      <c r="Q54">
        <f>IF(D54="x",Q53+1,0)</f>
        <v>0</v>
      </c>
      <c r="R54">
        <f>IF(E54="x",R53+1,0)</f>
        <v>0</v>
      </c>
      <c r="S54">
        <f>IF(F54="x",S53+1,0)</f>
        <v>0</v>
      </c>
      <c r="T54">
        <f>IF(G54="x",T53+1,0)</f>
        <v>0</v>
      </c>
      <c r="U54">
        <f>IF(H54="x",U53+1,0)</f>
        <v>0</v>
      </c>
      <c r="V54">
        <f>IF(I54="x",V53+1,0)</f>
        <v>0</v>
      </c>
      <c r="W54">
        <f>IF(J54="x",W53+1,0)</f>
        <v>0</v>
      </c>
      <c r="X54">
        <f>IF(K54="x",X53+1,0)</f>
        <v>0</v>
      </c>
      <c r="Y54">
        <f>IF(L54="x",Y53+1,0)</f>
        <v>0</v>
      </c>
      <c r="Z54">
        <f>IF(M54="x",Z53+1,0)</f>
        <v>0</v>
      </c>
    </row>
    <row r="55">
      <c r="B55" s="137">
        <f>IF(B54="","",IF(YEAR(B54+1)=Ano,B54+1,""))</f>
        <v>46061.0</v>
      </c>
      <c r="C55" s="128" t="str">
        <f>IF(B55="","",CHOOSE(WEEKDAY(B55),"Dom","Seg","Ter","Qua","Qui","Sex","Sáb"))</f>
        <v>Dom</v>
      </c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28">
        <f>IF(OR(B55="",B55&gt;Hoje),"",COUNTIF(D55:M55,"x"))</f>
        <v>0</v>
      </c>
      <c r="O55" s="133" t="str">
        <f>IF(OR(N55="",COUNTA($D$16:$M$16)=0),"",N55/COUNTA($D$16:$M$16))</f>
        <v/>
      </c>
      <c r="Q55">
        <f>IF(D55="x",Q54+1,0)</f>
        <v>0</v>
      </c>
      <c r="R55">
        <f>IF(E55="x",R54+1,0)</f>
        <v>0</v>
      </c>
      <c r="S55">
        <f>IF(F55="x",S54+1,0)</f>
        <v>0</v>
      </c>
      <c r="T55">
        <f>IF(G55="x",T54+1,0)</f>
        <v>0</v>
      </c>
      <c r="U55">
        <f>IF(H55="x",U54+1,0)</f>
        <v>0</v>
      </c>
      <c r="V55">
        <f>IF(I55="x",V54+1,0)</f>
        <v>0</v>
      </c>
      <c r="W55">
        <f>IF(J55="x",W54+1,0)</f>
        <v>0</v>
      </c>
      <c r="X55">
        <f>IF(K55="x",X54+1,0)</f>
        <v>0</v>
      </c>
      <c r="Y55">
        <f>IF(L55="x",Y54+1,0)</f>
        <v>0</v>
      </c>
      <c r="Z55">
        <f>IF(M55="x",Z54+1,0)</f>
        <v>0</v>
      </c>
    </row>
    <row r="56">
      <c r="B56" s="137">
        <f>IF(B55="","",IF(YEAR(B55+1)=Ano,B55+1,""))</f>
        <v>46062.0</v>
      </c>
      <c r="C56" s="128" t="str">
        <f>IF(B56="","",CHOOSE(WEEKDAY(B56),"Dom","Seg","Ter","Qua","Qui","Sex","Sáb"))</f>
        <v>Seg</v>
      </c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28">
        <f>IF(OR(B56="",B56&gt;Hoje),"",COUNTIF(D56:M56,"x"))</f>
        <v>0</v>
      </c>
      <c r="O56" s="133" t="str">
        <f>IF(OR(N56="",COUNTA($D$16:$M$16)=0),"",N56/COUNTA($D$16:$M$16))</f>
        <v/>
      </c>
      <c r="Q56">
        <f>IF(D56="x",Q55+1,0)</f>
        <v>0</v>
      </c>
      <c r="R56">
        <f>IF(E56="x",R55+1,0)</f>
        <v>0</v>
      </c>
      <c r="S56">
        <f>IF(F56="x",S55+1,0)</f>
        <v>0</v>
      </c>
      <c r="T56">
        <f>IF(G56="x",T55+1,0)</f>
        <v>0</v>
      </c>
      <c r="U56">
        <f>IF(H56="x",U55+1,0)</f>
        <v>0</v>
      </c>
      <c r="V56">
        <f>IF(I56="x",V55+1,0)</f>
        <v>0</v>
      </c>
      <c r="W56">
        <f>IF(J56="x",W55+1,0)</f>
        <v>0</v>
      </c>
      <c r="X56">
        <f>IF(K56="x",X55+1,0)</f>
        <v>0</v>
      </c>
      <c r="Y56">
        <f>IF(L56="x",Y55+1,0)</f>
        <v>0</v>
      </c>
      <c r="Z56">
        <f>IF(M56="x",Z55+1,0)</f>
        <v>0</v>
      </c>
    </row>
    <row r="57">
      <c r="B57" s="137">
        <f>IF(B56="","",IF(YEAR(B56+1)=Ano,B56+1,""))</f>
        <v>46063.0</v>
      </c>
      <c r="C57" s="128" t="str">
        <f>IF(B57="","",CHOOSE(WEEKDAY(B57),"Dom","Seg","Ter","Qua","Qui","Sex","Sáb"))</f>
        <v>Ter</v>
      </c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28">
        <f>IF(OR(B57="",B57&gt;Hoje),"",COUNTIF(D57:M57,"x"))</f>
        <v>0</v>
      </c>
      <c r="O57" s="133" t="str">
        <f>IF(OR(N57="",COUNTA($D$16:$M$16)=0),"",N57/COUNTA($D$16:$M$16))</f>
        <v/>
      </c>
      <c r="Q57">
        <f>IF(D57="x",Q56+1,0)</f>
        <v>0</v>
      </c>
      <c r="R57">
        <f>IF(E57="x",R56+1,0)</f>
        <v>0</v>
      </c>
      <c r="S57">
        <f>IF(F57="x",S56+1,0)</f>
        <v>0</v>
      </c>
      <c r="T57">
        <f>IF(G57="x",T56+1,0)</f>
        <v>0</v>
      </c>
      <c r="U57">
        <f>IF(H57="x",U56+1,0)</f>
        <v>0</v>
      </c>
      <c r="V57">
        <f>IF(I57="x",V56+1,0)</f>
        <v>0</v>
      </c>
      <c r="W57">
        <f>IF(J57="x",W56+1,0)</f>
        <v>0</v>
      </c>
      <c r="X57">
        <f>IF(K57="x",X56+1,0)</f>
        <v>0</v>
      </c>
      <c r="Y57">
        <f>IF(L57="x",Y56+1,0)</f>
        <v>0</v>
      </c>
      <c r="Z57">
        <f>IF(M57="x",Z56+1,0)</f>
        <v>0</v>
      </c>
    </row>
    <row r="58">
      <c r="B58" s="137">
        <f>IF(B57="","",IF(YEAR(B57+1)=Ano,B57+1,""))</f>
        <v>46064.0</v>
      </c>
      <c r="C58" s="128" t="str">
        <f>IF(B58="","",CHOOSE(WEEKDAY(B58),"Dom","Seg","Ter","Qua","Qui","Sex","Sáb"))</f>
        <v>Qua</v>
      </c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28">
        <f>IF(OR(B58="",B58&gt;Hoje),"",COUNTIF(D58:M58,"x"))</f>
        <v>0</v>
      </c>
      <c r="O58" s="133" t="str">
        <f>IF(OR(N58="",COUNTA($D$16:$M$16)=0),"",N58/COUNTA($D$16:$M$16))</f>
        <v/>
      </c>
      <c r="Q58">
        <f>IF(D58="x",Q57+1,0)</f>
        <v>0</v>
      </c>
      <c r="R58">
        <f>IF(E58="x",R57+1,0)</f>
        <v>0</v>
      </c>
      <c r="S58">
        <f>IF(F58="x",S57+1,0)</f>
        <v>0</v>
      </c>
      <c r="T58">
        <f>IF(G58="x",T57+1,0)</f>
        <v>0</v>
      </c>
      <c r="U58">
        <f>IF(H58="x",U57+1,0)</f>
        <v>0</v>
      </c>
      <c r="V58">
        <f>IF(I58="x",V57+1,0)</f>
        <v>0</v>
      </c>
      <c r="W58">
        <f>IF(J58="x",W57+1,0)</f>
        <v>0</v>
      </c>
      <c r="X58">
        <f>IF(K58="x",X57+1,0)</f>
        <v>0</v>
      </c>
      <c r="Y58">
        <f>IF(L58="x",Y57+1,0)</f>
        <v>0</v>
      </c>
      <c r="Z58">
        <f>IF(M58="x",Z57+1,0)</f>
        <v>0</v>
      </c>
    </row>
    <row r="59">
      <c r="B59" s="137">
        <f>IF(B58="","",IF(YEAR(B58+1)=Ano,B58+1,""))</f>
        <v>46065.0</v>
      </c>
      <c r="C59" s="128" t="str">
        <f>IF(B59="","",CHOOSE(WEEKDAY(B59),"Dom","Seg","Ter","Qua","Qui","Sex","Sáb"))</f>
        <v>Qui</v>
      </c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28">
        <f>IF(OR(B59="",B59&gt;Hoje),"",COUNTIF(D59:M59,"x"))</f>
        <v>0</v>
      </c>
      <c r="O59" s="133" t="str">
        <f>IF(OR(N59="",COUNTA($D$16:$M$16)=0),"",N59/COUNTA($D$16:$M$16))</f>
        <v/>
      </c>
      <c r="Q59">
        <f>IF(D59="x",Q58+1,0)</f>
        <v>0</v>
      </c>
      <c r="R59">
        <f>IF(E59="x",R58+1,0)</f>
        <v>0</v>
      </c>
      <c r="S59">
        <f>IF(F59="x",S58+1,0)</f>
        <v>0</v>
      </c>
      <c r="T59">
        <f>IF(G59="x",T58+1,0)</f>
        <v>0</v>
      </c>
      <c r="U59">
        <f>IF(H59="x",U58+1,0)</f>
        <v>0</v>
      </c>
      <c r="V59">
        <f>IF(I59="x",V58+1,0)</f>
        <v>0</v>
      </c>
      <c r="W59">
        <f>IF(J59="x",W58+1,0)</f>
        <v>0</v>
      </c>
      <c r="X59">
        <f>IF(K59="x",X58+1,0)</f>
        <v>0</v>
      </c>
      <c r="Y59">
        <f>IF(L59="x",Y58+1,0)</f>
        <v>0</v>
      </c>
      <c r="Z59">
        <f>IF(M59="x",Z58+1,0)</f>
        <v>0</v>
      </c>
    </row>
    <row r="60">
      <c r="B60" s="137">
        <f>IF(B59="","",IF(YEAR(B59+1)=Ano,B59+1,""))</f>
        <v>46066.0</v>
      </c>
      <c r="C60" s="128" t="str">
        <f>IF(B60="","",CHOOSE(WEEKDAY(B60),"Dom","Seg","Ter","Qua","Qui","Sex","Sáb"))</f>
        <v>Sex</v>
      </c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28">
        <f>IF(OR(B60="",B60&gt;Hoje),"",COUNTIF(D60:M60,"x"))</f>
        <v>0</v>
      </c>
      <c r="O60" s="133" t="str">
        <f>IF(OR(N60="",COUNTA($D$16:$M$16)=0),"",N60/COUNTA($D$16:$M$16))</f>
        <v/>
      </c>
      <c r="Q60">
        <f>IF(D60="x",Q59+1,0)</f>
        <v>0</v>
      </c>
      <c r="R60">
        <f>IF(E60="x",R59+1,0)</f>
        <v>0</v>
      </c>
      <c r="S60">
        <f>IF(F60="x",S59+1,0)</f>
        <v>0</v>
      </c>
      <c r="T60">
        <f>IF(G60="x",T59+1,0)</f>
        <v>0</v>
      </c>
      <c r="U60">
        <f>IF(H60="x",U59+1,0)</f>
        <v>0</v>
      </c>
      <c r="V60">
        <f>IF(I60="x",V59+1,0)</f>
        <v>0</v>
      </c>
      <c r="W60">
        <f>IF(J60="x",W59+1,0)</f>
        <v>0</v>
      </c>
      <c r="X60">
        <f>IF(K60="x",X59+1,0)</f>
        <v>0</v>
      </c>
      <c r="Y60">
        <f>IF(L60="x",Y59+1,0)</f>
        <v>0</v>
      </c>
      <c r="Z60">
        <f>IF(M60="x",Z59+1,0)</f>
        <v>0</v>
      </c>
    </row>
    <row r="61">
      <c r="B61" s="137">
        <f>IF(B60="","",IF(YEAR(B60+1)=Ano,B60+1,""))</f>
        <v>46067.0</v>
      </c>
      <c r="C61" s="128" t="str">
        <f>IF(B61="","",CHOOSE(WEEKDAY(B61),"Dom","Seg","Ter","Qua","Qui","Sex","Sáb"))</f>
        <v>Sáb</v>
      </c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28">
        <f>IF(OR(B61="",B61&gt;Hoje),"",COUNTIF(D61:M61,"x"))</f>
        <v>0</v>
      </c>
      <c r="O61" s="133" t="str">
        <f>IF(OR(N61="",COUNTA($D$16:$M$16)=0),"",N61/COUNTA($D$16:$M$16))</f>
        <v/>
      </c>
      <c r="Q61">
        <f>IF(D61="x",Q60+1,0)</f>
        <v>0</v>
      </c>
      <c r="R61">
        <f>IF(E61="x",R60+1,0)</f>
        <v>0</v>
      </c>
      <c r="S61">
        <f>IF(F61="x",S60+1,0)</f>
        <v>0</v>
      </c>
      <c r="T61">
        <f>IF(G61="x",T60+1,0)</f>
        <v>0</v>
      </c>
      <c r="U61">
        <f>IF(H61="x",U60+1,0)</f>
        <v>0</v>
      </c>
      <c r="V61">
        <f>IF(I61="x",V60+1,0)</f>
        <v>0</v>
      </c>
      <c r="W61">
        <f>IF(J61="x",W60+1,0)</f>
        <v>0</v>
      </c>
      <c r="X61">
        <f>IF(K61="x",X60+1,0)</f>
        <v>0</v>
      </c>
      <c r="Y61">
        <f>IF(L61="x",Y60+1,0)</f>
        <v>0</v>
      </c>
      <c r="Z61">
        <f>IF(M61="x",Z60+1,0)</f>
        <v>0</v>
      </c>
    </row>
    <row r="62">
      <c r="B62" s="137">
        <f>IF(B61="","",IF(YEAR(B61+1)=Ano,B61+1,""))</f>
        <v>46068.0</v>
      </c>
      <c r="C62" s="128" t="str">
        <f>IF(B62="","",CHOOSE(WEEKDAY(B62),"Dom","Seg","Ter","Qua","Qui","Sex","Sáb"))</f>
        <v>Dom</v>
      </c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28">
        <f>IF(OR(B62="",B62&gt;Hoje),"",COUNTIF(D62:M62,"x"))</f>
        <v>0</v>
      </c>
      <c r="O62" s="133" t="str">
        <f>IF(OR(N62="",COUNTA($D$16:$M$16)=0),"",N62/COUNTA($D$16:$M$16))</f>
        <v/>
      </c>
      <c r="Q62">
        <f>IF(D62="x",Q61+1,0)</f>
        <v>0</v>
      </c>
      <c r="R62">
        <f>IF(E62="x",R61+1,0)</f>
        <v>0</v>
      </c>
      <c r="S62">
        <f>IF(F62="x",S61+1,0)</f>
        <v>0</v>
      </c>
      <c r="T62">
        <f>IF(G62="x",T61+1,0)</f>
        <v>0</v>
      </c>
      <c r="U62">
        <f>IF(H62="x",U61+1,0)</f>
        <v>0</v>
      </c>
      <c r="V62">
        <f>IF(I62="x",V61+1,0)</f>
        <v>0</v>
      </c>
      <c r="W62">
        <f>IF(J62="x",W61+1,0)</f>
        <v>0</v>
      </c>
      <c r="X62">
        <f>IF(K62="x",X61+1,0)</f>
        <v>0</v>
      </c>
      <c r="Y62">
        <f>IF(L62="x",Y61+1,0)</f>
        <v>0</v>
      </c>
      <c r="Z62">
        <f>IF(M62="x",Z61+1,0)</f>
        <v>0</v>
      </c>
    </row>
    <row r="63">
      <c r="B63" s="137">
        <f>IF(B62="","",IF(YEAR(B62+1)=Ano,B62+1,""))</f>
        <v>46069.0</v>
      </c>
      <c r="C63" s="128" t="str">
        <f>IF(B63="","",CHOOSE(WEEKDAY(B63),"Dom","Seg","Ter","Qua","Qui","Sex","Sáb"))</f>
        <v>Seg</v>
      </c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28">
        <f>IF(OR(B63="",B63&gt;Hoje),"",COUNTIF(D63:M63,"x"))</f>
        <v>0</v>
      </c>
      <c r="O63" s="133" t="str">
        <f>IF(OR(N63="",COUNTA($D$16:$M$16)=0),"",N63/COUNTA($D$16:$M$16))</f>
        <v/>
      </c>
      <c r="Q63">
        <f>IF(D63="x",Q62+1,0)</f>
        <v>0</v>
      </c>
      <c r="R63">
        <f>IF(E63="x",R62+1,0)</f>
        <v>0</v>
      </c>
      <c r="S63">
        <f>IF(F63="x",S62+1,0)</f>
        <v>0</v>
      </c>
      <c r="T63">
        <f>IF(G63="x",T62+1,0)</f>
        <v>0</v>
      </c>
      <c r="U63">
        <f>IF(H63="x",U62+1,0)</f>
        <v>0</v>
      </c>
      <c r="V63">
        <f>IF(I63="x",V62+1,0)</f>
        <v>0</v>
      </c>
      <c r="W63">
        <f>IF(J63="x",W62+1,0)</f>
        <v>0</v>
      </c>
      <c r="X63">
        <f>IF(K63="x",X62+1,0)</f>
        <v>0</v>
      </c>
      <c r="Y63">
        <f>IF(L63="x",Y62+1,0)</f>
        <v>0</v>
      </c>
      <c r="Z63">
        <f>IF(M63="x",Z62+1,0)</f>
        <v>0</v>
      </c>
    </row>
    <row r="64">
      <c r="B64" s="137">
        <f>IF(B63="","",IF(YEAR(B63+1)=Ano,B63+1,""))</f>
        <v>46070.0</v>
      </c>
      <c r="C64" s="128" t="str">
        <f>IF(B64="","",CHOOSE(WEEKDAY(B64),"Dom","Seg","Ter","Qua","Qui","Sex","Sáb"))</f>
        <v>Ter</v>
      </c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28">
        <f>IF(OR(B64="",B64&gt;Hoje),"",COUNTIF(D64:M64,"x"))</f>
        <v>0</v>
      </c>
      <c r="O64" s="133" t="str">
        <f>IF(OR(N64="",COUNTA($D$16:$M$16)=0),"",N64/COUNTA($D$16:$M$16))</f>
        <v/>
      </c>
      <c r="Q64">
        <f>IF(D64="x",Q63+1,0)</f>
        <v>0</v>
      </c>
      <c r="R64">
        <f>IF(E64="x",R63+1,0)</f>
        <v>0</v>
      </c>
      <c r="S64">
        <f>IF(F64="x",S63+1,0)</f>
        <v>0</v>
      </c>
      <c r="T64">
        <f>IF(G64="x",T63+1,0)</f>
        <v>0</v>
      </c>
      <c r="U64">
        <f>IF(H64="x",U63+1,0)</f>
        <v>0</v>
      </c>
      <c r="V64">
        <f>IF(I64="x",V63+1,0)</f>
        <v>0</v>
      </c>
      <c r="W64">
        <f>IF(J64="x",W63+1,0)</f>
        <v>0</v>
      </c>
      <c r="X64">
        <f>IF(K64="x",X63+1,0)</f>
        <v>0</v>
      </c>
      <c r="Y64">
        <f>IF(L64="x",Y63+1,0)</f>
        <v>0</v>
      </c>
      <c r="Z64">
        <f>IF(M64="x",Z63+1,0)</f>
        <v>0</v>
      </c>
    </row>
    <row r="65">
      <c r="B65" s="137">
        <f>IF(B64="","",IF(YEAR(B64+1)=Ano,B64+1,""))</f>
        <v>46071.0</v>
      </c>
      <c r="C65" s="128" t="str">
        <f>IF(B65="","",CHOOSE(WEEKDAY(B65),"Dom","Seg","Ter","Qua","Qui","Sex","Sáb"))</f>
        <v>Qua</v>
      </c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28">
        <f>IF(OR(B65="",B65&gt;Hoje),"",COUNTIF(D65:M65,"x"))</f>
        <v>0</v>
      </c>
      <c r="O65" s="133" t="str">
        <f>IF(OR(N65="",COUNTA($D$16:$M$16)=0),"",N65/COUNTA($D$16:$M$16))</f>
        <v/>
      </c>
      <c r="Q65">
        <f>IF(D65="x",Q64+1,0)</f>
        <v>0</v>
      </c>
      <c r="R65">
        <f>IF(E65="x",R64+1,0)</f>
        <v>0</v>
      </c>
      <c r="S65">
        <f>IF(F65="x",S64+1,0)</f>
        <v>0</v>
      </c>
      <c r="T65">
        <f>IF(G65="x",T64+1,0)</f>
        <v>0</v>
      </c>
      <c r="U65">
        <f>IF(H65="x",U64+1,0)</f>
        <v>0</v>
      </c>
      <c r="V65">
        <f>IF(I65="x",V64+1,0)</f>
        <v>0</v>
      </c>
      <c r="W65">
        <f>IF(J65="x",W64+1,0)</f>
        <v>0</v>
      </c>
      <c r="X65">
        <f>IF(K65="x",X64+1,0)</f>
        <v>0</v>
      </c>
      <c r="Y65">
        <f>IF(L65="x",Y64+1,0)</f>
        <v>0</v>
      </c>
      <c r="Z65">
        <f>IF(M65="x",Z64+1,0)</f>
        <v>0</v>
      </c>
    </row>
    <row r="66">
      <c r="B66" s="137">
        <f>IF(B65="","",IF(YEAR(B65+1)=Ano,B65+1,""))</f>
        <v>46072.0</v>
      </c>
      <c r="C66" s="128" t="str">
        <f>IF(B66="","",CHOOSE(WEEKDAY(B66),"Dom","Seg","Ter","Qua","Qui","Sex","Sáb"))</f>
        <v>Qui</v>
      </c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28">
        <f>IF(OR(B66="",B66&gt;Hoje),"",COUNTIF(D66:M66,"x"))</f>
        <v>0</v>
      </c>
      <c r="O66" s="133" t="str">
        <f>IF(OR(N66="",COUNTA($D$16:$M$16)=0),"",N66/COUNTA($D$16:$M$16))</f>
        <v/>
      </c>
      <c r="Q66">
        <f>IF(D66="x",Q65+1,0)</f>
        <v>0</v>
      </c>
      <c r="R66">
        <f>IF(E66="x",R65+1,0)</f>
        <v>0</v>
      </c>
      <c r="S66">
        <f>IF(F66="x",S65+1,0)</f>
        <v>0</v>
      </c>
      <c r="T66">
        <f>IF(G66="x",T65+1,0)</f>
        <v>0</v>
      </c>
      <c r="U66">
        <f>IF(H66="x",U65+1,0)</f>
        <v>0</v>
      </c>
      <c r="V66">
        <f>IF(I66="x",V65+1,0)</f>
        <v>0</v>
      </c>
      <c r="W66">
        <f>IF(J66="x",W65+1,0)</f>
        <v>0</v>
      </c>
      <c r="X66">
        <f>IF(K66="x",X65+1,0)</f>
        <v>0</v>
      </c>
      <c r="Y66">
        <f>IF(L66="x",Y65+1,0)</f>
        <v>0</v>
      </c>
      <c r="Z66">
        <f>IF(M66="x",Z65+1,0)</f>
        <v>0</v>
      </c>
    </row>
    <row r="67">
      <c r="B67" s="137">
        <f>IF(B66="","",IF(YEAR(B66+1)=Ano,B66+1,""))</f>
        <v>46073.0</v>
      </c>
      <c r="C67" s="128" t="str">
        <f>IF(B67="","",CHOOSE(WEEKDAY(B67),"Dom","Seg","Ter","Qua","Qui","Sex","Sáb"))</f>
        <v>Sex</v>
      </c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28">
        <f>IF(OR(B67="",B67&gt;Hoje),"",COUNTIF(D67:M67,"x"))</f>
        <v>0</v>
      </c>
      <c r="O67" s="133" t="str">
        <f>IF(OR(N67="",COUNTA($D$16:$M$16)=0),"",N67/COUNTA($D$16:$M$16))</f>
        <v/>
      </c>
      <c r="Q67">
        <f>IF(D67="x",Q66+1,0)</f>
        <v>0</v>
      </c>
      <c r="R67">
        <f>IF(E67="x",R66+1,0)</f>
        <v>0</v>
      </c>
      <c r="S67">
        <f>IF(F67="x",S66+1,0)</f>
        <v>0</v>
      </c>
      <c r="T67">
        <f>IF(G67="x",T66+1,0)</f>
        <v>0</v>
      </c>
      <c r="U67">
        <f>IF(H67="x",U66+1,0)</f>
        <v>0</v>
      </c>
      <c r="V67">
        <f>IF(I67="x",V66+1,0)</f>
        <v>0</v>
      </c>
      <c r="W67">
        <f>IF(J67="x",W66+1,0)</f>
        <v>0</v>
      </c>
      <c r="X67">
        <f>IF(K67="x",X66+1,0)</f>
        <v>0</v>
      </c>
      <c r="Y67">
        <f>IF(L67="x",Y66+1,0)</f>
        <v>0</v>
      </c>
      <c r="Z67">
        <f>IF(M67="x",Z66+1,0)</f>
        <v>0</v>
      </c>
    </row>
    <row r="68">
      <c r="B68" s="137">
        <f>IF(B67="","",IF(YEAR(B67+1)=Ano,B67+1,""))</f>
        <v>46074.0</v>
      </c>
      <c r="C68" s="128" t="str">
        <f>IF(B68="","",CHOOSE(WEEKDAY(B68),"Dom","Seg","Ter","Qua","Qui","Sex","Sáb"))</f>
        <v>Sáb</v>
      </c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28">
        <f>IF(OR(B68="",B68&gt;Hoje),"",COUNTIF(D68:M68,"x"))</f>
        <v>0</v>
      </c>
      <c r="O68" s="133" t="str">
        <f>IF(OR(N68="",COUNTA($D$16:$M$16)=0),"",N68/COUNTA($D$16:$M$16))</f>
        <v/>
      </c>
      <c r="Q68">
        <f>IF(D68="x",Q67+1,0)</f>
        <v>0</v>
      </c>
      <c r="R68">
        <f>IF(E68="x",R67+1,0)</f>
        <v>0</v>
      </c>
      <c r="S68">
        <f>IF(F68="x",S67+1,0)</f>
        <v>0</v>
      </c>
      <c r="T68">
        <f>IF(G68="x",T67+1,0)</f>
        <v>0</v>
      </c>
      <c r="U68">
        <f>IF(H68="x",U67+1,0)</f>
        <v>0</v>
      </c>
      <c r="V68">
        <f>IF(I68="x",V67+1,0)</f>
        <v>0</v>
      </c>
      <c r="W68">
        <f>IF(J68="x",W67+1,0)</f>
        <v>0</v>
      </c>
      <c r="X68">
        <f>IF(K68="x",X67+1,0)</f>
        <v>0</v>
      </c>
      <c r="Y68">
        <f>IF(L68="x",Y67+1,0)</f>
        <v>0</v>
      </c>
      <c r="Z68">
        <f>IF(M68="x",Z67+1,0)</f>
        <v>0</v>
      </c>
    </row>
    <row r="69">
      <c r="B69" s="137">
        <f>IF(B68="","",IF(YEAR(B68+1)=Ano,B68+1,""))</f>
        <v>46075.0</v>
      </c>
      <c r="C69" s="128" t="str">
        <f>IF(B69="","",CHOOSE(WEEKDAY(B69),"Dom","Seg","Ter","Qua","Qui","Sex","Sáb"))</f>
        <v>Dom</v>
      </c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28">
        <f>IF(OR(B69="",B69&gt;Hoje),"",COUNTIF(D69:M69,"x"))</f>
        <v>0</v>
      </c>
      <c r="O69" s="133" t="str">
        <f>IF(OR(N69="",COUNTA($D$16:$M$16)=0),"",N69/COUNTA($D$16:$M$16))</f>
        <v/>
      </c>
      <c r="Q69">
        <f>IF(D69="x",Q68+1,0)</f>
        <v>0</v>
      </c>
      <c r="R69">
        <f>IF(E69="x",R68+1,0)</f>
        <v>0</v>
      </c>
      <c r="S69">
        <f>IF(F69="x",S68+1,0)</f>
        <v>0</v>
      </c>
      <c r="T69">
        <f>IF(G69="x",T68+1,0)</f>
        <v>0</v>
      </c>
      <c r="U69">
        <f>IF(H69="x",U68+1,0)</f>
        <v>0</v>
      </c>
      <c r="V69">
        <f>IF(I69="x",V68+1,0)</f>
        <v>0</v>
      </c>
      <c r="W69">
        <f>IF(J69="x",W68+1,0)</f>
        <v>0</v>
      </c>
      <c r="X69">
        <f>IF(K69="x",X68+1,0)</f>
        <v>0</v>
      </c>
      <c r="Y69">
        <f>IF(L69="x",Y68+1,0)</f>
        <v>0</v>
      </c>
      <c r="Z69">
        <f>IF(M69="x",Z68+1,0)</f>
        <v>0</v>
      </c>
    </row>
    <row r="70">
      <c r="B70" s="137">
        <f>IF(B69="","",IF(YEAR(B69+1)=Ano,B69+1,""))</f>
        <v>46076.0</v>
      </c>
      <c r="C70" s="128" t="str">
        <f>IF(B70="","",CHOOSE(WEEKDAY(B70),"Dom","Seg","Ter","Qua","Qui","Sex","Sáb"))</f>
        <v>Seg</v>
      </c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28">
        <f>IF(OR(B70="",B70&gt;Hoje),"",COUNTIF(D70:M70,"x"))</f>
        <v>0</v>
      </c>
      <c r="O70" s="133" t="str">
        <f>IF(OR(N70="",COUNTA($D$16:$M$16)=0),"",N70/COUNTA($D$16:$M$16))</f>
        <v/>
      </c>
      <c r="Q70">
        <f>IF(D70="x",Q69+1,0)</f>
        <v>0</v>
      </c>
      <c r="R70">
        <f>IF(E70="x",R69+1,0)</f>
        <v>0</v>
      </c>
      <c r="S70">
        <f>IF(F70="x",S69+1,0)</f>
        <v>0</v>
      </c>
      <c r="T70">
        <f>IF(G70="x",T69+1,0)</f>
        <v>0</v>
      </c>
      <c r="U70">
        <f>IF(H70="x",U69+1,0)</f>
        <v>0</v>
      </c>
      <c r="V70">
        <f>IF(I70="x",V69+1,0)</f>
        <v>0</v>
      </c>
      <c r="W70">
        <f>IF(J70="x",W69+1,0)</f>
        <v>0</v>
      </c>
      <c r="X70">
        <f>IF(K70="x",X69+1,0)</f>
        <v>0</v>
      </c>
      <c r="Y70">
        <f>IF(L70="x",Y69+1,0)</f>
        <v>0</v>
      </c>
      <c r="Z70">
        <f>IF(M70="x",Z69+1,0)</f>
        <v>0</v>
      </c>
    </row>
    <row r="71">
      <c r="B71" s="137">
        <f>IF(B70="","",IF(YEAR(B70+1)=Ano,B70+1,""))</f>
        <v>46077.0</v>
      </c>
      <c r="C71" s="128" t="str">
        <f>IF(B71="","",CHOOSE(WEEKDAY(B71),"Dom","Seg","Ter","Qua","Qui","Sex","Sáb"))</f>
        <v>Ter</v>
      </c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28">
        <f>IF(OR(B71="",B71&gt;Hoje),"",COUNTIF(D71:M71,"x"))</f>
        <v>0</v>
      </c>
      <c r="O71" s="133" t="str">
        <f>IF(OR(N71="",COUNTA($D$16:$M$16)=0),"",N71/COUNTA($D$16:$M$16))</f>
        <v/>
      </c>
      <c r="Q71">
        <f>IF(D71="x",Q70+1,0)</f>
        <v>0</v>
      </c>
      <c r="R71">
        <f>IF(E71="x",R70+1,0)</f>
        <v>0</v>
      </c>
      <c r="S71">
        <f>IF(F71="x",S70+1,0)</f>
        <v>0</v>
      </c>
      <c r="T71">
        <f>IF(G71="x",T70+1,0)</f>
        <v>0</v>
      </c>
      <c r="U71">
        <f>IF(H71="x",U70+1,0)</f>
        <v>0</v>
      </c>
      <c r="V71">
        <f>IF(I71="x",V70+1,0)</f>
        <v>0</v>
      </c>
      <c r="W71">
        <f>IF(J71="x",W70+1,0)</f>
        <v>0</v>
      </c>
      <c r="X71">
        <f>IF(K71="x",X70+1,0)</f>
        <v>0</v>
      </c>
      <c r="Y71">
        <f>IF(L71="x",Y70+1,0)</f>
        <v>0</v>
      </c>
      <c r="Z71">
        <f>IF(M71="x",Z70+1,0)</f>
        <v>0</v>
      </c>
    </row>
    <row r="72">
      <c r="B72" s="137">
        <f>IF(B71="","",IF(YEAR(B71+1)=Ano,B71+1,""))</f>
        <v>46078.0</v>
      </c>
      <c r="C72" s="128" t="str">
        <f>IF(B72="","",CHOOSE(WEEKDAY(B72),"Dom","Seg","Ter","Qua","Qui","Sex","Sáb"))</f>
        <v>Qua</v>
      </c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28">
        <f>IF(OR(B72="",B72&gt;Hoje),"",COUNTIF(D72:M72,"x"))</f>
        <v>0</v>
      </c>
      <c r="O72" s="133" t="str">
        <f>IF(OR(N72="",COUNTA($D$16:$M$16)=0),"",N72/COUNTA($D$16:$M$16))</f>
        <v/>
      </c>
      <c r="Q72">
        <f>IF(D72="x",Q71+1,0)</f>
        <v>0</v>
      </c>
      <c r="R72">
        <f>IF(E72="x",R71+1,0)</f>
        <v>0</v>
      </c>
      <c r="S72">
        <f>IF(F72="x",S71+1,0)</f>
        <v>0</v>
      </c>
      <c r="T72">
        <f>IF(G72="x",T71+1,0)</f>
        <v>0</v>
      </c>
      <c r="U72">
        <f>IF(H72="x",U71+1,0)</f>
        <v>0</v>
      </c>
      <c r="V72">
        <f>IF(I72="x",V71+1,0)</f>
        <v>0</v>
      </c>
      <c r="W72">
        <f>IF(J72="x",W71+1,0)</f>
        <v>0</v>
      </c>
      <c r="X72">
        <f>IF(K72="x",X71+1,0)</f>
        <v>0</v>
      </c>
      <c r="Y72">
        <f>IF(L72="x",Y71+1,0)</f>
        <v>0</v>
      </c>
      <c r="Z72">
        <f>IF(M72="x",Z71+1,0)</f>
        <v>0</v>
      </c>
    </row>
    <row r="73">
      <c r="B73" s="137">
        <f>IF(B72="","",IF(YEAR(B72+1)=Ano,B72+1,""))</f>
        <v>46079.0</v>
      </c>
      <c r="C73" s="128" t="str">
        <f>IF(B73="","",CHOOSE(WEEKDAY(B73),"Dom","Seg","Ter","Qua","Qui","Sex","Sáb"))</f>
        <v>Qui</v>
      </c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28">
        <f>IF(OR(B73="",B73&gt;Hoje),"",COUNTIF(D73:M73,"x"))</f>
        <v>0</v>
      </c>
      <c r="O73" s="133" t="str">
        <f>IF(OR(N73="",COUNTA($D$16:$M$16)=0),"",N73/COUNTA($D$16:$M$16))</f>
        <v/>
      </c>
      <c r="Q73">
        <f>IF(D73="x",Q72+1,0)</f>
        <v>0</v>
      </c>
      <c r="R73">
        <f>IF(E73="x",R72+1,0)</f>
        <v>0</v>
      </c>
      <c r="S73">
        <f>IF(F73="x",S72+1,0)</f>
        <v>0</v>
      </c>
      <c r="T73">
        <f>IF(G73="x",T72+1,0)</f>
        <v>0</v>
      </c>
      <c r="U73">
        <f>IF(H73="x",U72+1,0)</f>
        <v>0</v>
      </c>
      <c r="V73">
        <f>IF(I73="x",V72+1,0)</f>
        <v>0</v>
      </c>
      <c r="W73">
        <f>IF(J73="x",W72+1,0)</f>
        <v>0</v>
      </c>
      <c r="X73">
        <f>IF(K73="x",X72+1,0)</f>
        <v>0</v>
      </c>
      <c r="Y73">
        <f>IF(L73="x",Y72+1,0)</f>
        <v>0</v>
      </c>
      <c r="Z73">
        <f>IF(M73="x",Z72+1,0)</f>
        <v>0</v>
      </c>
    </row>
    <row r="74">
      <c r="B74" s="137">
        <f>IF(B73="","",IF(YEAR(B73+1)=Ano,B73+1,""))</f>
        <v>46080.0</v>
      </c>
      <c r="C74" s="128" t="str">
        <f>IF(B74="","",CHOOSE(WEEKDAY(B74),"Dom","Seg","Ter","Qua","Qui","Sex","Sáb"))</f>
        <v>Sex</v>
      </c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28">
        <f>IF(OR(B74="",B74&gt;Hoje),"",COUNTIF(D74:M74,"x"))</f>
        <v>0</v>
      </c>
      <c r="O74" s="133" t="str">
        <f>IF(OR(N74="",COUNTA($D$16:$M$16)=0),"",N74/COUNTA($D$16:$M$16))</f>
        <v/>
      </c>
      <c r="Q74">
        <f>IF(D74="x",Q73+1,0)</f>
        <v>0</v>
      </c>
      <c r="R74">
        <f>IF(E74="x",R73+1,0)</f>
        <v>0</v>
      </c>
      <c r="S74">
        <f>IF(F74="x",S73+1,0)</f>
        <v>0</v>
      </c>
      <c r="T74">
        <f>IF(G74="x",T73+1,0)</f>
        <v>0</v>
      </c>
      <c r="U74">
        <f>IF(H74="x",U73+1,0)</f>
        <v>0</v>
      </c>
      <c r="V74">
        <f>IF(I74="x",V73+1,0)</f>
        <v>0</v>
      </c>
      <c r="W74">
        <f>IF(J74="x",W73+1,0)</f>
        <v>0</v>
      </c>
      <c r="X74">
        <f>IF(K74="x",X73+1,0)</f>
        <v>0</v>
      </c>
      <c r="Y74">
        <f>IF(L74="x",Y73+1,0)</f>
        <v>0</v>
      </c>
      <c r="Z74">
        <f>IF(M74="x",Z73+1,0)</f>
        <v>0</v>
      </c>
    </row>
    <row r="75">
      <c r="B75" s="137">
        <f>IF(B74="","",IF(YEAR(B74+1)=Ano,B74+1,""))</f>
        <v>46081.0</v>
      </c>
      <c r="C75" s="128" t="str">
        <f>IF(B75="","",CHOOSE(WEEKDAY(B75),"Dom","Seg","Ter","Qua","Qui","Sex","Sáb"))</f>
        <v>Sáb</v>
      </c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28">
        <f>IF(OR(B75="",B75&gt;Hoje),"",COUNTIF(D75:M75,"x"))</f>
        <v>0</v>
      </c>
      <c r="O75" s="133" t="str">
        <f>IF(OR(N75="",COUNTA($D$16:$M$16)=0),"",N75/COUNTA($D$16:$M$16))</f>
        <v/>
      </c>
      <c r="Q75">
        <f>IF(D75="x",Q74+1,0)</f>
        <v>0</v>
      </c>
      <c r="R75">
        <f>IF(E75="x",R74+1,0)</f>
        <v>0</v>
      </c>
      <c r="S75">
        <f>IF(F75="x",S74+1,0)</f>
        <v>0</v>
      </c>
      <c r="T75">
        <f>IF(G75="x",T74+1,0)</f>
        <v>0</v>
      </c>
      <c r="U75">
        <f>IF(H75="x",U74+1,0)</f>
        <v>0</v>
      </c>
      <c r="V75">
        <f>IF(I75="x",V74+1,0)</f>
        <v>0</v>
      </c>
      <c r="W75">
        <f>IF(J75="x",W74+1,0)</f>
        <v>0</v>
      </c>
      <c r="X75">
        <f>IF(K75="x",X74+1,0)</f>
        <v>0</v>
      </c>
      <c r="Y75">
        <f>IF(L75="x",Y74+1,0)</f>
        <v>0</v>
      </c>
      <c r="Z75">
        <f>IF(M75="x",Z74+1,0)</f>
        <v>0</v>
      </c>
    </row>
    <row r="76">
      <c r="B76" s="137">
        <f>IF(B75="","",IF(YEAR(B75+1)=Ano,B75+1,""))</f>
        <v>46082.0</v>
      </c>
      <c r="C76" s="128" t="str">
        <f>IF(B76="","",CHOOSE(WEEKDAY(B76),"Dom","Seg","Ter","Qua","Qui","Sex","Sáb"))</f>
        <v>Dom</v>
      </c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28">
        <f>IF(OR(B76="",B76&gt;Hoje),"",COUNTIF(D76:M76,"x"))</f>
        <v>0</v>
      </c>
      <c r="O76" s="133" t="str">
        <f>IF(OR(N76="",COUNTA($D$16:$M$16)=0),"",N76/COUNTA($D$16:$M$16))</f>
        <v/>
      </c>
      <c r="Q76">
        <f>IF(D76="x",Q75+1,0)</f>
        <v>0</v>
      </c>
      <c r="R76">
        <f>IF(E76="x",R75+1,0)</f>
        <v>0</v>
      </c>
      <c r="S76">
        <f>IF(F76="x",S75+1,0)</f>
        <v>0</v>
      </c>
      <c r="T76">
        <f>IF(G76="x",T75+1,0)</f>
        <v>0</v>
      </c>
      <c r="U76">
        <f>IF(H76="x",U75+1,0)</f>
        <v>0</v>
      </c>
      <c r="V76">
        <f>IF(I76="x",V75+1,0)</f>
        <v>0</v>
      </c>
      <c r="W76">
        <f>IF(J76="x",W75+1,0)</f>
        <v>0</v>
      </c>
      <c r="X76">
        <f>IF(K76="x",X75+1,0)</f>
        <v>0</v>
      </c>
      <c r="Y76">
        <f>IF(L76="x",Y75+1,0)</f>
        <v>0</v>
      </c>
      <c r="Z76">
        <f>IF(M76="x",Z75+1,0)</f>
        <v>0</v>
      </c>
    </row>
    <row r="77">
      <c r="B77" s="137">
        <f>IF(B76="","",IF(YEAR(B76+1)=Ano,B76+1,""))</f>
        <v>46083.0</v>
      </c>
      <c r="C77" s="128" t="str">
        <f>IF(B77="","",CHOOSE(WEEKDAY(B77),"Dom","Seg","Ter","Qua","Qui","Sex","Sáb"))</f>
        <v>Seg</v>
      </c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28">
        <f>IF(OR(B77="",B77&gt;Hoje),"",COUNTIF(D77:M77,"x"))</f>
        <v>0</v>
      </c>
      <c r="O77" s="133" t="str">
        <f>IF(OR(N77="",COUNTA($D$16:$M$16)=0),"",N77/COUNTA($D$16:$M$16))</f>
        <v/>
      </c>
      <c r="Q77">
        <f>IF(D77="x",Q76+1,0)</f>
        <v>0</v>
      </c>
      <c r="R77">
        <f>IF(E77="x",R76+1,0)</f>
        <v>0</v>
      </c>
      <c r="S77">
        <f>IF(F77="x",S76+1,0)</f>
        <v>0</v>
      </c>
      <c r="T77">
        <f>IF(G77="x",T76+1,0)</f>
        <v>0</v>
      </c>
      <c r="U77">
        <f>IF(H77="x",U76+1,0)</f>
        <v>0</v>
      </c>
      <c r="V77">
        <f>IF(I77="x",V76+1,0)</f>
        <v>0</v>
      </c>
      <c r="W77">
        <f>IF(J77="x",W76+1,0)</f>
        <v>0</v>
      </c>
      <c r="X77">
        <f>IF(K77="x",X76+1,0)</f>
        <v>0</v>
      </c>
      <c r="Y77">
        <f>IF(L77="x",Y76+1,0)</f>
        <v>0</v>
      </c>
      <c r="Z77">
        <f>IF(M77="x",Z76+1,0)</f>
        <v>0</v>
      </c>
    </row>
    <row r="78">
      <c r="B78" s="137">
        <f>IF(B77="","",IF(YEAR(B77+1)=Ano,B77+1,""))</f>
        <v>46084.0</v>
      </c>
      <c r="C78" s="128" t="str">
        <f>IF(B78="","",CHOOSE(WEEKDAY(B78),"Dom","Seg","Ter","Qua","Qui","Sex","Sáb"))</f>
        <v>Ter</v>
      </c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28">
        <f>IF(OR(B78="",B78&gt;Hoje),"",COUNTIF(D78:M78,"x"))</f>
        <v>0</v>
      </c>
      <c r="O78" s="133" t="str">
        <f>IF(OR(N78="",COUNTA($D$16:$M$16)=0),"",N78/COUNTA($D$16:$M$16))</f>
        <v/>
      </c>
      <c r="Q78">
        <f>IF(D78="x",Q77+1,0)</f>
        <v>0</v>
      </c>
      <c r="R78">
        <f>IF(E78="x",R77+1,0)</f>
        <v>0</v>
      </c>
      <c r="S78">
        <f>IF(F78="x",S77+1,0)</f>
        <v>0</v>
      </c>
      <c r="T78">
        <f>IF(G78="x",T77+1,0)</f>
        <v>0</v>
      </c>
      <c r="U78">
        <f>IF(H78="x",U77+1,0)</f>
        <v>0</v>
      </c>
      <c r="V78">
        <f>IF(I78="x",V77+1,0)</f>
        <v>0</v>
      </c>
      <c r="W78">
        <f>IF(J78="x",W77+1,0)</f>
        <v>0</v>
      </c>
      <c r="X78">
        <f>IF(K78="x",X77+1,0)</f>
        <v>0</v>
      </c>
      <c r="Y78">
        <f>IF(L78="x",Y77+1,0)</f>
        <v>0</v>
      </c>
      <c r="Z78">
        <f>IF(M78="x",Z77+1,0)</f>
        <v>0</v>
      </c>
    </row>
    <row r="79">
      <c r="B79" s="137">
        <f>IF(B78="","",IF(YEAR(B78+1)=Ano,B78+1,""))</f>
        <v>46085.0</v>
      </c>
      <c r="C79" s="128" t="str">
        <f>IF(B79="","",CHOOSE(WEEKDAY(B79),"Dom","Seg","Ter","Qua","Qui","Sex","Sáb"))</f>
        <v>Qua</v>
      </c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28">
        <f>IF(OR(B79="",B79&gt;Hoje),"",COUNTIF(D79:M79,"x"))</f>
        <v>0</v>
      </c>
      <c r="O79" s="133" t="str">
        <f>IF(OR(N79="",COUNTA($D$16:$M$16)=0),"",N79/COUNTA($D$16:$M$16))</f>
        <v/>
      </c>
      <c r="Q79">
        <f>IF(D79="x",Q78+1,0)</f>
        <v>0</v>
      </c>
      <c r="R79">
        <f>IF(E79="x",R78+1,0)</f>
        <v>0</v>
      </c>
      <c r="S79">
        <f>IF(F79="x",S78+1,0)</f>
        <v>0</v>
      </c>
      <c r="T79">
        <f>IF(G79="x",T78+1,0)</f>
        <v>0</v>
      </c>
      <c r="U79">
        <f>IF(H79="x",U78+1,0)</f>
        <v>0</v>
      </c>
      <c r="V79">
        <f>IF(I79="x",V78+1,0)</f>
        <v>0</v>
      </c>
      <c r="W79">
        <f>IF(J79="x",W78+1,0)</f>
        <v>0</v>
      </c>
      <c r="X79">
        <f>IF(K79="x",X78+1,0)</f>
        <v>0</v>
      </c>
      <c r="Y79">
        <f>IF(L79="x",Y78+1,0)</f>
        <v>0</v>
      </c>
      <c r="Z79">
        <f>IF(M79="x",Z78+1,0)</f>
        <v>0</v>
      </c>
    </row>
    <row r="80">
      <c r="B80" s="137">
        <f>IF(B79="","",IF(YEAR(B79+1)=Ano,B79+1,""))</f>
        <v>46086.0</v>
      </c>
      <c r="C80" s="128" t="str">
        <f>IF(B80="","",CHOOSE(WEEKDAY(B80),"Dom","Seg","Ter","Qua","Qui","Sex","Sáb"))</f>
        <v>Qui</v>
      </c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28">
        <f>IF(OR(B80="",B80&gt;Hoje),"",COUNTIF(D80:M80,"x"))</f>
        <v>0</v>
      </c>
      <c r="O80" s="133" t="str">
        <f>IF(OR(N80="",COUNTA($D$16:$M$16)=0),"",N80/COUNTA($D$16:$M$16))</f>
        <v/>
      </c>
      <c r="Q80">
        <f>IF(D80="x",Q79+1,0)</f>
        <v>0</v>
      </c>
      <c r="R80">
        <f>IF(E80="x",R79+1,0)</f>
        <v>0</v>
      </c>
      <c r="S80">
        <f>IF(F80="x",S79+1,0)</f>
        <v>0</v>
      </c>
      <c r="T80">
        <f>IF(G80="x",T79+1,0)</f>
        <v>0</v>
      </c>
      <c r="U80">
        <f>IF(H80="x",U79+1,0)</f>
        <v>0</v>
      </c>
      <c r="V80">
        <f>IF(I80="x",V79+1,0)</f>
        <v>0</v>
      </c>
      <c r="W80">
        <f>IF(J80="x",W79+1,0)</f>
        <v>0</v>
      </c>
      <c r="X80">
        <f>IF(K80="x",X79+1,0)</f>
        <v>0</v>
      </c>
      <c r="Y80">
        <f>IF(L80="x",Y79+1,0)</f>
        <v>0</v>
      </c>
      <c r="Z80">
        <f>IF(M80="x",Z79+1,0)</f>
        <v>0</v>
      </c>
    </row>
    <row r="81">
      <c r="B81" s="137">
        <f>IF(B80="","",IF(YEAR(B80+1)=Ano,B80+1,""))</f>
        <v>46087.0</v>
      </c>
      <c r="C81" s="128" t="str">
        <f>IF(B81="","",CHOOSE(WEEKDAY(B81),"Dom","Seg","Ter","Qua","Qui","Sex","Sáb"))</f>
        <v>Sex</v>
      </c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28">
        <f>IF(OR(B81="",B81&gt;Hoje),"",COUNTIF(D81:M81,"x"))</f>
        <v>0</v>
      </c>
      <c r="O81" s="133" t="str">
        <f>IF(OR(N81="",COUNTA($D$16:$M$16)=0),"",N81/COUNTA($D$16:$M$16))</f>
        <v/>
      </c>
      <c r="Q81">
        <f>IF(D81="x",Q80+1,0)</f>
        <v>0</v>
      </c>
      <c r="R81">
        <f>IF(E81="x",R80+1,0)</f>
        <v>0</v>
      </c>
      <c r="S81">
        <f>IF(F81="x",S80+1,0)</f>
        <v>0</v>
      </c>
      <c r="T81">
        <f>IF(G81="x",T80+1,0)</f>
        <v>0</v>
      </c>
      <c r="U81">
        <f>IF(H81="x",U80+1,0)</f>
        <v>0</v>
      </c>
      <c r="V81">
        <f>IF(I81="x",V80+1,0)</f>
        <v>0</v>
      </c>
      <c r="W81">
        <f>IF(J81="x",W80+1,0)</f>
        <v>0</v>
      </c>
      <c r="X81">
        <f>IF(K81="x",X80+1,0)</f>
        <v>0</v>
      </c>
      <c r="Y81">
        <f>IF(L81="x",Y80+1,0)</f>
        <v>0</v>
      </c>
      <c r="Z81">
        <f>IF(M81="x",Z80+1,0)</f>
        <v>0</v>
      </c>
    </row>
    <row r="82">
      <c r="B82" s="137">
        <f>IF(B81="","",IF(YEAR(B81+1)=Ano,B81+1,""))</f>
        <v>46088.0</v>
      </c>
      <c r="C82" s="128" t="str">
        <f>IF(B82="","",CHOOSE(WEEKDAY(B82),"Dom","Seg","Ter","Qua","Qui","Sex","Sáb"))</f>
        <v>Sáb</v>
      </c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28">
        <f>IF(OR(B82="",B82&gt;Hoje),"",COUNTIF(D82:M82,"x"))</f>
        <v>0</v>
      </c>
      <c r="O82" s="133" t="str">
        <f>IF(OR(N82="",COUNTA($D$16:$M$16)=0),"",N82/COUNTA($D$16:$M$16))</f>
        <v/>
      </c>
      <c r="Q82">
        <f>IF(D82="x",Q81+1,0)</f>
        <v>0</v>
      </c>
      <c r="R82">
        <f>IF(E82="x",R81+1,0)</f>
        <v>0</v>
      </c>
      <c r="S82">
        <f>IF(F82="x",S81+1,0)</f>
        <v>0</v>
      </c>
      <c r="T82">
        <f>IF(G82="x",T81+1,0)</f>
        <v>0</v>
      </c>
      <c r="U82">
        <f>IF(H82="x",U81+1,0)</f>
        <v>0</v>
      </c>
      <c r="V82">
        <f>IF(I82="x",V81+1,0)</f>
        <v>0</v>
      </c>
      <c r="W82">
        <f>IF(J82="x",W81+1,0)</f>
        <v>0</v>
      </c>
      <c r="X82">
        <f>IF(K82="x",X81+1,0)</f>
        <v>0</v>
      </c>
      <c r="Y82">
        <f>IF(L82="x",Y81+1,0)</f>
        <v>0</v>
      </c>
      <c r="Z82">
        <f>IF(M82="x",Z81+1,0)</f>
        <v>0</v>
      </c>
    </row>
    <row r="83">
      <c r="B83" s="137">
        <f>IF(B82="","",IF(YEAR(B82+1)=Ano,B82+1,""))</f>
        <v>46089.0</v>
      </c>
      <c r="C83" s="128" t="str">
        <f>IF(B83="","",CHOOSE(WEEKDAY(B83),"Dom","Seg","Ter","Qua","Qui","Sex","Sáb"))</f>
        <v>Dom</v>
      </c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28">
        <f>IF(OR(B83="",B83&gt;Hoje),"",COUNTIF(D83:M83,"x"))</f>
        <v>0</v>
      </c>
      <c r="O83" s="133" t="str">
        <f>IF(OR(N83="",COUNTA($D$16:$M$16)=0),"",N83/COUNTA($D$16:$M$16))</f>
        <v/>
      </c>
      <c r="Q83">
        <f>IF(D83="x",Q82+1,0)</f>
        <v>0</v>
      </c>
      <c r="R83">
        <f>IF(E83="x",R82+1,0)</f>
        <v>0</v>
      </c>
      <c r="S83">
        <f>IF(F83="x",S82+1,0)</f>
        <v>0</v>
      </c>
      <c r="T83">
        <f>IF(G83="x",T82+1,0)</f>
        <v>0</v>
      </c>
      <c r="U83">
        <f>IF(H83="x",U82+1,0)</f>
        <v>0</v>
      </c>
      <c r="V83">
        <f>IF(I83="x",V82+1,0)</f>
        <v>0</v>
      </c>
      <c r="W83">
        <f>IF(J83="x",W82+1,0)</f>
        <v>0</v>
      </c>
      <c r="X83">
        <f>IF(K83="x",X82+1,0)</f>
        <v>0</v>
      </c>
      <c r="Y83">
        <f>IF(L83="x",Y82+1,0)</f>
        <v>0</v>
      </c>
      <c r="Z83">
        <f>IF(M83="x",Z82+1,0)</f>
        <v>0</v>
      </c>
    </row>
    <row r="84">
      <c r="B84" s="137">
        <f>IF(B83="","",IF(YEAR(B83+1)=Ano,B83+1,""))</f>
        <v>46090.0</v>
      </c>
      <c r="C84" s="128" t="str">
        <f>IF(B84="","",CHOOSE(WEEKDAY(B84),"Dom","Seg","Ter","Qua","Qui","Sex","Sáb"))</f>
        <v>Seg</v>
      </c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28">
        <f>IF(OR(B84="",B84&gt;Hoje),"",COUNTIF(D84:M84,"x"))</f>
        <v>0</v>
      </c>
      <c r="O84" s="133" t="str">
        <f>IF(OR(N84="",COUNTA($D$16:$M$16)=0),"",N84/COUNTA($D$16:$M$16))</f>
        <v/>
      </c>
      <c r="Q84">
        <f>IF(D84="x",Q83+1,0)</f>
        <v>0</v>
      </c>
      <c r="R84">
        <f>IF(E84="x",R83+1,0)</f>
        <v>0</v>
      </c>
      <c r="S84">
        <f>IF(F84="x",S83+1,0)</f>
        <v>0</v>
      </c>
      <c r="T84">
        <f>IF(G84="x",T83+1,0)</f>
        <v>0</v>
      </c>
      <c r="U84">
        <f>IF(H84="x",U83+1,0)</f>
        <v>0</v>
      </c>
      <c r="V84">
        <f>IF(I84="x",V83+1,0)</f>
        <v>0</v>
      </c>
      <c r="W84">
        <f>IF(J84="x",W83+1,0)</f>
        <v>0</v>
      </c>
      <c r="X84">
        <f>IF(K84="x",X83+1,0)</f>
        <v>0</v>
      </c>
      <c r="Y84">
        <f>IF(L84="x",Y83+1,0)</f>
        <v>0</v>
      </c>
      <c r="Z84">
        <f>IF(M84="x",Z83+1,0)</f>
        <v>0</v>
      </c>
    </row>
    <row r="85">
      <c r="B85" s="137">
        <f>IF(B84="","",IF(YEAR(B84+1)=Ano,B84+1,""))</f>
        <v>46091.0</v>
      </c>
      <c r="C85" s="128" t="str">
        <f>IF(B85="","",CHOOSE(WEEKDAY(B85),"Dom","Seg","Ter","Qua","Qui","Sex","Sáb"))</f>
        <v>Ter</v>
      </c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28">
        <f>IF(OR(B85="",B85&gt;Hoje),"",COUNTIF(D85:M85,"x"))</f>
        <v>0</v>
      </c>
      <c r="O85" s="133" t="str">
        <f>IF(OR(N85="",COUNTA($D$16:$M$16)=0),"",N85/COUNTA($D$16:$M$16))</f>
        <v/>
      </c>
      <c r="Q85">
        <f>IF(D85="x",Q84+1,0)</f>
        <v>0</v>
      </c>
      <c r="R85">
        <f>IF(E85="x",R84+1,0)</f>
        <v>0</v>
      </c>
      <c r="S85">
        <f>IF(F85="x",S84+1,0)</f>
        <v>0</v>
      </c>
      <c r="T85">
        <f>IF(G85="x",T84+1,0)</f>
        <v>0</v>
      </c>
      <c r="U85">
        <f>IF(H85="x",U84+1,0)</f>
        <v>0</v>
      </c>
      <c r="V85">
        <f>IF(I85="x",V84+1,0)</f>
        <v>0</v>
      </c>
      <c r="W85">
        <f>IF(J85="x",W84+1,0)</f>
        <v>0</v>
      </c>
      <c r="X85">
        <f>IF(K85="x",X84+1,0)</f>
        <v>0</v>
      </c>
      <c r="Y85">
        <f>IF(L85="x",Y84+1,0)</f>
        <v>0</v>
      </c>
      <c r="Z85">
        <f>IF(M85="x",Z84+1,0)</f>
        <v>0</v>
      </c>
    </row>
    <row r="86">
      <c r="B86" s="137">
        <f>IF(B85="","",IF(YEAR(B85+1)=Ano,B85+1,""))</f>
        <v>46092.0</v>
      </c>
      <c r="C86" s="128" t="str">
        <f>IF(B86="","",CHOOSE(WEEKDAY(B86),"Dom","Seg","Ter","Qua","Qui","Sex","Sáb"))</f>
        <v>Qua</v>
      </c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28">
        <f>IF(OR(B86="",B86&gt;Hoje),"",COUNTIF(D86:M86,"x"))</f>
        <v>0</v>
      </c>
      <c r="O86" s="133" t="str">
        <f>IF(OR(N86="",COUNTA($D$16:$M$16)=0),"",N86/COUNTA($D$16:$M$16))</f>
        <v/>
      </c>
      <c r="Q86">
        <f>IF(D86="x",Q85+1,0)</f>
        <v>0</v>
      </c>
      <c r="R86">
        <f>IF(E86="x",R85+1,0)</f>
        <v>0</v>
      </c>
      <c r="S86">
        <f>IF(F86="x",S85+1,0)</f>
        <v>0</v>
      </c>
      <c r="T86">
        <f>IF(G86="x",T85+1,0)</f>
        <v>0</v>
      </c>
      <c r="U86">
        <f>IF(H86="x",U85+1,0)</f>
        <v>0</v>
      </c>
      <c r="V86">
        <f>IF(I86="x",V85+1,0)</f>
        <v>0</v>
      </c>
      <c r="W86">
        <f>IF(J86="x",W85+1,0)</f>
        <v>0</v>
      </c>
      <c r="X86">
        <f>IF(K86="x",X85+1,0)</f>
        <v>0</v>
      </c>
      <c r="Y86">
        <f>IF(L86="x",Y85+1,0)</f>
        <v>0</v>
      </c>
      <c r="Z86">
        <f>IF(M86="x",Z85+1,0)</f>
        <v>0</v>
      </c>
    </row>
    <row r="87">
      <c r="B87" s="137">
        <f>IF(B86="","",IF(YEAR(B86+1)=Ano,B86+1,""))</f>
        <v>46093.0</v>
      </c>
      <c r="C87" s="128" t="str">
        <f>IF(B87="","",CHOOSE(WEEKDAY(B87),"Dom","Seg","Ter","Qua","Qui","Sex","Sáb"))</f>
        <v>Qui</v>
      </c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28">
        <f>IF(OR(B87="",B87&gt;Hoje),"",COUNTIF(D87:M87,"x"))</f>
        <v>0</v>
      </c>
      <c r="O87" s="133" t="str">
        <f>IF(OR(N87="",COUNTA($D$16:$M$16)=0),"",N87/COUNTA($D$16:$M$16))</f>
        <v/>
      </c>
      <c r="Q87">
        <f>IF(D87="x",Q86+1,0)</f>
        <v>0</v>
      </c>
      <c r="R87">
        <f>IF(E87="x",R86+1,0)</f>
        <v>0</v>
      </c>
      <c r="S87">
        <f>IF(F87="x",S86+1,0)</f>
        <v>0</v>
      </c>
      <c r="T87">
        <f>IF(G87="x",T86+1,0)</f>
        <v>0</v>
      </c>
      <c r="U87">
        <f>IF(H87="x",U86+1,0)</f>
        <v>0</v>
      </c>
      <c r="V87">
        <f>IF(I87="x",V86+1,0)</f>
        <v>0</v>
      </c>
      <c r="W87">
        <f>IF(J87="x",W86+1,0)</f>
        <v>0</v>
      </c>
      <c r="X87">
        <f>IF(K87="x",X86+1,0)</f>
        <v>0</v>
      </c>
      <c r="Y87">
        <f>IF(L87="x",Y86+1,0)</f>
        <v>0</v>
      </c>
      <c r="Z87">
        <f>IF(M87="x",Z86+1,0)</f>
        <v>0</v>
      </c>
    </row>
    <row r="88">
      <c r="B88" s="137">
        <f>IF(B87="","",IF(YEAR(B87+1)=Ano,B87+1,""))</f>
        <v>46094.0</v>
      </c>
      <c r="C88" s="128" t="str">
        <f>IF(B88="","",CHOOSE(WEEKDAY(B88),"Dom","Seg","Ter","Qua","Qui","Sex","Sáb"))</f>
        <v>Sex</v>
      </c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28">
        <f>IF(OR(B88="",B88&gt;Hoje),"",COUNTIF(D88:M88,"x"))</f>
        <v>0</v>
      </c>
      <c r="O88" s="133" t="str">
        <f>IF(OR(N88="",COUNTA($D$16:$M$16)=0),"",N88/COUNTA($D$16:$M$16))</f>
        <v/>
      </c>
      <c r="Q88">
        <f>IF(D88="x",Q87+1,0)</f>
        <v>0</v>
      </c>
      <c r="R88">
        <f>IF(E88="x",R87+1,0)</f>
        <v>0</v>
      </c>
      <c r="S88">
        <f>IF(F88="x",S87+1,0)</f>
        <v>0</v>
      </c>
      <c r="T88">
        <f>IF(G88="x",T87+1,0)</f>
        <v>0</v>
      </c>
      <c r="U88">
        <f>IF(H88="x",U87+1,0)</f>
        <v>0</v>
      </c>
      <c r="V88">
        <f>IF(I88="x",V87+1,0)</f>
        <v>0</v>
      </c>
      <c r="W88">
        <f>IF(J88="x",W87+1,0)</f>
        <v>0</v>
      </c>
      <c r="X88">
        <f>IF(K88="x",X87+1,0)</f>
        <v>0</v>
      </c>
      <c r="Y88">
        <f>IF(L88="x",Y87+1,0)</f>
        <v>0</v>
      </c>
      <c r="Z88">
        <f>IF(M88="x",Z87+1,0)</f>
        <v>0</v>
      </c>
    </row>
    <row r="89">
      <c r="B89" s="137">
        <f>IF(B88="","",IF(YEAR(B88+1)=Ano,B88+1,""))</f>
        <v>46095.0</v>
      </c>
      <c r="C89" s="128" t="str">
        <f>IF(B89="","",CHOOSE(WEEKDAY(B89),"Dom","Seg","Ter","Qua","Qui","Sex","Sáb"))</f>
        <v>Sáb</v>
      </c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28">
        <f>IF(OR(B89="",B89&gt;Hoje),"",COUNTIF(D89:M89,"x"))</f>
        <v>0</v>
      </c>
      <c r="O89" s="133" t="str">
        <f>IF(OR(N89="",COUNTA($D$16:$M$16)=0),"",N89/COUNTA($D$16:$M$16))</f>
        <v/>
      </c>
      <c r="Q89">
        <f>IF(D89="x",Q88+1,0)</f>
        <v>0</v>
      </c>
      <c r="R89">
        <f>IF(E89="x",R88+1,0)</f>
        <v>0</v>
      </c>
      <c r="S89">
        <f>IF(F89="x",S88+1,0)</f>
        <v>0</v>
      </c>
      <c r="T89">
        <f>IF(G89="x",T88+1,0)</f>
        <v>0</v>
      </c>
      <c r="U89">
        <f>IF(H89="x",U88+1,0)</f>
        <v>0</v>
      </c>
      <c r="V89">
        <f>IF(I89="x",V88+1,0)</f>
        <v>0</v>
      </c>
      <c r="W89">
        <f>IF(J89="x",W88+1,0)</f>
        <v>0</v>
      </c>
      <c r="X89">
        <f>IF(K89="x",X88+1,0)</f>
        <v>0</v>
      </c>
      <c r="Y89">
        <f>IF(L89="x",Y88+1,0)</f>
        <v>0</v>
      </c>
      <c r="Z89">
        <f>IF(M89="x",Z88+1,0)</f>
        <v>0</v>
      </c>
    </row>
    <row r="90">
      <c r="B90" s="137">
        <f>IF(B89="","",IF(YEAR(B89+1)=Ano,B89+1,""))</f>
        <v>46096.0</v>
      </c>
      <c r="C90" s="128" t="str">
        <f>IF(B90="","",CHOOSE(WEEKDAY(B90),"Dom","Seg","Ter","Qua","Qui","Sex","Sáb"))</f>
        <v>Dom</v>
      </c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28">
        <f>IF(OR(B90="",B90&gt;Hoje),"",COUNTIF(D90:M90,"x"))</f>
        <v>0</v>
      </c>
      <c r="O90" s="133" t="str">
        <f>IF(OR(N90="",COUNTA($D$16:$M$16)=0),"",N90/COUNTA($D$16:$M$16))</f>
        <v/>
      </c>
      <c r="Q90">
        <f>IF(D90="x",Q89+1,0)</f>
        <v>0</v>
      </c>
      <c r="R90">
        <f>IF(E90="x",R89+1,0)</f>
        <v>0</v>
      </c>
      <c r="S90">
        <f>IF(F90="x",S89+1,0)</f>
        <v>0</v>
      </c>
      <c r="T90">
        <f>IF(G90="x",T89+1,0)</f>
        <v>0</v>
      </c>
      <c r="U90">
        <f>IF(H90="x",U89+1,0)</f>
        <v>0</v>
      </c>
      <c r="V90">
        <f>IF(I90="x",V89+1,0)</f>
        <v>0</v>
      </c>
      <c r="W90">
        <f>IF(J90="x",W89+1,0)</f>
        <v>0</v>
      </c>
      <c r="X90">
        <f>IF(K90="x",X89+1,0)</f>
        <v>0</v>
      </c>
      <c r="Y90">
        <f>IF(L90="x",Y89+1,0)</f>
        <v>0</v>
      </c>
      <c r="Z90">
        <f>IF(M90="x",Z89+1,0)</f>
        <v>0</v>
      </c>
    </row>
    <row r="91">
      <c r="B91" s="137">
        <f>IF(B90="","",IF(YEAR(B90+1)=Ano,B90+1,""))</f>
        <v>46097.0</v>
      </c>
      <c r="C91" s="128" t="str">
        <f>IF(B91="","",CHOOSE(WEEKDAY(B91),"Dom","Seg","Ter","Qua","Qui","Sex","Sáb"))</f>
        <v>Seg</v>
      </c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28">
        <f>IF(OR(B91="",B91&gt;Hoje),"",COUNTIF(D91:M91,"x"))</f>
        <v>0</v>
      </c>
      <c r="O91" s="133" t="str">
        <f>IF(OR(N91="",COUNTA($D$16:$M$16)=0),"",N91/COUNTA($D$16:$M$16))</f>
        <v/>
      </c>
      <c r="Q91">
        <f>IF(D91="x",Q90+1,0)</f>
        <v>0</v>
      </c>
      <c r="R91">
        <f>IF(E91="x",R90+1,0)</f>
        <v>0</v>
      </c>
      <c r="S91">
        <f>IF(F91="x",S90+1,0)</f>
        <v>0</v>
      </c>
      <c r="T91">
        <f>IF(G91="x",T90+1,0)</f>
        <v>0</v>
      </c>
      <c r="U91">
        <f>IF(H91="x",U90+1,0)</f>
        <v>0</v>
      </c>
      <c r="V91">
        <f>IF(I91="x",V90+1,0)</f>
        <v>0</v>
      </c>
      <c r="W91">
        <f>IF(J91="x",W90+1,0)</f>
        <v>0</v>
      </c>
      <c r="X91">
        <f>IF(K91="x",X90+1,0)</f>
        <v>0</v>
      </c>
      <c r="Y91">
        <f>IF(L91="x",Y90+1,0)</f>
        <v>0</v>
      </c>
      <c r="Z91">
        <f>IF(M91="x",Z90+1,0)</f>
        <v>0</v>
      </c>
    </row>
    <row r="92">
      <c r="B92" s="137">
        <f>IF(B91="","",IF(YEAR(B91+1)=Ano,B91+1,""))</f>
        <v>46098.0</v>
      </c>
      <c r="C92" s="128" t="str">
        <f>IF(B92="","",CHOOSE(WEEKDAY(B92),"Dom","Seg","Ter","Qua","Qui","Sex","Sáb"))</f>
        <v>Ter</v>
      </c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28">
        <f>IF(OR(B92="",B92&gt;Hoje),"",COUNTIF(D92:M92,"x"))</f>
        <v>0</v>
      </c>
      <c r="O92" s="133" t="str">
        <f>IF(OR(N92="",COUNTA($D$16:$M$16)=0),"",N92/COUNTA($D$16:$M$16))</f>
        <v/>
      </c>
      <c r="Q92">
        <f>IF(D92="x",Q91+1,0)</f>
        <v>0</v>
      </c>
      <c r="R92">
        <f>IF(E92="x",R91+1,0)</f>
        <v>0</v>
      </c>
      <c r="S92">
        <f>IF(F92="x",S91+1,0)</f>
        <v>0</v>
      </c>
      <c r="T92">
        <f>IF(G92="x",T91+1,0)</f>
        <v>0</v>
      </c>
      <c r="U92">
        <f>IF(H92="x",U91+1,0)</f>
        <v>0</v>
      </c>
      <c r="V92">
        <f>IF(I92="x",V91+1,0)</f>
        <v>0</v>
      </c>
      <c r="W92">
        <f>IF(J92="x",W91+1,0)</f>
        <v>0</v>
      </c>
      <c r="X92">
        <f>IF(K92="x",X91+1,0)</f>
        <v>0</v>
      </c>
      <c r="Y92">
        <f>IF(L92="x",Y91+1,0)</f>
        <v>0</v>
      </c>
      <c r="Z92">
        <f>IF(M92="x",Z91+1,0)</f>
        <v>0</v>
      </c>
    </row>
    <row r="93">
      <c r="B93" s="137">
        <f>IF(B92="","",IF(YEAR(B92+1)=Ano,B92+1,""))</f>
        <v>46099.0</v>
      </c>
      <c r="C93" s="128" t="str">
        <f>IF(B93="","",CHOOSE(WEEKDAY(B93),"Dom","Seg","Ter","Qua","Qui","Sex","Sáb"))</f>
        <v>Qua</v>
      </c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28">
        <f>IF(OR(B93="",B93&gt;Hoje),"",COUNTIF(D93:M93,"x"))</f>
        <v>0</v>
      </c>
      <c r="O93" s="133" t="str">
        <f>IF(OR(N93="",COUNTA($D$16:$M$16)=0),"",N93/COUNTA($D$16:$M$16))</f>
        <v/>
      </c>
      <c r="Q93">
        <f>IF(D93="x",Q92+1,0)</f>
        <v>0</v>
      </c>
      <c r="R93">
        <f>IF(E93="x",R92+1,0)</f>
        <v>0</v>
      </c>
      <c r="S93">
        <f>IF(F93="x",S92+1,0)</f>
        <v>0</v>
      </c>
      <c r="T93">
        <f>IF(G93="x",T92+1,0)</f>
        <v>0</v>
      </c>
      <c r="U93">
        <f>IF(H93="x",U92+1,0)</f>
        <v>0</v>
      </c>
      <c r="V93">
        <f>IF(I93="x",V92+1,0)</f>
        <v>0</v>
      </c>
      <c r="W93">
        <f>IF(J93="x",W92+1,0)</f>
        <v>0</v>
      </c>
      <c r="X93">
        <f>IF(K93="x",X92+1,0)</f>
        <v>0</v>
      </c>
      <c r="Y93">
        <f>IF(L93="x",Y92+1,0)</f>
        <v>0</v>
      </c>
      <c r="Z93">
        <f>IF(M93="x",Z92+1,0)</f>
        <v>0</v>
      </c>
    </row>
    <row r="94">
      <c r="B94" s="137">
        <f>IF(B93="","",IF(YEAR(B93+1)=Ano,B93+1,""))</f>
        <v>46100.0</v>
      </c>
      <c r="C94" s="128" t="str">
        <f>IF(B94="","",CHOOSE(WEEKDAY(B94),"Dom","Seg","Ter","Qua","Qui","Sex","Sáb"))</f>
        <v>Qui</v>
      </c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28">
        <f>IF(OR(B94="",B94&gt;Hoje),"",COUNTIF(D94:M94,"x"))</f>
        <v>0</v>
      </c>
      <c r="O94" s="133" t="str">
        <f>IF(OR(N94="",COUNTA($D$16:$M$16)=0),"",N94/COUNTA($D$16:$M$16))</f>
        <v/>
      </c>
      <c r="Q94">
        <f>IF(D94="x",Q93+1,0)</f>
        <v>0</v>
      </c>
      <c r="R94">
        <f>IF(E94="x",R93+1,0)</f>
        <v>0</v>
      </c>
      <c r="S94">
        <f>IF(F94="x",S93+1,0)</f>
        <v>0</v>
      </c>
      <c r="T94">
        <f>IF(G94="x",T93+1,0)</f>
        <v>0</v>
      </c>
      <c r="U94">
        <f>IF(H94="x",U93+1,0)</f>
        <v>0</v>
      </c>
      <c r="V94">
        <f>IF(I94="x",V93+1,0)</f>
        <v>0</v>
      </c>
      <c r="W94">
        <f>IF(J94="x",W93+1,0)</f>
        <v>0</v>
      </c>
      <c r="X94">
        <f>IF(K94="x",X93+1,0)</f>
        <v>0</v>
      </c>
      <c r="Y94">
        <f>IF(L94="x",Y93+1,0)</f>
        <v>0</v>
      </c>
      <c r="Z94">
        <f>IF(M94="x",Z93+1,0)</f>
        <v>0</v>
      </c>
    </row>
    <row r="95">
      <c r="B95" s="137">
        <f>IF(B94="","",IF(YEAR(B94+1)=Ano,B94+1,""))</f>
        <v>46101.0</v>
      </c>
      <c r="C95" s="128" t="str">
        <f>IF(B95="","",CHOOSE(WEEKDAY(B95),"Dom","Seg","Ter","Qua","Qui","Sex","Sáb"))</f>
        <v>Sex</v>
      </c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28">
        <f>IF(OR(B95="",B95&gt;Hoje),"",COUNTIF(D95:M95,"x"))</f>
        <v>0</v>
      </c>
      <c r="O95" s="133" t="str">
        <f>IF(OR(N95="",COUNTA($D$16:$M$16)=0),"",N95/COUNTA($D$16:$M$16))</f>
        <v/>
      </c>
      <c r="Q95">
        <f>IF(D95="x",Q94+1,0)</f>
        <v>0</v>
      </c>
      <c r="R95">
        <f>IF(E95="x",R94+1,0)</f>
        <v>0</v>
      </c>
      <c r="S95">
        <f>IF(F95="x",S94+1,0)</f>
        <v>0</v>
      </c>
      <c r="T95">
        <f>IF(G95="x",T94+1,0)</f>
        <v>0</v>
      </c>
      <c r="U95">
        <f>IF(H95="x",U94+1,0)</f>
        <v>0</v>
      </c>
      <c r="V95">
        <f>IF(I95="x",V94+1,0)</f>
        <v>0</v>
      </c>
      <c r="W95">
        <f>IF(J95="x",W94+1,0)</f>
        <v>0</v>
      </c>
      <c r="X95">
        <f>IF(K95="x",X94+1,0)</f>
        <v>0</v>
      </c>
      <c r="Y95">
        <f>IF(L95="x",Y94+1,0)</f>
        <v>0</v>
      </c>
      <c r="Z95">
        <f>IF(M95="x",Z94+1,0)</f>
        <v>0</v>
      </c>
    </row>
    <row r="96">
      <c r="B96" s="137">
        <f>IF(B95="","",IF(YEAR(B95+1)=Ano,B95+1,""))</f>
        <v>46102.0</v>
      </c>
      <c r="C96" s="128" t="str">
        <f>IF(B96="","",CHOOSE(WEEKDAY(B96),"Dom","Seg","Ter","Qua","Qui","Sex","Sáb"))</f>
        <v>Sáb</v>
      </c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28">
        <f>IF(OR(B96="",B96&gt;Hoje),"",COUNTIF(D96:M96,"x"))</f>
        <v>0</v>
      </c>
      <c r="O96" s="133" t="str">
        <f>IF(OR(N96="",COUNTA($D$16:$M$16)=0),"",N96/COUNTA($D$16:$M$16))</f>
        <v/>
      </c>
      <c r="Q96">
        <f>IF(D96="x",Q95+1,0)</f>
        <v>0</v>
      </c>
      <c r="R96">
        <f>IF(E96="x",R95+1,0)</f>
        <v>0</v>
      </c>
      <c r="S96">
        <f>IF(F96="x",S95+1,0)</f>
        <v>0</v>
      </c>
      <c r="T96">
        <f>IF(G96="x",T95+1,0)</f>
        <v>0</v>
      </c>
      <c r="U96">
        <f>IF(H96="x",U95+1,0)</f>
        <v>0</v>
      </c>
      <c r="V96">
        <f>IF(I96="x",V95+1,0)</f>
        <v>0</v>
      </c>
      <c r="W96">
        <f>IF(J96="x",W95+1,0)</f>
        <v>0</v>
      </c>
      <c r="X96">
        <f>IF(K96="x",X95+1,0)</f>
        <v>0</v>
      </c>
      <c r="Y96">
        <f>IF(L96="x",Y95+1,0)</f>
        <v>0</v>
      </c>
      <c r="Z96">
        <f>IF(M96="x",Z95+1,0)</f>
        <v>0</v>
      </c>
    </row>
    <row r="97">
      <c r="B97" s="137">
        <f>IF(B96="","",IF(YEAR(B96+1)=Ano,B96+1,""))</f>
        <v>46103.0</v>
      </c>
      <c r="C97" s="128" t="str">
        <f>IF(B97="","",CHOOSE(WEEKDAY(B97),"Dom","Seg","Ter","Qua","Qui","Sex","Sáb"))</f>
        <v>Dom</v>
      </c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28">
        <f>IF(OR(B97="",B97&gt;Hoje),"",COUNTIF(D97:M97,"x"))</f>
        <v>0</v>
      </c>
      <c r="O97" s="133" t="str">
        <f>IF(OR(N97="",COUNTA($D$16:$M$16)=0),"",N97/COUNTA($D$16:$M$16))</f>
        <v/>
      </c>
      <c r="Q97">
        <f>IF(D97="x",Q96+1,0)</f>
        <v>0</v>
      </c>
      <c r="R97">
        <f>IF(E97="x",R96+1,0)</f>
        <v>0</v>
      </c>
      <c r="S97">
        <f>IF(F97="x",S96+1,0)</f>
        <v>0</v>
      </c>
      <c r="T97">
        <f>IF(G97="x",T96+1,0)</f>
        <v>0</v>
      </c>
      <c r="U97">
        <f>IF(H97="x",U96+1,0)</f>
        <v>0</v>
      </c>
      <c r="V97">
        <f>IF(I97="x",V96+1,0)</f>
        <v>0</v>
      </c>
      <c r="W97">
        <f>IF(J97="x",W96+1,0)</f>
        <v>0</v>
      </c>
      <c r="X97">
        <f>IF(K97="x",X96+1,0)</f>
        <v>0</v>
      </c>
      <c r="Y97">
        <f>IF(L97="x",Y96+1,0)</f>
        <v>0</v>
      </c>
      <c r="Z97">
        <f>IF(M97="x",Z96+1,0)</f>
        <v>0</v>
      </c>
    </row>
    <row r="98">
      <c r="B98" s="137">
        <f>IF(B97="","",IF(YEAR(B97+1)=Ano,B97+1,""))</f>
        <v>46104.0</v>
      </c>
      <c r="C98" s="128" t="str">
        <f>IF(B98="","",CHOOSE(WEEKDAY(B98),"Dom","Seg","Ter","Qua","Qui","Sex","Sáb"))</f>
        <v>Seg</v>
      </c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28">
        <f>IF(OR(B98="",B98&gt;Hoje),"",COUNTIF(D98:M98,"x"))</f>
        <v>0</v>
      </c>
      <c r="O98" s="133" t="str">
        <f>IF(OR(N98="",COUNTA($D$16:$M$16)=0),"",N98/COUNTA($D$16:$M$16))</f>
        <v/>
      </c>
      <c r="Q98">
        <f>IF(D98="x",Q97+1,0)</f>
        <v>0</v>
      </c>
      <c r="R98">
        <f>IF(E98="x",R97+1,0)</f>
        <v>0</v>
      </c>
      <c r="S98">
        <f>IF(F98="x",S97+1,0)</f>
        <v>0</v>
      </c>
      <c r="T98">
        <f>IF(G98="x",T97+1,0)</f>
        <v>0</v>
      </c>
      <c r="U98">
        <f>IF(H98="x",U97+1,0)</f>
        <v>0</v>
      </c>
      <c r="V98">
        <f>IF(I98="x",V97+1,0)</f>
        <v>0</v>
      </c>
      <c r="W98">
        <f>IF(J98="x",W97+1,0)</f>
        <v>0</v>
      </c>
      <c r="X98">
        <f>IF(K98="x",X97+1,0)</f>
        <v>0</v>
      </c>
      <c r="Y98">
        <f>IF(L98="x",Y97+1,0)</f>
        <v>0</v>
      </c>
      <c r="Z98">
        <f>IF(M98="x",Z97+1,0)</f>
        <v>0</v>
      </c>
    </row>
    <row r="99">
      <c r="B99" s="137">
        <f>IF(B98="","",IF(YEAR(B98+1)=Ano,B98+1,""))</f>
        <v>46105.0</v>
      </c>
      <c r="C99" s="128" t="str">
        <f>IF(B99="","",CHOOSE(WEEKDAY(B99),"Dom","Seg","Ter","Qua","Qui","Sex","Sáb"))</f>
        <v>Ter</v>
      </c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28">
        <f>IF(OR(B99="",B99&gt;Hoje),"",COUNTIF(D99:M99,"x"))</f>
        <v>0</v>
      </c>
      <c r="O99" s="133" t="str">
        <f>IF(OR(N99="",COUNTA($D$16:$M$16)=0),"",N99/COUNTA($D$16:$M$16))</f>
        <v/>
      </c>
      <c r="Q99">
        <f>IF(D99="x",Q98+1,0)</f>
        <v>0</v>
      </c>
      <c r="R99">
        <f>IF(E99="x",R98+1,0)</f>
        <v>0</v>
      </c>
      <c r="S99">
        <f>IF(F99="x",S98+1,0)</f>
        <v>0</v>
      </c>
      <c r="T99">
        <f>IF(G99="x",T98+1,0)</f>
        <v>0</v>
      </c>
      <c r="U99">
        <f>IF(H99="x",U98+1,0)</f>
        <v>0</v>
      </c>
      <c r="V99">
        <f>IF(I99="x",V98+1,0)</f>
        <v>0</v>
      </c>
      <c r="W99">
        <f>IF(J99="x",W98+1,0)</f>
        <v>0</v>
      </c>
      <c r="X99">
        <f>IF(K99="x",X98+1,0)</f>
        <v>0</v>
      </c>
      <c r="Y99">
        <f>IF(L99="x",Y98+1,0)</f>
        <v>0</v>
      </c>
      <c r="Z99">
        <f>IF(M99="x",Z98+1,0)</f>
        <v>0</v>
      </c>
    </row>
    <row r="100">
      <c r="B100" s="137">
        <f>IF(B99="","",IF(YEAR(B99+1)=Ano,B99+1,""))</f>
        <v>46106.0</v>
      </c>
      <c r="C100" s="128" t="str">
        <f>IF(B100="","",CHOOSE(WEEKDAY(B100),"Dom","Seg","Ter","Qua","Qui","Sex","Sáb"))</f>
        <v>Qua</v>
      </c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28">
        <f>IF(OR(B100="",B100&gt;Hoje),"",COUNTIF(D100:M100,"x"))</f>
        <v>0</v>
      </c>
      <c r="O100" s="133" t="str">
        <f>IF(OR(N100="",COUNTA($D$16:$M$16)=0),"",N100/COUNTA($D$16:$M$16))</f>
        <v/>
      </c>
      <c r="Q100">
        <f>IF(D100="x",Q99+1,0)</f>
        <v>0</v>
      </c>
      <c r="R100">
        <f>IF(E100="x",R99+1,0)</f>
        <v>0</v>
      </c>
      <c r="S100">
        <f>IF(F100="x",S99+1,0)</f>
        <v>0</v>
      </c>
      <c r="T100">
        <f>IF(G100="x",T99+1,0)</f>
        <v>0</v>
      </c>
      <c r="U100">
        <f>IF(H100="x",U99+1,0)</f>
        <v>0</v>
      </c>
      <c r="V100">
        <f>IF(I100="x",V99+1,0)</f>
        <v>0</v>
      </c>
      <c r="W100">
        <f>IF(J100="x",W99+1,0)</f>
        <v>0</v>
      </c>
      <c r="X100">
        <f>IF(K100="x",X99+1,0)</f>
        <v>0</v>
      </c>
      <c r="Y100">
        <f>IF(L100="x",Y99+1,0)</f>
        <v>0</v>
      </c>
      <c r="Z100">
        <f>IF(M100="x",Z99+1,0)</f>
        <v>0</v>
      </c>
    </row>
    <row r="101">
      <c r="B101" s="137">
        <f>IF(B100="","",IF(YEAR(B100+1)=Ano,B100+1,""))</f>
        <v>46107.0</v>
      </c>
      <c r="C101" s="128" t="str">
        <f>IF(B101="","",CHOOSE(WEEKDAY(B101),"Dom","Seg","Ter","Qua","Qui","Sex","Sáb"))</f>
        <v>Qui</v>
      </c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28">
        <f>IF(OR(B101="",B101&gt;Hoje),"",COUNTIF(D101:M101,"x"))</f>
        <v>0</v>
      </c>
      <c r="O101" s="133" t="str">
        <f>IF(OR(N101="",COUNTA($D$16:$M$16)=0),"",N101/COUNTA($D$16:$M$16))</f>
        <v/>
      </c>
      <c r="Q101">
        <f>IF(D101="x",Q100+1,0)</f>
        <v>0</v>
      </c>
      <c r="R101">
        <f>IF(E101="x",R100+1,0)</f>
        <v>0</v>
      </c>
      <c r="S101">
        <f>IF(F101="x",S100+1,0)</f>
        <v>0</v>
      </c>
      <c r="T101">
        <f>IF(G101="x",T100+1,0)</f>
        <v>0</v>
      </c>
      <c r="U101">
        <f>IF(H101="x",U100+1,0)</f>
        <v>0</v>
      </c>
      <c r="V101">
        <f>IF(I101="x",V100+1,0)</f>
        <v>0</v>
      </c>
      <c r="W101">
        <f>IF(J101="x",W100+1,0)</f>
        <v>0</v>
      </c>
      <c r="X101">
        <f>IF(K101="x",X100+1,0)</f>
        <v>0</v>
      </c>
      <c r="Y101">
        <f>IF(L101="x",Y100+1,0)</f>
        <v>0</v>
      </c>
      <c r="Z101">
        <f>IF(M101="x",Z100+1,0)</f>
        <v>0</v>
      </c>
    </row>
    <row r="102">
      <c r="B102" s="137">
        <f>IF(B101="","",IF(YEAR(B101+1)=Ano,B101+1,""))</f>
        <v>46108.0</v>
      </c>
      <c r="C102" s="128" t="str">
        <f>IF(B102="","",CHOOSE(WEEKDAY(B102),"Dom","Seg","Ter","Qua","Qui","Sex","Sáb"))</f>
        <v>Sex</v>
      </c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28">
        <f>IF(OR(B102="",B102&gt;Hoje),"",COUNTIF(D102:M102,"x"))</f>
        <v>0</v>
      </c>
      <c r="O102" s="133" t="str">
        <f>IF(OR(N102="",COUNTA($D$16:$M$16)=0),"",N102/COUNTA($D$16:$M$16))</f>
        <v/>
      </c>
      <c r="Q102">
        <f>IF(D102="x",Q101+1,0)</f>
        <v>0</v>
      </c>
      <c r="R102">
        <f>IF(E102="x",R101+1,0)</f>
        <v>0</v>
      </c>
      <c r="S102">
        <f>IF(F102="x",S101+1,0)</f>
        <v>0</v>
      </c>
      <c r="T102">
        <f>IF(G102="x",T101+1,0)</f>
        <v>0</v>
      </c>
      <c r="U102">
        <f>IF(H102="x",U101+1,0)</f>
        <v>0</v>
      </c>
      <c r="V102">
        <f>IF(I102="x",V101+1,0)</f>
        <v>0</v>
      </c>
      <c r="W102">
        <f>IF(J102="x",W101+1,0)</f>
        <v>0</v>
      </c>
      <c r="X102">
        <f>IF(K102="x",X101+1,0)</f>
        <v>0</v>
      </c>
      <c r="Y102">
        <f>IF(L102="x",Y101+1,0)</f>
        <v>0</v>
      </c>
      <c r="Z102">
        <f>IF(M102="x",Z101+1,0)</f>
        <v>0</v>
      </c>
    </row>
    <row r="103">
      <c r="B103" s="137">
        <f>IF(B102="","",IF(YEAR(B102+1)=Ano,B102+1,""))</f>
        <v>46109.0</v>
      </c>
      <c r="C103" s="128" t="str">
        <f>IF(B103="","",CHOOSE(WEEKDAY(B103),"Dom","Seg","Ter","Qua","Qui","Sex","Sáb"))</f>
        <v>Sáb</v>
      </c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28">
        <f>IF(OR(B103="",B103&gt;Hoje),"",COUNTIF(D103:M103,"x"))</f>
        <v>0</v>
      </c>
      <c r="O103" s="133" t="str">
        <f>IF(OR(N103="",COUNTA($D$16:$M$16)=0),"",N103/COUNTA($D$16:$M$16))</f>
        <v/>
      </c>
      <c r="Q103">
        <f>IF(D103="x",Q102+1,0)</f>
        <v>0</v>
      </c>
      <c r="R103">
        <f>IF(E103="x",R102+1,0)</f>
        <v>0</v>
      </c>
      <c r="S103">
        <f>IF(F103="x",S102+1,0)</f>
        <v>0</v>
      </c>
      <c r="T103">
        <f>IF(G103="x",T102+1,0)</f>
        <v>0</v>
      </c>
      <c r="U103">
        <f>IF(H103="x",U102+1,0)</f>
        <v>0</v>
      </c>
      <c r="V103">
        <f>IF(I103="x",V102+1,0)</f>
        <v>0</v>
      </c>
      <c r="W103">
        <f>IF(J103="x",W102+1,0)</f>
        <v>0</v>
      </c>
      <c r="X103">
        <f>IF(K103="x",X102+1,0)</f>
        <v>0</v>
      </c>
      <c r="Y103">
        <f>IF(L103="x",Y102+1,0)</f>
        <v>0</v>
      </c>
      <c r="Z103">
        <f>IF(M103="x",Z102+1,0)</f>
        <v>0</v>
      </c>
    </row>
    <row r="104">
      <c r="B104" s="137">
        <f>IF(B103="","",IF(YEAR(B103+1)=Ano,B103+1,""))</f>
        <v>46110.0</v>
      </c>
      <c r="C104" s="128" t="str">
        <f>IF(B104="","",CHOOSE(WEEKDAY(B104),"Dom","Seg","Ter","Qua","Qui","Sex","Sáb"))</f>
        <v>Dom</v>
      </c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28">
        <f>IF(OR(B104="",B104&gt;Hoje),"",COUNTIF(D104:M104,"x"))</f>
        <v>0</v>
      </c>
      <c r="O104" s="133" t="str">
        <f>IF(OR(N104="",COUNTA($D$16:$M$16)=0),"",N104/COUNTA($D$16:$M$16))</f>
        <v/>
      </c>
      <c r="Q104">
        <f>IF(D104="x",Q103+1,0)</f>
        <v>0</v>
      </c>
      <c r="R104">
        <f>IF(E104="x",R103+1,0)</f>
        <v>0</v>
      </c>
      <c r="S104">
        <f>IF(F104="x",S103+1,0)</f>
        <v>0</v>
      </c>
      <c r="T104">
        <f>IF(G104="x",T103+1,0)</f>
        <v>0</v>
      </c>
      <c r="U104">
        <f>IF(H104="x",U103+1,0)</f>
        <v>0</v>
      </c>
      <c r="V104">
        <f>IF(I104="x",V103+1,0)</f>
        <v>0</v>
      </c>
      <c r="W104">
        <f>IF(J104="x",W103+1,0)</f>
        <v>0</v>
      </c>
      <c r="X104">
        <f>IF(K104="x",X103+1,0)</f>
        <v>0</v>
      </c>
      <c r="Y104">
        <f>IF(L104="x",Y103+1,0)</f>
        <v>0</v>
      </c>
      <c r="Z104">
        <f>IF(M104="x",Z103+1,0)</f>
        <v>0</v>
      </c>
    </row>
    <row r="105">
      <c r="B105" s="137">
        <f>IF(B104="","",IF(YEAR(B104+1)=Ano,B104+1,""))</f>
        <v>46111.0</v>
      </c>
      <c r="C105" s="128" t="str">
        <f>IF(B105="","",CHOOSE(WEEKDAY(B105),"Dom","Seg","Ter","Qua","Qui","Sex","Sáb"))</f>
        <v>Seg</v>
      </c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28">
        <f>IF(OR(B105="",B105&gt;Hoje),"",COUNTIF(D105:M105,"x"))</f>
        <v>0</v>
      </c>
      <c r="O105" s="133" t="str">
        <f>IF(OR(N105="",COUNTA($D$16:$M$16)=0),"",N105/COUNTA($D$16:$M$16))</f>
        <v/>
      </c>
      <c r="Q105">
        <f>IF(D105="x",Q104+1,0)</f>
        <v>0</v>
      </c>
      <c r="R105">
        <f>IF(E105="x",R104+1,0)</f>
        <v>0</v>
      </c>
      <c r="S105">
        <f>IF(F105="x",S104+1,0)</f>
        <v>0</v>
      </c>
      <c r="T105">
        <f>IF(G105="x",T104+1,0)</f>
        <v>0</v>
      </c>
      <c r="U105">
        <f>IF(H105="x",U104+1,0)</f>
        <v>0</v>
      </c>
      <c r="V105">
        <f>IF(I105="x",V104+1,0)</f>
        <v>0</v>
      </c>
      <c r="W105">
        <f>IF(J105="x",W104+1,0)</f>
        <v>0</v>
      </c>
      <c r="X105">
        <f>IF(K105="x",X104+1,0)</f>
        <v>0</v>
      </c>
      <c r="Y105">
        <f>IF(L105="x",Y104+1,0)</f>
        <v>0</v>
      </c>
      <c r="Z105">
        <f>IF(M105="x",Z104+1,0)</f>
        <v>0</v>
      </c>
    </row>
    <row r="106">
      <c r="B106" s="137">
        <f>IF(B105="","",IF(YEAR(B105+1)=Ano,B105+1,""))</f>
        <v>46112.0</v>
      </c>
      <c r="C106" s="128" t="str">
        <f>IF(B106="","",CHOOSE(WEEKDAY(B106),"Dom","Seg","Ter","Qua","Qui","Sex","Sáb"))</f>
        <v>Ter</v>
      </c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28">
        <f>IF(OR(B106="",B106&gt;Hoje),"",COUNTIF(D106:M106,"x"))</f>
        <v>0</v>
      </c>
      <c r="O106" s="133" t="str">
        <f>IF(OR(N106="",COUNTA($D$16:$M$16)=0),"",N106/COUNTA($D$16:$M$16))</f>
        <v/>
      </c>
      <c r="Q106">
        <f>IF(D106="x",Q105+1,0)</f>
        <v>0</v>
      </c>
      <c r="R106">
        <f>IF(E106="x",R105+1,0)</f>
        <v>0</v>
      </c>
      <c r="S106">
        <f>IF(F106="x",S105+1,0)</f>
        <v>0</v>
      </c>
      <c r="T106">
        <f>IF(G106="x",T105+1,0)</f>
        <v>0</v>
      </c>
      <c r="U106">
        <f>IF(H106="x",U105+1,0)</f>
        <v>0</v>
      </c>
      <c r="V106">
        <f>IF(I106="x",V105+1,0)</f>
        <v>0</v>
      </c>
      <c r="W106">
        <f>IF(J106="x",W105+1,0)</f>
        <v>0</v>
      </c>
      <c r="X106">
        <f>IF(K106="x",X105+1,0)</f>
        <v>0</v>
      </c>
      <c r="Y106">
        <f>IF(L106="x",Y105+1,0)</f>
        <v>0</v>
      </c>
      <c r="Z106">
        <f>IF(M106="x",Z105+1,0)</f>
        <v>0</v>
      </c>
    </row>
    <row r="107">
      <c r="B107" s="137">
        <f>IF(B106="","",IF(YEAR(B106+1)=Ano,B106+1,""))</f>
        <v>46113.0</v>
      </c>
      <c r="C107" s="128" t="str">
        <f>IF(B107="","",CHOOSE(WEEKDAY(B107),"Dom","Seg","Ter","Qua","Qui","Sex","Sáb"))</f>
        <v>Qua</v>
      </c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28">
        <f>IF(OR(B107="",B107&gt;Hoje),"",COUNTIF(D107:M107,"x"))</f>
        <v>0</v>
      </c>
      <c r="O107" s="133" t="str">
        <f>IF(OR(N107="",COUNTA($D$16:$M$16)=0),"",N107/COUNTA($D$16:$M$16))</f>
        <v/>
      </c>
      <c r="Q107">
        <f>IF(D107="x",Q106+1,0)</f>
        <v>0</v>
      </c>
      <c r="R107">
        <f>IF(E107="x",R106+1,0)</f>
        <v>0</v>
      </c>
      <c r="S107">
        <f>IF(F107="x",S106+1,0)</f>
        <v>0</v>
      </c>
      <c r="T107">
        <f>IF(G107="x",T106+1,0)</f>
        <v>0</v>
      </c>
      <c r="U107">
        <f>IF(H107="x",U106+1,0)</f>
        <v>0</v>
      </c>
      <c r="V107">
        <f>IF(I107="x",V106+1,0)</f>
        <v>0</v>
      </c>
      <c r="W107">
        <f>IF(J107="x",W106+1,0)</f>
        <v>0</v>
      </c>
      <c r="X107">
        <f>IF(K107="x",X106+1,0)</f>
        <v>0</v>
      </c>
      <c r="Y107">
        <f>IF(L107="x",Y106+1,0)</f>
        <v>0</v>
      </c>
      <c r="Z107">
        <f>IF(M107="x",Z106+1,0)</f>
        <v>0</v>
      </c>
    </row>
    <row r="108">
      <c r="B108" s="137">
        <f>IF(B107="","",IF(YEAR(B107+1)=Ano,B107+1,""))</f>
        <v>46114.0</v>
      </c>
      <c r="C108" s="128" t="str">
        <f>IF(B108="","",CHOOSE(WEEKDAY(B108),"Dom","Seg","Ter","Qua","Qui","Sex","Sáb"))</f>
        <v>Qui</v>
      </c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28">
        <f>IF(OR(B108="",B108&gt;Hoje),"",COUNTIF(D108:M108,"x"))</f>
        <v>0</v>
      </c>
      <c r="O108" s="133" t="str">
        <f>IF(OR(N108="",COUNTA($D$16:$M$16)=0),"",N108/COUNTA($D$16:$M$16))</f>
        <v/>
      </c>
      <c r="Q108">
        <f>IF(D108="x",Q107+1,0)</f>
        <v>0</v>
      </c>
      <c r="R108">
        <f>IF(E108="x",R107+1,0)</f>
        <v>0</v>
      </c>
      <c r="S108">
        <f>IF(F108="x",S107+1,0)</f>
        <v>0</v>
      </c>
      <c r="T108">
        <f>IF(G108="x",T107+1,0)</f>
        <v>0</v>
      </c>
      <c r="U108">
        <f>IF(H108="x",U107+1,0)</f>
        <v>0</v>
      </c>
      <c r="V108">
        <f>IF(I108="x",V107+1,0)</f>
        <v>0</v>
      </c>
      <c r="W108">
        <f>IF(J108="x",W107+1,0)</f>
        <v>0</v>
      </c>
      <c r="X108">
        <f>IF(K108="x",X107+1,0)</f>
        <v>0</v>
      </c>
      <c r="Y108">
        <f>IF(L108="x",Y107+1,0)</f>
        <v>0</v>
      </c>
      <c r="Z108">
        <f>IF(M108="x",Z107+1,0)</f>
        <v>0</v>
      </c>
    </row>
    <row r="109">
      <c r="B109" s="137">
        <f>IF(B108="","",IF(YEAR(B108+1)=Ano,B108+1,""))</f>
        <v>46115.0</v>
      </c>
      <c r="C109" s="128" t="str">
        <f>IF(B109="","",CHOOSE(WEEKDAY(B109),"Dom","Seg","Ter","Qua","Qui","Sex","Sáb"))</f>
        <v>Sex</v>
      </c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28">
        <f>IF(OR(B109="",B109&gt;Hoje),"",COUNTIF(D109:M109,"x"))</f>
        <v>0</v>
      </c>
      <c r="O109" s="133" t="str">
        <f>IF(OR(N109="",COUNTA($D$16:$M$16)=0),"",N109/COUNTA($D$16:$M$16))</f>
        <v/>
      </c>
      <c r="Q109">
        <f>IF(D109="x",Q108+1,0)</f>
        <v>0</v>
      </c>
      <c r="R109">
        <f>IF(E109="x",R108+1,0)</f>
        <v>0</v>
      </c>
      <c r="S109">
        <f>IF(F109="x",S108+1,0)</f>
        <v>0</v>
      </c>
      <c r="T109">
        <f>IF(G109="x",T108+1,0)</f>
        <v>0</v>
      </c>
      <c r="U109">
        <f>IF(H109="x",U108+1,0)</f>
        <v>0</v>
      </c>
      <c r="V109">
        <f>IF(I109="x",V108+1,0)</f>
        <v>0</v>
      </c>
      <c r="W109">
        <f>IF(J109="x",W108+1,0)</f>
        <v>0</v>
      </c>
      <c r="X109">
        <f>IF(K109="x",X108+1,0)</f>
        <v>0</v>
      </c>
      <c r="Y109">
        <f>IF(L109="x",Y108+1,0)</f>
        <v>0</v>
      </c>
      <c r="Z109">
        <f>IF(M109="x",Z108+1,0)</f>
        <v>0</v>
      </c>
    </row>
    <row r="110">
      <c r="B110" s="137">
        <f>IF(B109="","",IF(YEAR(B109+1)=Ano,B109+1,""))</f>
        <v>46116.0</v>
      </c>
      <c r="C110" s="128" t="str">
        <f>IF(B110="","",CHOOSE(WEEKDAY(B110),"Dom","Seg","Ter","Qua","Qui","Sex","Sáb"))</f>
        <v>Sáb</v>
      </c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28">
        <f>IF(OR(B110="",B110&gt;Hoje),"",COUNTIF(D110:M110,"x"))</f>
        <v>0</v>
      </c>
      <c r="O110" s="133" t="str">
        <f>IF(OR(N110="",COUNTA($D$16:$M$16)=0),"",N110/COUNTA($D$16:$M$16))</f>
        <v/>
      </c>
      <c r="Q110">
        <f>IF(D110="x",Q109+1,0)</f>
        <v>0</v>
      </c>
      <c r="R110">
        <f>IF(E110="x",R109+1,0)</f>
        <v>0</v>
      </c>
      <c r="S110">
        <f>IF(F110="x",S109+1,0)</f>
        <v>0</v>
      </c>
      <c r="T110">
        <f>IF(G110="x",T109+1,0)</f>
        <v>0</v>
      </c>
      <c r="U110">
        <f>IF(H110="x",U109+1,0)</f>
        <v>0</v>
      </c>
      <c r="V110">
        <f>IF(I110="x",V109+1,0)</f>
        <v>0</v>
      </c>
      <c r="W110">
        <f>IF(J110="x",W109+1,0)</f>
        <v>0</v>
      </c>
      <c r="X110">
        <f>IF(K110="x",X109+1,0)</f>
        <v>0</v>
      </c>
      <c r="Y110">
        <f>IF(L110="x",Y109+1,0)</f>
        <v>0</v>
      </c>
      <c r="Z110">
        <f>IF(M110="x",Z109+1,0)</f>
        <v>0</v>
      </c>
    </row>
    <row r="111">
      <c r="B111" s="137">
        <f>IF(B110="","",IF(YEAR(B110+1)=Ano,B110+1,""))</f>
        <v>46117.0</v>
      </c>
      <c r="C111" s="128" t="str">
        <f>IF(B111="","",CHOOSE(WEEKDAY(B111),"Dom","Seg","Ter","Qua","Qui","Sex","Sáb"))</f>
        <v>Dom</v>
      </c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28">
        <f>IF(OR(B111="",B111&gt;Hoje),"",COUNTIF(D111:M111,"x"))</f>
        <v>0</v>
      </c>
      <c r="O111" s="133" t="str">
        <f>IF(OR(N111="",COUNTA($D$16:$M$16)=0),"",N111/COUNTA($D$16:$M$16))</f>
        <v/>
      </c>
      <c r="Q111">
        <f>IF(D111="x",Q110+1,0)</f>
        <v>0</v>
      </c>
      <c r="R111">
        <f>IF(E111="x",R110+1,0)</f>
        <v>0</v>
      </c>
      <c r="S111">
        <f>IF(F111="x",S110+1,0)</f>
        <v>0</v>
      </c>
      <c r="T111">
        <f>IF(G111="x",T110+1,0)</f>
        <v>0</v>
      </c>
      <c r="U111">
        <f>IF(H111="x",U110+1,0)</f>
        <v>0</v>
      </c>
      <c r="V111">
        <f>IF(I111="x",V110+1,0)</f>
        <v>0</v>
      </c>
      <c r="W111">
        <f>IF(J111="x",W110+1,0)</f>
        <v>0</v>
      </c>
      <c r="X111">
        <f>IF(K111="x",X110+1,0)</f>
        <v>0</v>
      </c>
      <c r="Y111">
        <f>IF(L111="x",Y110+1,0)</f>
        <v>0</v>
      </c>
      <c r="Z111">
        <f>IF(M111="x",Z110+1,0)</f>
        <v>0</v>
      </c>
    </row>
    <row r="112">
      <c r="B112" s="137">
        <f>IF(B111="","",IF(YEAR(B111+1)=Ano,B111+1,""))</f>
        <v>46118.0</v>
      </c>
      <c r="C112" s="128" t="str">
        <f>IF(B112="","",CHOOSE(WEEKDAY(B112),"Dom","Seg","Ter","Qua","Qui","Sex","Sáb"))</f>
        <v>Seg</v>
      </c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28">
        <f>IF(OR(B112="",B112&gt;Hoje),"",COUNTIF(D112:M112,"x"))</f>
        <v>0</v>
      </c>
      <c r="O112" s="133" t="str">
        <f>IF(OR(N112="",COUNTA($D$16:$M$16)=0),"",N112/COUNTA($D$16:$M$16))</f>
        <v/>
      </c>
      <c r="Q112">
        <f>IF(D112="x",Q111+1,0)</f>
        <v>0</v>
      </c>
      <c r="R112">
        <f>IF(E112="x",R111+1,0)</f>
        <v>0</v>
      </c>
      <c r="S112">
        <f>IF(F112="x",S111+1,0)</f>
        <v>0</v>
      </c>
      <c r="T112">
        <f>IF(G112="x",T111+1,0)</f>
        <v>0</v>
      </c>
      <c r="U112">
        <f>IF(H112="x",U111+1,0)</f>
        <v>0</v>
      </c>
      <c r="V112">
        <f>IF(I112="x",V111+1,0)</f>
        <v>0</v>
      </c>
      <c r="W112">
        <f>IF(J112="x",W111+1,0)</f>
        <v>0</v>
      </c>
      <c r="X112">
        <f>IF(K112="x",X111+1,0)</f>
        <v>0</v>
      </c>
      <c r="Y112">
        <f>IF(L112="x",Y111+1,0)</f>
        <v>0</v>
      </c>
      <c r="Z112">
        <f>IF(M112="x",Z111+1,0)</f>
        <v>0</v>
      </c>
    </row>
    <row r="113">
      <c r="B113" s="137">
        <f>IF(B112="","",IF(YEAR(B112+1)=Ano,B112+1,""))</f>
        <v>46119.0</v>
      </c>
      <c r="C113" s="128" t="str">
        <f>IF(B113="","",CHOOSE(WEEKDAY(B113),"Dom","Seg","Ter","Qua","Qui","Sex","Sáb"))</f>
        <v>Ter</v>
      </c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28">
        <f>IF(OR(B113="",B113&gt;Hoje),"",COUNTIF(D113:M113,"x"))</f>
        <v>0</v>
      </c>
      <c r="O113" s="133" t="str">
        <f>IF(OR(N113="",COUNTA($D$16:$M$16)=0),"",N113/COUNTA($D$16:$M$16))</f>
        <v/>
      </c>
      <c r="Q113">
        <f>IF(D113="x",Q112+1,0)</f>
        <v>0</v>
      </c>
      <c r="R113">
        <f>IF(E113="x",R112+1,0)</f>
        <v>0</v>
      </c>
      <c r="S113">
        <f>IF(F113="x",S112+1,0)</f>
        <v>0</v>
      </c>
      <c r="T113">
        <f>IF(G113="x",T112+1,0)</f>
        <v>0</v>
      </c>
      <c r="U113">
        <f>IF(H113="x",U112+1,0)</f>
        <v>0</v>
      </c>
      <c r="V113">
        <f>IF(I113="x",V112+1,0)</f>
        <v>0</v>
      </c>
      <c r="W113">
        <f>IF(J113="x",W112+1,0)</f>
        <v>0</v>
      </c>
      <c r="X113">
        <f>IF(K113="x",X112+1,0)</f>
        <v>0</v>
      </c>
      <c r="Y113">
        <f>IF(L113="x",Y112+1,0)</f>
        <v>0</v>
      </c>
      <c r="Z113">
        <f>IF(M113="x",Z112+1,0)</f>
        <v>0</v>
      </c>
    </row>
    <row r="114">
      <c r="B114" s="137">
        <f>IF(B113="","",IF(YEAR(B113+1)=Ano,B113+1,""))</f>
        <v>46120.0</v>
      </c>
      <c r="C114" s="128" t="str">
        <f>IF(B114="","",CHOOSE(WEEKDAY(B114),"Dom","Seg","Ter","Qua","Qui","Sex","Sáb"))</f>
        <v>Qua</v>
      </c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28">
        <f>IF(OR(B114="",B114&gt;Hoje),"",COUNTIF(D114:M114,"x"))</f>
        <v>0</v>
      </c>
      <c r="O114" s="133" t="str">
        <f>IF(OR(N114="",COUNTA($D$16:$M$16)=0),"",N114/COUNTA($D$16:$M$16))</f>
        <v/>
      </c>
      <c r="Q114">
        <f>IF(D114="x",Q113+1,0)</f>
        <v>0</v>
      </c>
      <c r="R114">
        <f>IF(E114="x",R113+1,0)</f>
        <v>0</v>
      </c>
      <c r="S114">
        <f>IF(F114="x",S113+1,0)</f>
        <v>0</v>
      </c>
      <c r="T114">
        <f>IF(G114="x",T113+1,0)</f>
        <v>0</v>
      </c>
      <c r="U114">
        <f>IF(H114="x",U113+1,0)</f>
        <v>0</v>
      </c>
      <c r="V114">
        <f>IF(I114="x",V113+1,0)</f>
        <v>0</v>
      </c>
      <c r="W114">
        <f>IF(J114="x",W113+1,0)</f>
        <v>0</v>
      </c>
      <c r="X114">
        <f>IF(K114="x",X113+1,0)</f>
        <v>0</v>
      </c>
      <c r="Y114">
        <f>IF(L114="x",Y113+1,0)</f>
        <v>0</v>
      </c>
      <c r="Z114">
        <f>IF(M114="x",Z113+1,0)</f>
        <v>0</v>
      </c>
    </row>
    <row r="115">
      <c r="B115" s="137">
        <f>IF(B114="","",IF(YEAR(B114+1)=Ano,B114+1,""))</f>
        <v>46121.0</v>
      </c>
      <c r="C115" s="128" t="str">
        <f>IF(B115="","",CHOOSE(WEEKDAY(B115),"Dom","Seg","Ter","Qua","Qui","Sex","Sáb"))</f>
        <v>Qui</v>
      </c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28">
        <f>IF(OR(B115="",B115&gt;Hoje),"",COUNTIF(D115:M115,"x"))</f>
        <v>0</v>
      </c>
      <c r="O115" s="133" t="str">
        <f>IF(OR(N115="",COUNTA($D$16:$M$16)=0),"",N115/COUNTA($D$16:$M$16))</f>
        <v/>
      </c>
      <c r="Q115">
        <f>IF(D115="x",Q114+1,0)</f>
        <v>0</v>
      </c>
      <c r="R115">
        <f>IF(E115="x",R114+1,0)</f>
        <v>0</v>
      </c>
      <c r="S115">
        <f>IF(F115="x",S114+1,0)</f>
        <v>0</v>
      </c>
      <c r="T115">
        <f>IF(G115="x",T114+1,0)</f>
        <v>0</v>
      </c>
      <c r="U115">
        <f>IF(H115="x",U114+1,0)</f>
        <v>0</v>
      </c>
      <c r="V115">
        <f>IF(I115="x",V114+1,0)</f>
        <v>0</v>
      </c>
      <c r="W115">
        <f>IF(J115="x",W114+1,0)</f>
        <v>0</v>
      </c>
      <c r="X115">
        <f>IF(K115="x",X114+1,0)</f>
        <v>0</v>
      </c>
      <c r="Y115">
        <f>IF(L115="x",Y114+1,0)</f>
        <v>0</v>
      </c>
      <c r="Z115">
        <f>IF(M115="x",Z114+1,0)</f>
        <v>0</v>
      </c>
    </row>
    <row r="116">
      <c r="B116" s="137">
        <f>IF(B115="","",IF(YEAR(B115+1)=Ano,B115+1,""))</f>
        <v>46122.0</v>
      </c>
      <c r="C116" s="128" t="str">
        <f>IF(B116="","",CHOOSE(WEEKDAY(B116),"Dom","Seg","Ter","Qua","Qui","Sex","Sáb"))</f>
        <v>Sex</v>
      </c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28">
        <f>IF(OR(B116="",B116&gt;Hoje),"",COUNTIF(D116:M116,"x"))</f>
        <v>0</v>
      </c>
      <c r="O116" s="133" t="str">
        <f>IF(OR(N116="",COUNTA($D$16:$M$16)=0),"",N116/COUNTA($D$16:$M$16))</f>
        <v/>
      </c>
      <c r="Q116">
        <f>IF(D116="x",Q115+1,0)</f>
        <v>0</v>
      </c>
      <c r="R116">
        <f>IF(E116="x",R115+1,0)</f>
        <v>0</v>
      </c>
      <c r="S116">
        <f>IF(F116="x",S115+1,0)</f>
        <v>0</v>
      </c>
      <c r="T116">
        <f>IF(G116="x",T115+1,0)</f>
        <v>0</v>
      </c>
      <c r="U116">
        <f>IF(H116="x",U115+1,0)</f>
        <v>0</v>
      </c>
      <c r="V116">
        <f>IF(I116="x",V115+1,0)</f>
        <v>0</v>
      </c>
      <c r="W116">
        <f>IF(J116="x",W115+1,0)</f>
        <v>0</v>
      </c>
      <c r="X116">
        <f>IF(K116="x",X115+1,0)</f>
        <v>0</v>
      </c>
      <c r="Y116">
        <f>IF(L116="x",Y115+1,0)</f>
        <v>0</v>
      </c>
      <c r="Z116">
        <f>IF(M116="x",Z115+1,0)</f>
        <v>0</v>
      </c>
    </row>
    <row r="117">
      <c r="B117" s="137">
        <f>IF(B116="","",IF(YEAR(B116+1)=Ano,B116+1,""))</f>
        <v>46123.0</v>
      </c>
      <c r="C117" s="128" t="str">
        <f>IF(B117="","",CHOOSE(WEEKDAY(B117),"Dom","Seg","Ter","Qua","Qui","Sex","Sáb"))</f>
        <v>Sáb</v>
      </c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28">
        <f>IF(OR(B117="",B117&gt;Hoje),"",COUNTIF(D117:M117,"x"))</f>
        <v>0</v>
      </c>
      <c r="O117" s="133" t="str">
        <f>IF(OR(N117="",COUNTA($D$16:$M$16)=0),"",N117/COUNTA($D$16:$M$16))</f>
        <v/>
      </c>
      <c r="Q117">
        <f>IF(D117="x",Q116+1,0)</f>
        <v>0</v>
      </c>
      <c r="R117">
        <f>IF(E117="x",R116+1,0)</f>
        <v>0</v>
      </c>
      <c r="S117">
        <f>IF(F117="x",S116+1,0)</f>
        <v>0</v>
      </c>
      <c r="T117">
        <f>IF(G117="x",T116+1,0)</f>
        <v>0</v>
      </c>
      <c r="U117">
        <f>IF(H117="x",U116+1,0)</f>
        <v>0</v>
      </c>
      <c r="V117">
        <f>IF(I117="x",V116+1,0)</f>
        <v>0</v>
      </c>
      <c r="W117">
        <f>IF(J117="x",W116+1,0)</f>
        <v>0</v>
      </c>
      <c r="X117">
        <f>IF(K117="x",X116+1,0)</f>
        <v>0</v>
      </c>
      <c r="Y117">
        <f>IF(L117="x",Y116+1,0)</f>
        <v>0</v>
      </c>
      <c r="Z117">
        <f>IF(M117="x",Z116+1,0)</f>
        <v>0</v>
      </c>
    </row>
    <row r="118">
      <c r="B118" s="137">
        <f>IF(B117="","",IF(YEAR(B117+1)=Ano,B117+1,""))</f>
        <v>46124.0</v>
      </c>
      <c r="C118" s="128" t="str">
        <f>IF(B118="","",CHOOSE(WEEKDAY(B118),"Dom","Seg","Ter","Qua","Qui","Sex","Sáb"))</f>
        <v>Dom</v>
      </c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28">
        <f>IF(OR(B118="",B118&gt;Hoje),"",COUNTIF(D118:M118,"x"))</f>
        <v>0</v>
      </c>
      <c r="O118" s="133" t="str">
        <f>IF(OR(N118="",COUNTA($D$16:$M$16)=0),"",N118/COUNTA($D$16:$M$16))</f>
        <v/>
      </c>
      <c r="Q118">
        <f>IF(D118="x",Q117+1,0)</f>
        <v>0</v>
      </c>
      <c r="R118">
        <f>IF(E118="x",R117+1,0)</f>
        <v>0</v>
      </c>
      <c r="S118">
        <f>IF(F118="x",S117+1,0)</f>
        <v>0</v>
      </c>
      <c r="T118">
        <f>IF(G118="x",T117+1,0)</f>
        <v>0</v>
      </c>
      <c r="U118">
        <f>IF(H118="x",U117+1,0)</f>
        <v>0</v>
      </c>
      <c r="V118">
        <f>IF(I118="x",V117+1,0)</f>
        <v>0</v>
      </c>
      <c r="W118">
        <f>IF(J118="x",W117+1,0)</f>
        <v>0</v>
      </c>
      <c r="X118">
        <f>IF(K118="x",X117+1,0)</f>
        <v>0</v>
      </c>
      <c r="Y118">
        <f>IF(L118="x",Y117+1,0)</f>
        <v>0</v>
      </c>
      <c r="Z118">
        <f>IF(M118="x",Z117+1,0)</f>
        <v>0</v>
      </c>
    </row>
    <row r="119">
      <c r="B119" s="137">
        <f>IF(B118="","",IF(YEAR(B118+1)=Ano,B118+1,""))</f>
        <v>46125.0</v>
      </c>
      <c r="C119" s="128" t="str">
        <f>IF(B119="","",CHOOSE(WEEKDAY(B119),"Dom","Seg","Ter","Qua","Qui","Sex","Sáb"))</f>
        <v>Seg</v>
      </c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28">
        <f>IF(OR(B119="",B119&gt;Hoje),"",COUNTIF(D119:M119,"x"))</f>
        <v>0</v>
      </c>
      <c r="O119" s="133" t="str">
        <f>IF(OR(N119="",COUNTA($D$16:$M$16)=0),"",N119/COUNTA($D$16:$M$16))</f>
        <v/>
      </c>
      <c r="Q119">
        <f>IF(D119="x",Q118+1,0)</f>
        <v>0</v>
      </c>
      <c r="R119">
        <f>IF(E119="x",R118+1,0)</f>
        <v>0</v>
      </c>
      <c r="S119">
        <f>IF(F119="x",S118+1,0)</f>
        <v>0</v>
      </c>
      <c r="T119">
        <f>IF(G119="x",T118+1,0)</f>
        <v>0</v>
      </c>
      <c r="U119">
        <f>IF(H119="x",U118+1,0)</f>
        <v>0</v>
      </c>
      <c r="V119">
        <f>IF(I119="x",V118+1,0)</f>
        <v>0</v>
      </c>
      <c r="W119">
        <f>IF(J119="x",W118+1,0)</f>
        <v>0</v>
      </c>
      <c r="X119">
        <f>IF(K119="x",X118+1,0)</f>
        <v>0</v>
      </c>
      <c r="Y119">
        <f>IF(L119="x",Y118+1,0)</f>
        <v>0</v>
      </c>
      <c r="Z119">
        <f>IF(M119="x",Z118+1,0)</f>
        <v>0</v>
      </c>
    </row>
    <row r="120">
      <c r="B120" s="137">
        <f>IF(B119="","",IF(YEAR(B119+1)=Ano,B119+1,""))</f>
        <v>46126.0</v>
      </c>
      <c r="C120" s="128" t="str">
        <f>IF(B120="","",CHOOSE(WEEKDAY(B120),"Dom","Seg","Ter","Qua","Qui","Sex","Sáb"))</f>
        <v>Ter</v>
      </c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28">
        <f>IF(OR(B120="",B120&gt;Hoje),"",COUNTIF(D120:M120,"x"))</f>
        <v>0</v>
      </c>
      <c r="O120" s="133" t="str">
        <f>IF(OR(N120="",COUNTA($D$16:$M$16)=0),"",N120/COUNTA($D$16:$M$16))</f>
        <v/>
      </c>
      <c r="Q120">
        <f>IF(D120="x",Q119+1,0)</f>
        <v>0</v>
      </c>
      <c r="R120">
        <f>IF(E120="x",R119+1,0)</f>
        <v>0</v>
      </c>
      <c r="S120">
        <f>IF(F120="x",S119+1,0)</f>
        <v>0</v>
      </c>
      <c r="T120">
        <f>IF(G120="x",T119+1,0)</f>
        <v>0</v>
      </c>
      <c r="U120">
        <f>IF(H120="x",U119+1,0)</f>
        <v>0</v>
      </c>
      <c r="V120">
        <f>IF(I120="x",V119+1,0)</f>
        <v>0</v>
      </c>
      <c r="W120">
        <f>IF(J120="x",W119+1,0)</f>
        <v>0</v>
      </c>
      <c r="X120">
        <f>IF(K120="x",X119+1,0)</f>
        <v>0</v>
      </c>
      <c r="Y120">
        <f>IF(L120="x",Y119+1,0)</f>
        <v>0</v>
      </c>
      <c r="Z120">
        <f>IF(M120="x",Z119+1,0)</f>
        <v>0</v>
      </c>
    </row>
    <row r="121">
      <c r="B121" s="137">
        <f>IF(B120="","",IF(YEAR(B120+1)=Ano,B120+1,""))</f>
        <v>46127.0</v>
      </c>
      <c r="C121" s="128" t="str">
        <f>IF(B121="","",CHOOSE(WEEKDAY(B121),"Dom","Seg","Ter","Qua","Qui","Sex","Sáb"))</f>
        <v>Qua</v>
      </c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28">
        <f>IF(OR(B121="",B121&gt;Hoje),"",COUNTIF(D121:M121,"x"))</f>
        <v>0</v>
      </c>
      <c r="O121" s="133" t="str">
        <f>IF(OR(N121="",COUNTA($D$16:$M$16)=0),"",N121/COUNTA($D$16:$M$16))</f>
        <v/>
      </c>
      <c r="Q121">
        <f>IF(D121="x",Q120+1,0)</f>
        <v>0</v>
      </c>
      <c r="R121">
        <f>IF(E121="x",R120+1,0)</f>
        <v>0</v>
      </c>
      <c r="S121">
        <f>IF(F121="x",S120+1,0)</f>
        <v>0</v>
      </c>
      <c r="T121">
        <f>IF(G121="x",T120+1,0)</f>
        <v>0</v>
      </c>
      <c r="U121">
        <f>IF(H121="x",U120+1,0)</f>
        <v>0</v>
      </c>
      <c r="V121">
        <f>IF(I121="x",V120+1,0)</f>
        <v>0</v>
      </c>
      <c r="W121">
        <f>IF(J121="x",W120+1,0)</f>
        <v>0</v>
      </c>
      <c r="X121">
        <f>IF(K121="x",X120+1,0)</f>
        <v>0</v>
      </c>
      <c r="Y121">
        <f>IF(L121="x",Y120+1,0)</f>
        <v>0</v>
      </c>
      <c r="Z121">
        <f>IF(M121="x",Z120+1,0)</f>
        <v>0</v>
      </c>
    </row>
    <row r="122">
      <c r="B122" s="137">
        <f>IF(B121="","",IF(YEAR(B121+1)=Ano,B121+1,""))</f>
        <v>46128.0</v>
      </c>
      <c r="C122" s="128" t="str">
        <f>IF(B122="","",CHOOSE(WEEKDAY(B122),"Dom","Seg","Ter","Qua","Qui","Sex","Sáb"))</f>
        <v>Qui</v>
      </c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28">
        <f>IF(OR(B122="",B122&gt;Hoje),"",COUNTIF(D122:M122,"x"))</f>
        <v>0</v>
      </c>
      <c r="O122" s="133" t="str">
        <f>IF(OR(N122="",COUNTA($D$16:$M$16)=0),"",N122/COUNTA($D$16:$M$16))</f>
        <v/>
      </c>
      <c r="Q122">
        <f>IF(D122="x",Q121+1,0)</f>
        <v>0</v>
      </c>
      <c r="R122">
        <f>IF(E122="x",R121+1,0)</f>
        <v>0</v>
      </c>
      <c r="S122">
        <f>IF(F122="x",S121+1,0)</f>
        <v>0</v>
      </c>
      <c r="T122">
        <f>IF(G122="x",T121+1,0)</f>
        <v>0</v>
      </c>
      <c r="U122">
        <f>IF(H122="x",U121+1,0)</f>
        <v>0</v>
      </c>
      <c r="V122">
        <f>IF(I122="x",V121+1,0)</f>
        <v>0</v>
      </c>
      <c r="W122">
        <f>IF(J122="x",W121+1,0)</f>
        <v>0</v>
      </c>
      <c r="X122">
        <f>IF(K122="x",X121+1,0)</f>
        <v>0</v>
      </c>
      <c r="Y122">
        <f>IF(L122="x",Y121+1,0)</f>
        <v>0</v>
      </c>
      <c r="Z122">
        <f>IF(M122="x",Z121+1,0)</f>
        <v>0</v>
      </c>
    </row>
    <row r="123">
      <c r="B123" s="137">
        <f>IF(B122="","",IF(YEAR(B122+1)=Ano,B122+1,""))</f>
        <v>46129.0</v>
      </c>
      <c r="C123" s="128" t="str">
        <f>IF(B123="","",CHOOSE(WEEKDAY(B123),"Dom","Seg","Ter","Qua","Qui","Sex","Sáb"))</f>
        <v>Sex</v>
      </c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28">
        <f>IF(OR(B123="",B123&gt;Hoje),"",COUNTIF(D123:M123,"x"))</f>
        <v>0</v>
      </c>
      <c r="O123" s="133" t="str">
        <f>IF(OR(N123="",COUNTA($D$16:$M$16)=0),"",N123/COUNTA($D$16:$M$16))</f>
        <v/>
      </c>
      <c r="Q123">
        <f>IF(D123="x",Q122+1,0)</f>
        <v>0</v>
      </c>
      <c r="R123">
        <f>IF(E123="x",R122+1,0)</f>
        <v>0</v>
      </c>
      <c r="S123">
        <f>IF(F123="x",S122+1,0)</f>
        <v>0</v>
      </c>
      <c r="T123">
        <f>IF(G123="x",T122+1,0)</f>
        <v>0</v>
      </c>
      <c r="U123">
        <f>IF(H123="x",U122+1,0)</f>
        <v>0</v>
      </c>
      <c r="V123">
        <f>IF(I123="x",V122+1,0)</f>
        <v>0</v>
      </c>
      <c r="W123">
        <f>IF(J123="x",W122+1,0)</f>
        <v>0</v>
      </c>
      <c r="X123">
        <f>IF(K123="x",X122+1,0)</f>
        <v>0</v>
      </c>
      <c r="Y123">
        <f>IF(L123="x",Y122+1,0)</f>
        <v>0</v>
      </c>
      <c r="Z123">
        <f>IF(M123="x",Z122+1,0)</f>
        <v>0</v>
      </c>
    </row>
    <row r="124">
      <c r="B124" s="137">
        <f>IF(B123="","",IF(YEAR(B123+1)=Ano,B123+1,""))</f>
        <v>46130.0</v>
      </c>
      <c r="C124" s="128" t="str">
        <f>IF(B124="","",CHOOSE(WEEKDAY(B124),"Dom","Seg","Ter","Qua","Qui","Sex","Sáb"))</f>
        <v>Sáb</v>
      </c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28">
        <f>IF(OR(B124="",B124&gt;Hoje),"",COUNTIF(D124:M124,"x"))</f>
        <v>0</v>
      </c>
      <c r="O124" s="133" t="str">
        <f>IF(OR(N124="",COUNTA($D$16:$M$16)=0),"",N124/COUNTA($D$16:$M$16))</f>
        <v/>
      </c>
      <c r="Q124">
        <f>IF(D124="x",Q123+1,0)</f>
        <v>0</v>
      </c>
      <c r="R124">
        <f>IF(E124="x",R123+1,0)</f>
        <v>0</v>
      </c>
      <c r="S124">
        <f>IF(F124="x",S123+1,0)</f>
        <v>0</v>
      </c>
      <c r="T124">
        <f>IF(G124="x",T123+1,0)</f>
        <v>0</v>
      </c>
      <c r="U124">
        <f>IF(H124="x",U123+1,0)</f>
        <v>0</v>
      </c>
      <c r="V124">
        <f>IF(I124="x",V123+1,0)</f>
        <v>0</v>
      </c>
      <c r="W124">
        <f>IF(J124="x",W123+1,0)</f>
        <v>0</v>
      </c>
      <c r="X124">
        <f>IF(K124="x",X123+1,0)</f>
        <v>0</v>
      </c>
      <c r="Y124">
        <f>IF(L124="x",Y123+1,0)</f>
        <v>0</v>
      </c>
      <c r="Z124">
        <f>IF(M124="x",Z123+1,0)</f>
        <v>0</v>
      </c>
    </row>
    <row r="125">
      <c r="B125" s="137">
        <f>IF(B124="","",IF(YEAR(B124+1)=Ano,B124+1,""))</f>
        <v>46131.0</v>
      </c>
      <c r="C125" s="128" t="str">
        <f>IF(B125="","",CHOOSE(WEEKDAY(B125),"Dom","Seg","Ter","Qua","Qui","Sex","Sáb"))</f>
        <v>Dom</v>
      </c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28">
        <f>IF(OR(B125="",B125&gt;Hoje),"",COUNTIF(D125:M125,"x"))</f>
        <v>0</v>
      </c>
      <c r="O125" s="133" t="str">
        <f>IF(OR(N125="",COUNTA($D$16:$M$16)=0),"",N125/COUNTA($D$16:$M$16))</f>
        <v/>
      </c>
      <c r="Q125">
        <f>IF(D125="x",Q124+1,0)</f>
        <v>0</v>
      </c>
      <c r="R125">
        <f>IF(E125="x",R124+1,0)</f>
        <v>0</v>
      </c>
      <c r="S125">
        <f>IF(F125="x",S124+1,0)</f>
        <v>0</v>
      </c>
      <c r="T125">
        <f>IF(G125="x",T124+1,0)</f>
        <v>0</v>
      </c>
      <c r="U125">
        <f>IF(H125="x",U124+1,0)</f>
        <v>0</v>
      </c>
      <c r="V125">
        <f>IF(I125="x",V124+1,0)</f>
        <v>0</v>
      </c>
      <c r="W125">
        <f>IF(J125="x",W124+1,0)</f>
        <v>0</v>
      </c>
      <c r="X125">
        <f>IF(K125="x",X124+1,0)</f>
        <v>0</v>
      </c>
      <c r="Y125">
        <f>IF(L125="x",Y124+1,0)</f>
        <v>0</v>
      </c>
      <c r="Z125">
        <f>IF(M125="x",Z124+1,0)</f>
        <v>0</v>
      </c>
    </row>
    <row r="126">
      <c r="B126" s="137">
        <f>IF(B125="","",IF(YEAR(B125+1)=Ano,B125+1,""))</f>
        <v>46132.0</v>
      </c>
      <c r="C126" s="128" t="str">
        <f>IF(B126="","",CHOOSE(WEEKDAY(B126),"Dom","Seg","Ter","Qua","Qui","Sex","Sáb"))</f>
        <v>Seg</v>
      </c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28">
        <f>IF(OR(B126="",B126&gt;Hoje),"",COUNTIF(D126:M126,"x"))</f>
        <v>0</v>
      </c>
      <c r="O126" s="133" t="str">
        <f>IF(OR(N126="",COUNTA($D$16:$M$16)=0),"",N126/COUNTA($D$16:$M$16))</f>
        <v/>
      </c>
      <c r="Q126">
        <f>IF(D126="x",Q125+1,0)</f>
        <v>0</v>
      </c>
      <c r="R126">
        <f>IF(E126="x",R125+1,0)</f>
        <v>0</v>
      </c>
      <c r="S126">
        <f>IF(F126="x",S125+1,0)</f>
        <v>0</v>
      </c>
      <c r="T126">
        <f>IF(G126="x",T125+1,0)</f>
        <v>0</v>
      </c>
      <c r="U126">
        <f>IF(H126="x",U125+1,0)</f>
        <v>0</v>
      </c>
      <c r="V126">
        <f>IF(I126="x",V125+1,0)</f>
        <v>0</v>
      </c>
      <c r="W126">
        <f>IF(J126="x",W125+1,0)</f>
        <v>0</v>
      </c>
      <c r="X126">
        <f>IF(K126="x",X125+1,0)</f>
        <v>0</v>
      </c>
      <c r="Y126">
        <f>IF(L126="x",Y125+1,0)</f>
        <v>0</v>
      </c>
      <c r="Z126">
        <f>IF(M126="x",Z125+1,0)</f>
        <v>0</v>
      </c>
    </row>
    <row r="127">
      <c r="B127" s="137">
        <f>IF(B126="","",IF(YEAR(B126+1)=Ano,B126+1,""))</f>
        <v>46133.0</v>
      </c>
      <c r="C127" s="128" t="str">
        <f>IF(B127="","",CHOOSE(WEEKDAY(B127),"Dom","Seg","Ter","Qua","Qui","Sex","Sáb"))</f>
        <v>Ter</v>
      </c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28">
        <f>IF(OR(B127="",B127&gt;Hoje),"",COUNTIF(D127:M127,"x"))</f>
        <v>0</v>
      </c>
      <c r="O127" s="133" t="str">
        <f>IF(OR(N127="",COUNTA($D$16:$M$16)=0),"",N127/COUNTA($D$16:$M$16))</f>
        <v/>
      </c>
      <c r="Q127">
        <f>IF(D127="x",Q126+1,0)</f>
        <v>0</v>
      </c>
      <c r="R127">
        <f>IF(E127="x",R126+1,0)</f>
        <v>0</v>
      </c>
      <c r="S127">
        <f>IF(F127="x",S126+1,0)</f>
        <v>0</v>
      </c>
      <c r="T127">
        <f>IF(G127="x",T126+1,0)</f>
        <v>0</v>
      </c>
      <c r="U127">
        <f>IF(H127="x",U126+1,0)</f>
        <v>0</v>
      </c>
      <c r="V127">
        <f>IF(I127="x",V126+1,0)</f>
        <v>0</v>
      </c>
      <c r="W127">
        <f>IF(J127="x",W126+1,0)</f>
        <v>0</v>
      </c>
      <c r="X127">
        <f>IF(K127="x",X126+1,0)</f>
        <v>0</v>
      </c>
      <c r="Y127">
        <f>IF(L127="x",Y126+1,0)</f>
        <v>0</v>
      </c>
      <c r="Z127">
        <f>IF(M127="x",Z126+1,0)</f>
        <v>0</v>
      </c>
    </row>
    <row r="128">
      <c r="B128" s="137">
        <f>IF(B127="","",IF(YEAR(B127+1)=Ano,B127+1,""))</f>
        <v>46134.0</v>
      </c>
      <c r="C128" s="128" t="str">
        <f>IF(B128="","",CHOOSE(WEEKDAY(B128),"Dom","Seg","Ter","Qua","Qui","Sex","Sáb"))</f>
        <v>Qua</v>
      </c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28">
        <f>IF(OR(B128="",B128&gt;Hoje),"",COUNTIF(D128:M128,"x"))</f>
        <v>0</v>
      </c>
      <c r="O128" s="133" t="str">
        <f>IF(OR(N128="",COUNTA($D$16:$M$16)=0),"",N128/COUNTA($D$16:$M$16))</f>
        <v/>
      </c>
      <c r="Q128">
        <f>IF(D128="x",Q127+1,0)</f>
        <v>0</v>
      </c>
      <c r="R128">
        <f>IF(E128="x",R127+1,0)</f>
        <v>0</v>
      </c>
      <c r="S128">
        <f>IF(F128="x",S127+1,0)</f>
        <v>0</v>
      </c>
      <c r="T128">
        <f>IF(G128="x",T127+1,0)</f>
        <v>0</v>
      </c>
      <c r="U128">
        <f>IF(H128="x",U127+1,0)</f>
        <v>0</v>
      </c>
      <c r="V128">
        <f>IF(I128="x",V127+1,0)</f>
        <v>0</v>
      </c>
      <c r="W128">
        <f>IF(J128="x",W127+1,0)</f>
        <v>0</v>
      </c>
      <c r="X128">
        <f>IF(K128="x",X127+1,0)</f>
        <v>0</v>
      </c>
      <c r="Y128">
        <f>IF(L128="x",Y127+1,0)</f>
        <v>0</v>
      </c>
      <c r="Z128">
        <f>IF(M128="x",Z127+1,0)</f>
        <v>0</v>
      </c>
    </row>
    <row r="129">
      <c r="B129" s="137">
        <f>IF(B128="","",IF(YEAR(B128+1)=Ano,B128+1,""))</f>
        <v>46135.0</v>
      </c>
      <c r="C129" s="128" t="str">
        <f>IF(B129="","",CHOOSE(WEEKDAY(B129),"Dom","Seg","Ter","Qua","Qui","Sex","Sáb"))</f>
        <v>Qui</v>
      </c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28">
        <f>IF(OR(B129="",B129&gt;Hoje),"",COUNTIF(D129:M129,"x"))</f>
        <v>0</v>
      </c>
      <c r="O129" s="133" t="str">
        <f>IF(OR(N129="",COUNTA($D$16:$M$16)=0),"",N129/COUNTA($D$16:$M$16))</f>
        <v/>
      </c>
      <c r="Q129">
        <f>IF(D129="x",Q128+1,0)</f>
        <v>0</v>
      </c>
      <c r="R129">
        <f>IF(E129="x",R128+1,0)</f>
        <v>0</v>
      </c>
      <c r="S129">
        <f>IF(F129="x",S128+1,0)</f>
        <v>0</v>
      </c>
      <c r="T129">
        <f>IF(G129="x",T128+1,0)</f>
        <v>0</v>
      </c>
      <c r="U129">
        <f>IF(H129="x",U128+1,0)</f>
        <v>0</v>
      </c>
      <c r="V129">
        <f>IF(I129="x",V128+1,0)</f>
        <v>0</v>
      </c>
      <c r="W129">
        <f>IF(J129="x",W128+1,0)</f>
        <v>0</v>
      </c>
      <c r="X129">
        <f>IF(K129="x",X128+1,0)</f>
        <v>0</v>
      </c>
      <c r="Y129">
        <f>IF(L129="x",Y128+1,0)</f>
        <v>0</v>
      </c>
      <c r="Z129">
        <f>IF(M129="x",Z128+1,0)</f>
        <v>0</v>
      </c>
    </row>
    <row r="130">
      <c r="B130" s="137">
        <f>IF(B129="","",IF(YEAR(B129+1)=Ano,B129+1,""))</f>
        <v>46136.0</v>
      </c>
      <c r="C130" s="128" t="str">
        <f>IF(B130="","",CHOOSE(WEEKDAY(B130),"Dom","Seg","Ter","Qua","Qui","Sex","Sáb"))</f>
        <v>Sex</v>
      </c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28">
        <f>IF(OR(B130="",B130&gt;Hoje),"",COUNTIF(D130:M130,"x"))</f>
        <v>0</v>
      </c>
      <c r="O130" s="133" t="str">
        <f>IF(OR(N130="",COUNTA($D$16:$M$16)=0),"",N130/COUNTA($D$16:$M$16))</f>
        <v/>
      </c>
      <c r="Q130">
        <f>IF(D130="x",Q129+1,0)</f>
        <v>0</v>
      </c>
      <c r="R130">
        <f>IF(E130="x",R129+1,0)</f>
        <v>0</v>
      </c>
      <c r="S130">
        <f>IF(F130="x",S129+1,0)</f>
        <v>0</v>
      </c>
      <c r="T130">
        <f>IF(G130="x",T129+1,0)</f>
        <v>0</v>
      </c>
      <c r="U130">
        <f>IF(H130="x",U129+1,0)</f>
        <v>0</v>
      </c>
      <c r="V130">
        <f>IF(I130="x",V129+1,0)</f>
        <v>0</v>
      </c>
      <c r="W130">
        <f>IF(J130="x",W129+1,0)</f>
        <v>0</v>
      </c>
      <c r="X130">
        <f>IF(K130="x",X129+1,0)</f>
        <v>0</v>
      </c>
      <c r="Y130">
        <f>IF(L130="x",Y129+1,0)</f>
        <v>0</v>
      </c>
      <c r="Z130">
        <f>IF(M130="x",Z129+1,0)</f>
        <v>0</v>
      </c>
    </row>
    <row r="131">
      <c r="B131" s="137">
        <f>IF(B130="","",IF(YEAR(B130+1)=Ano,B130+1,""))</f>
        <v>46137.0</v>
      </c>
      <c r="C131" s="128" t="str">
        <f>IF(B131="","",CHOOSE(WEEKDAY(B131),"Dom","Seg","Ter","Qua","Qui","Sex","Sáb"))</f>
        <v>Sáb</v>
      </c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28">
        <f>IF(OR(B131="",B131&gt;Hoje),"",COUNTIF(D131:M131,"x"))</f>
        <v>0</v>
      </c>
      <c r="O131" s="133" t="str">
        <f>IF(OR(N131="",COUNTA($D$16:$M$16)=0),"",N131/COUNTA($D$16:$M$16))</f>
        <v/>
      </c>
      <c r="Q131">
        <f>IF(D131="x",Q130+1,0)</f>
        <v>0</v>
      </c>
      <c r="R131">
        <f>IF(E131="x",R130+1,0)</f>
        <v>0</v>
      </c>
      <c r="S131">
        <f>IF(F131="x",S130+1,0)</f>
        <v>0</v>
      </c>
      <c r="T131">
        <f>IF(G131="x",T130+1,0)</f>
        <v>0</v>
      </c>
      <c r="U131">
        <f>IF(H131="x",U130+1,0)</f>
        <v>0</v>
      </c>
      <c r="V131">
        <f>IF(I131="x",V130+1,0)</f>
        <v>0</v>
      </c>
      <c r="W131">
        <f>IF(J131="x",W130+1,0)</f>
        <v>0</v>
      </c>
      <c r="X131">
        <f>IF(K131="x",X130+1,0)</f>
        <v>0</v>
      </c>
      <c r="Y131">
        <f>IF(L131="x",Y130+1,0)</f>
        <v>0</v>
      </c>
      <c r="Z131">
        <f>IF(M131="x",Z130+1,0)</f>
        <v>0</v>
      </c>
    </row>
    <row r="132">
      <c r="B132" s="137">
        <f>IF(B131="","",IF(YEAR(B131+1)=Ano,B131+1,""))</f>
        <v>46138.0</v>
      </c>
      <c r="C132" s="128" t="str">
        <f>IF(B132="","",CHOOSE(WEEKDAY(B132),"Dom","Seg","Ter","Qua","Qui","Sex","Sáb"))</f>
        <v>Dom</v>
      </c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28">
        <f>IF(OR(B132="",B132&gt;Hoje),"",COUNTIF(D132:M132,"x"))</f>
        <v>0</v>
      </c>
      <c r="O132" s="133" t="str">
        <f>IF(OR(N132="",COUNTA($D$16:$M$16)=0),"",N132/COUNTA($D$16:$M$16))</f>
        <v/>
      </c>
      <c r="Q132">
        <f>IF(D132="x",Q131+1,0)</f>
        <v>0</v>
      </c>
      <c r="R132">
        <f>IF(E132="x",R131+1,0)</f>
        <v>0</v>
      </c>
      <c r="S132">
        <f>IF(F132="x",S131+1,0)</f>
        <v>0</v>
      </c>
      <c r="T132">
        <f>IF(G132="x",T131+1,0)</f>
        <v>0</v>
      </c>
      <c r="U132">
        <f>IF(H132="x",U131+1,0)</f>
        <v>0</v>
      </c>
      <c r="V132">
        <f>IF(I132="x",V131+1,0)</f>
        <v>0</v>
      </c>
      <c r="W132">
        <f>IF(J132="x",W131+1,0)</f>
        <v>0</v>
      </c>
      <c r="X132">
        <f>IF(K132="x",X131+1,0)</f>
        <v>0</v>
      </c>
      <c r="Y132">
        <f>IF(L132="x",Y131+1,0)</f>
        <v>0</v>
      </c>
      <c r="Z132">
        <f>IF(M132="x",Z131+1,0)</f>
        <v>0</v>
      </c>
    </row>
    <row r="133">
      <c r="B133" s="137">
        <f>IF(B132="","",IF(YEAR(B132+1)=Ano,B132+1,""))</f>
        <v>46139.0</v>
      </c>
      <c r="C133" s="128" t="str">
        <f>IF(B133="","",CHOOSE(WEEKDAY(B133),"Dom","Seg","Ter","Qua","Qui","Sex","Sáb"))</f>
        <v>Seg</v>
      </c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28">
        <f>IF(OR(B133="",B133&gt;Hoje),"",COUNTIF(D133:M133,"x"))</f>
        <v>0</v>
      </c>
      <c r="O133" s="133" t="str">
        <f>IF(OR(N133="",COUNTA($D$16:$M$16)=0),"",N133/COUNTA($D$16:$M$16))</f>
        <v/>
      </c>
      <c r="Q133">
        <f>IF(D133="x",Q132+1,0)</f>
        <v>0</v>
      </c>
      <c r="R133">
        <f>IF(E133="x",R132+1,0)</f>
        <v>0</v>
      </c>
      <c r="S133">
        <f>IF(F133="x",S132+1,0)</f>
        <v>0</v>
      </c>
      <c r="T133">
        <f>IF(G133="x",T132+1,0)</f>
        <v>0</v>
      </c>
      <c r="U133">
        <f>IF(H133="x",U132+1,0)</f>
        <v>0</v>
      </c>
      <c r="V133">
        <f>IF(I133="x",V132+1,0)</f>
        <v>0</v>
      </c>
      <c r="W133">
        <f>IF(J133="x",W132+1,0)</f>
        <v>0</v>
      </c>
      <c r="X133">
        <f>IF(K133="x",X132+1,0)</f>
        <v>0</v>
      </c>
      <c r="Y133">
        <f>IF(L133="x",Y132+1,0)</f>
        <v>0</v>
      </c>
      <c r="Z133">
        <f>IF(M133="x",Z132+1,0)</f>
        <v>0</v>
      </c>
    </row>
    <row r="134">
      <c r="B134" s="137">
        <f>IF(B133="","",IF(YEAR(B133+1)=Ano,B133+1,""))</f>
        <v>46140.0</v>
      </c>
      <c r="C134" s="128" t="str">
        <f>IF(B134="","",CHOOSE(WEEKDAY(B134),"Dom","Seg","Ter","Qua","Qui","Sex","Sáb"))</f>
        <v>Ter</v>
      </c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28">
        <f>IF(OR(B134="",B134&gt;Hoje),"",COUNTIF(D134:M134,"x"))</f>
        <v>0</v>
      </c>
      <c r="O134" s="133" t="str">
        <f>IF(OR(N134="",COUNTA($D$16:$M$16)=0),"",N134/COUNTA($D$16:$M$16))</f>
        <v/>
      </c>
      <c r="Q134">
        <f>IF(D134="x",Q133+1,0)</f>
        <v>0</v>
      </c>
      <c r="R134">
        <f>IF(E134="x",R133+1,0)</f>
        <v>0</v>
      </c>
      <c r="S134">
        <f>IF(F134="x",S133+1,0)</f>
        <v>0</v>
      </c>
      <c r="T134">
        <f>IF(G134="x",T133+1,0)</f>
        <v>0</v>
      </c>
      <c r="U134">
        <f>IF(H134="x",U133+1,0)</f>
        <v>0</v>
      </c>
      <c r="V134">
        <f>IF(I134="x",V133+1,0)</f>
        <v>0</v>
      </c>
      <c r="W134">
        <f>IF(J134="x",W133+1,0)</f>
        <v>0</v>
      </c>
      <c r="X134">
        <f>IF(K134="x",X133+1,0)</f>
        <v>0</v>
      </c>
      <c r="Y134">
        <f>IF(L134="x",Y133+1,0)</f>
        <v>0</v>
      </c>
      <c r="Z134">
        <f>IF(M134="x",Z133+1,0)</f>
        <v>0</v>
      </c>
    </row>
    <row r="135">
      <c r="B135" s="137">
        <f>IF(B134="","",IF(YEAR(B134+1)=Ano,B134+1,""))</f>
        <v>46141.0</v>
      </c>
      <c r="C135" s="128" t="str">
        <f>IF(B135="","",CHOOSE(WEEKDAY(B135),"Dom","Seg","Ter","Qua","Qui","Sex","Sáb"))</f>
        <v>Qua</v>
      </c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28">
        <f>IF(OR(B135="",B135&gt;Hoje),"",COUNTIF(D135:M135,"x"))</f>
        <v>0</v>
      </c>
      <c r="O135" s="133" t="str">
        <f>IF(OR(N135="",COUNTA($D$16:$M$16)=0),"",N135/COUNTA($D$16:$M$16))</f>
        <v/>
      </c>
      <c r="Q135">
        <f>IF(D135="x",Q134+1,0)</f>
        <v>0</v>
      </c>
      <c r="R135">
        <f>IF(E135="x",R134+1,0)</f>
        <v>0</v>
      </c>
      <c r="S135">
        <f>IF(F135="x",S134+1,0)</f>
        <v>0</v>
      </c>
      <c r="T135">
        <f>IF(G135="x",T134+1,0)</f>
        <v>0</v>
      </c>
      <c r="U135">
        <f>IF(H135="x",U134+1,0)</f>
        <v>0</v>
      </c>
      <c r="V135">
        <f>IF(I135="x",V134+1,0)</f>
        <v>0</v>
      </c>
      <c r="W135">
        <f>IF(J135="x",W134+1,0)</f>
        <v>0</v>
      </c>
      <c r="X135">
        <f>IF(K135="x",X134+1,0)</f>
        <v>0</v>
      </c>
      <c r="Y135">
        <f>IF(L135="x",Y134+1,0)</f>
        <v>0</v>
      </c>
      <c r="Z135">
        <f>IF(M135="x",Z134+1,0)</f>
        <v>0</v>
      </c>
    </row>
    <row r="136">
      <c r="B136" s="137">
        <f>IF(B135="","",IF(YEAR(B135+1)=Ano,B135+1,""))</f>
        <v>46142.0</v>
      </c>
      <c r="C136" s="128" t="str">
        <f>IF(B136="","",CHOOSE(WEEKDAY(B136),"Dom","Seg","Ter","Qua","Qui","Sex","Sáb"))</f>
        <v>Qui</v>
      </c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28">
        <f>IF(OR(B136="",B136&gt;Hoje),"",COUNTIF(D136:M136,"x"))</f>
        <v>0</v>
      </c>
      <c r="O136" s="133" t="str">
        <f>IF(OR(N136="",COUNTA($D$16:$M$16)=0),"",N136/COUNTA($D$16:$M$16))</f>
        <v/>
      </c>
      <c r="Q136">
        <f>IF(D136="x",Q135+1,0)</f>
        <v>0</v>
      </c>
      <c r="R136">
        <f>IF(E136="x",R135+1,0)</f>
        <v>0</v>
      </c>
      <c r="S136">
        <f>IF(F136="x",S135+1,0)</f>
        <v>0</v>
      </c>
      <c r="T136">
        <f>IF(G136="x",T135+1,0)</f>
        <v>0</v>
      </c>
      <c r="U136">
        <f>IF(H136="x",U135+1,0)</f>
        <v>0</v>
      </c>
      <c r="V136">
        <f>IF(I136="x",V135+1,0)</f>
        <v>0</v>
      </c>
      <c r="W136">
        <f>IF(J136="x",W135+1,0)</f>
        <v>0</v>
      </c>
      <c r="X136">
        <f>IF(K136="x",X135+1,0)</f>
        <v>0</v>
      </c>
      <c r="Y136">
        <f>IF(L136="x",Y135+1,0)</f>
        <v>0</v>
      </c>
      <c r="Z136">
        <f>IF(M136="x",Z135+1,0)</f>
        <v>0</v>
      </c>
    </row>
    <row r="137">
      <c r="B137" s="137">
        <f>IF(B136="","",IF(YEAR(B136+1)=Ano,B136+1,""))</f>
        <v>46143.0</v>
      </c>
      <c r="C137" s="128" t="str">
        <f>IF(B137="","",CHOOSE(WEEKDAY(B137),"Dom","Seg","Ter","Qua","Qui","Sex","Sáb"))</f>
        <v>Sex</v>
      </c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28">
        <f>IF(OR(B137="",B137&gt;Hoje),"",COUNTIF(D137:M137,"x"))</f>
        <v>0</v>
      </c>
      <c r="O137" s="133" t="str">
        <f>IF(OR(N137="",COUNTA($D$16:$M$16)=0),"",N137/COUNTA($D$16:$M$16))</f>
        <v/>
      </c>
      <c r="Q137">
        <f>IF(D137="x",Q136+1,0)</f>
        <v>0</v>
      </c>
      <c r="R137">
        <f>IF(E137="x",R136+1,0)</f>
        <v>0</v>
      </c>
      <c r="S137">
        <f>IF(F137="x",S136+1,0)</f>
        <v>0</v>
      </c>
      <c r="T137">
        <f>IF(G137="x",T136+1,0)</f>
        <v>0</v>
      </c>
      <c r="U137">
        <f>IF(H137="x",U136+1,0)</f>
        <v>0</v>
      </c>
      <c r="V137">
        <f>IF(I137="x",V136+1,0)</f>
        <v>0</v>
      </c>
      <c r="W137">
        <f>IF(J137="x",W136+1,0)</f>
        <v>0</v>
      </c>
      <c r="X137">
        <f>IF(K137="x",X136+1,0)</f>
        <v>0</v>
      </c>
      <c r="Y137">
        <f>IF(L137="x",Y136+1,0)</f>
        <v>0</v>
      </c>
      <c r="Z137">
        <f>IF(M137="x",Z136+1,0)</f>
        <v>0</v>
      </c>
    </row>
    <row r="138">
      <c r="B138" s="137">
        <f>IF(B137="","",IF(YEAR(B137+1)=Ano,B137+1,""))</f>
        <v>46144.0</v>
      </c>
      <c r="C138" s="128" t="str">
        <f>IF(B138="","",CHOOSE(WEEKDAY(B138),"Dom","Seg","Ter","Qua","Qui","Sex","Sáb"))</f>
        <v>Sáb</v>
      </c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28">
        <f>IF(OR(B138="",B138&gt;Hoje),"",COUNTIF(D138:M138,"x"))</f>
        <v>0</v>
      </c>
      <c r="O138" s="133" t="str">
        <f>IF(OR(N138="",COUNTA($D$16:$M$16)=0),"",N138/COUNTA($D$16:$M$16))</f>
        <v/>
      </c>
      <c r="Q138">
        <f>IF(D138="x",Q137+1,0)</f>
        <v>0</v>
      </c>
      <c r="R138">
        <f>IF(E138="x",R137+1,0)</f>
        <v>0</v>
      </c>
      <c r="S138">
        <f>IF(F138="x",S137+1,0)</f>
        <v>0</v>
      </c>
      <c r="T138">
        <f>IF(G138="x",T137+1,0)</f>
        <v>0</v>
      </c>
      <c r="U138">
        <f>IF(H138="x",U137+1,0)</f>
        <v>0</v>
      </c>
      <c r="V138">
        <f>IF(I138="x",V137+1,0)</f>
        <v>0</v>
      </c>
      <c r="W138">
        <f>IF(J138="x",W137+1,0)</f>
        <v>0</v>
      </c>
      <c r="X138">
        <f>IF(K138="x",X137+1,0)</f>
        <v>0</v>
      </c>
      <c r="Y138">
        <f>IF(L138="x",Y137+1,0)</f>
        <v>0</v>
      </c>
      <c r="Z138">
        <f>IF(M138="x",Z137+1,0)</f>
        <v>0</v>
      </c>
    </row>
    <row r="139">
      <c r="B139" s="137">
        <f>IF(B138="","",IF(YEAR(B138+1)=Ano,B138+1,""))</f>
        <v>46145.0</v>
      </c>
      <c r="C139" s="128" t="str">
        <f>IF(B139="","",CHOOSE(WEEKDAY(B139),"Dom","Seg","Ter","Qua","Qui","Sex","Sáb"))</f>
        <v>Dom</v>
      </c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28">
        <f>IF(OR(B139="",B139&gt;Hoje),"",COUNTIF(D139:M139,"x"))</f>
        <v>0</v>
      </c>
      <c r="O139" s="133" t="str">
        <f>IF(OR(N139="",COUNTA($D$16:$M$16)=0),"",N139/COUNTA($D$16:$M$16))</f>
        <v/>
      </c>
      <c r="Q139">
        <f>IF(D139="x",Q138+1,0)</f>
        <v>0</v>
      </c>
      <c r="R139">
        <f>IF(E139="x",R138+1,0)</f>
        <v>0</v>
      </c>
      <c r="S139">
        <f>IF(F139="x",S138+1,0)</f>
        <v>0</v>
      </c>
      <c r="T139">
        <f>IF(G139="x",T138+1,0)</f>
        <v>0</v>
      </c>
      <c r="U139">
        <f>IF(H139="x",U138+1,0)</f>
        <v>0</v>
      </c>
      <c r="V139">
        <f>IF(I139="x",V138+1,0)</f>
        <v>0</v>
      </c>
      <c r="W139">
        <f>IF(J139="x",W138+1,0)</f>
        <v>0</v>
      </c>
      <c r="X139">
        <f>IF(K139="x",X138+1,0)</f>
        <v>0</v>
      </c>
      <c r="Y139">
        <f>IF(L139="x",Y138+1,0)</f>
        <v>0</v>
      </c>
      <c r="Z139">
        <f>IF(M139="x",Z138+1,0)</f>
        <v>0</v>
      </c>
    </row>
    <row r="140">
      <c r="B140" s="137">
        <f>IF(B139="","",IF(YEAR(B139+1)=Ano,B139+1,""))</f>
        <v>46146.0</v>
      </c>
      <c r="C140" s="128" t="str">
        <f>IF(B140="","",CHOOSE(WEEKDAY(B140),"Dom","Seg","Ter","Qua","Qui","Sex","Sáb"))</f>
        <v>Seg</v>
      </c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28">
        <f>IF(OR(B140="",B140&gt;Hoje),"",COUNTIF(D140:M140,"x"))</f>
        <v>0</v>
      </c>
      <c r="O140" s="133" t="str">
        <f>IF(OR(N140="",COUNTA($D$16:$M$16)=0),"",N140/COUNTA($D$16:$M$16))</f>
        <v/>
      </c>
      <c r="Q140">
        <f>IF(D140="x",Q139+1,0)</f>
        <v>0</v>
      </c>
      <c r="R140">
        <f>IF(E140="x",R139+1,0)</f>
        <v>0</v>
      </c>
      <c r="S140">
        <f>IF(F140="x",S139+1,0)</f>
        <v>0</v>
      </c>
      <c r="T140">
        <f>IF(G140="x",T139+1,0)</f>
        <v>0</v>
      </c>
      <c r="U140">
        <f>IF(H140="x",U139+1,0)</f>
        <v>0</v>
      </c>
      <c r="V140">
        <f>IF(I140="x",V139+1,0)</f>
        <v>0</v>
      </c>
      <c r="W140">
        <f>IF(J140="x",W139+1,0)</f>
        <v>0</v>
      </c>
      <c r="X140">
        <f>IF(K140="x",X139+1,0)</f>
        <v>0</v>
      </c>
      <c r="Y140">
        <f>IF(L140="x",Y139+1,0)</f>
        <v>0</v>
      </c>
      <c r="Z140">
        <f>IF(M140="x",Z139+1,0)</f>
        <v>0</v>
      </c>
    </row>
    <row r="141">
      <c r="B141" s="137">
        <f>IF(B140="","",IF(YEAR(B140+1)=Ano,B140+1,""))</f>
        <v>46147.0</v>
      </c>
      <c r="C141" s="128" t="str">
        <f>IF(B141="","",CHOOSE(WEEKDAY(B141),"Dom","Seg","Ter","Qua","Qui","Sex","Sáb"))</f>
        <v>Ter</v>
      </c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28">
        <f>IF(OR(B141="",B141&gt;Hoje),"",COUNTIF(D141:M141,"x"))</f>
        <v>0</v>
      </c>
      <c r="O141" s="133" t="str">
        <f>IF(OR(N141="",COUNTA($D$16:$M$16)=0),"",N141/COUNTA($D$16:$M$16))</f>
        <v/>
      </c>
      <c r="Q141">
        <f>IF(D141="x",Q140+1,0)</f>
        <v>0</v>
      </c>
      <c r="R141">
        <f>IF(E141="x",R140+1,0)</f>
        <v>0</v>
      </c>
      <c r="S141">
        <f>IF(F141="x",S140+1,0)</f>
        <v>0</v>
      </c>
      <c r="T141">
        <f>IF(G141="x",T140+1,0)</f>
        <v>0</v>
      </c>
      <c r="U141">
        <f>IF(H141="x",U140+1,0)</f>
        <v>0</v>
      </c>
      <c r="V141">
        <f>IF(I141="x",V140+1,0)</f>
        <v>0</v>
      </c>
      <c r="W141">
        <f>IF(J141="x",W140+1,0)</f>
        <v>0</v>
      </c>
      <c r="X141">
        <f>IF(K141="x",X140+1,0)</f>
        <v>0</v>
      </c>
      <c r="Y141">
        <f>IF(L141="x",Y140+1,0)</f>
        <v>0</v>
      </c>
      <c r="Z141">
        <f>IF(M141="x",Z140+1,0)</f>
        <v>0</v>
      </c>
    </row>
    <row r="142">
      <c r="B142" s="137">
        <f>IF(B141="","",IF(YEAR(B141+1)=Ano,B141+1,""))</f>
        <v>46148.0</v>
      </c>
      <c r="C142" s="128" t="str">
        <f>IF(B142="","",CHOOSE(WEEKDAY(B142),"Dom","Seg","Ter","Qua","Qui","Sex","Sáb"))</f>
        <v>Qua</v>
      </c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28">
        <f>IF(OR(B142="",B142&gt;Hoje),"",COUNTIF(D142:M142,"x"))</f>
        <v>0</v>
      </c>
      <c r="O142" s="133" t="str">
        <f>IF(OR(N142="",COUNTA($D$16:$M$16)=0),"",N142/COUNTA($D$16:$M$16))</f>
        <v/>
      </c>
      <c r="Q142">
        <f>IF(D142="x",Q141+1,0)</f>
        <v>0</v>
      </c>
      <c r="R142">
        <f>IF(E142="x",R141+1,0)</f>
        <v>0</v>
      </c>
      <c r="S142">
        <f>IF(F142="x",S141+1,0)</f>
        <v>0</v>
      </c>
      <c r="T142">
        <f>IF(G142="x",T141+1,0)</f>
        <v>0</v>
      </c>
      <c r="U142">
        <f>IF(H142="x",U141+1,0)</f>
        <v>0</v>
      </c>
      <c r="V142">
        <f>IF(I142="x",V141+1,0)</f>
        <v>0</v>
      </c>
      <c r="W142">
        <f>IF(J142="x",W141+1,0)</f>
        <v>0</v>
      </c>
      <c r="X142">
        <f>IF(K142="x",X141+1,0)</f>
        <v>0</v>
      </c>
      <c r="Y142">
        <f>IF(L142="x",Y141+1,0)</f>
        <v>0</v>
      </c>
      <c r="Z142">
        <f>IF(M142="x",Z141+1,0)</f>
        <v>0</v>
      </c>
    </row>
    <row r="143">
      <c r="B143" s="137">
        <f>IF(B142="","",IF(YEAR(B142+1)=Ano,B142+1,""))</f>
        <v>46149.0</v>
      </c>
      <c r="C143" s="128" t="str">
        <f>IF(B143="","",CHOOSE(WEEKDAY(B143),"Dom","Seg","Ter","Qua","Qui","Sex","Sáb"))</f>
        <v>Qui</v>
      </c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28">
        <f>IF(OR(B143="",B143&gt;Hoje),"",COUNTIF(D143:M143,"x"))</f>
        <v>0</v>
      </c>
      <c r="O143" s="133" t="str">
        <f>IF(OR(N143="",COUNTA($D$16:$M$16)=0),"",N143/COUNTA($D$16:$M$16))</f>
        <v/>
      </c>
      <c r="Q143">
        <f>IF(D143="x",Q142+1,0)</f>
        <v>0</v>
      </c>
      <c r="R143">
        <f>IF(E143="x",R142+1,0)</f>
        <v>0</v>
      </c>
      <c r="S143">
        <f>IF(F143="x",S142+1,0)</f>
        <v>0</v>
      </c>
      <c r="T143">
        <f>IF(G143="x",T142+1,0)</f>
        <v>0</v>
      </c>
      <c r="U143">
        <f>IF(H143="x",U142+1,0)</f>
        <v>0</v>
      </c>
      <c r="V143">
        <f>IF(I143="x",V142+1,0)</f>
        <v>0</v>
      </c>
      <c r="W143">
        <f>IF(J143="x",W142+1,0)</f>
        <v>0</v>
      </c>
      <c r="X143">
        <f>IF(K143="x",X142+1,0)</f>
        <v>0</v>
      </c>
      <c r="Y143">
        <f>IF(L143="x",Y142+1,0)</f>
        <v>0</v>
      </c>
      <c r="Z143">
        <f>IF(M143="x",Z142+1,0)</f>
        <v>0</v>
      </c>
    </row>
    <row r="144">
      <c r="B144" s="137">
        <f>IF(B143="","",IF(YEAR(B143+1)=Ano,B143+1,""))</f>
        <v>46150.0</v>
      </c>
      <c r="C144" s="128" t="str">
        <f>IF(B144="","",CHOOSE(WEEKDAY(B144),"Dom","Seg","Ter","Qua","Qui","Sex","Sáb"))</f>
        <v>Sex</v>
      </c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28">
        <f>IF(OR(B144="",B144&gt;Hoje),"",COUNTIF(D144:M144,"x"))</f>
        <v>0</v>
      </c>
      <c r="O144" s="133" t="str">
        <f>IF(OR(N144="",COUNTA($D$16:$M$16)=0),"",N144/COUNTA($D$16:$M$16))</f>
        <v/>
      </c>
      <c r="Q144">
        <f>IF(D144="x",Q143+1,0)</f>
        <v>0</v>
      </c>
      <c r="R144">
        <f>IF(E144="x",R143+1,0)</f>
        <v>0</v>
      </c>
      <c r="S144">
        <f>IF(F144="x",S143+1,0)</f>
        <v>0</v>
      </c>
      <c r="T144">
        <f>IF(G144="x",T143+1,0)</f>
        <v>0</v>
      </c>
      <c r="U144">
        <f>IF(H144="x",U143+1,0)</f>
        <v>0</v>
      </c>
      <c r="V144">
        <f>IF(I144="x",V143+1,0)</f>
        <v>0</v>
      </c>
      <c r="W144">
        <f>IF(J144="x",W143+1,0)</f>
        <v>0</v>
      </c>
      <c r="X144">
        <f>IF(K144="x",X143+1,0)</f>
        <v>0</v>
      </c>
      <c r="Y144">
        <f>IF(L144="x",Y143+1,0)</f>
        <v>0</v>
      </c>
      <c r="Z144">
        <f>IF(M144="x",Z143+1,0)</f>
        <v>0</v>
      </c>
    </row>
    <row r="145">
      <c r="B145" s="137">
        <f>IF(B144="","",IF(YEAR(B144+1)=Ano,B144+1,""))</f>
        <v>46151.0</v>
      </c>
      <c r="C145" s="128" t="str">
        <f>IF(B145="","",CHOOSE(WEEKDAY(B145),"Dom","Seg","Ter","Qua","Qui","Sex","Sáb"))</f>
        <v>Sáb</v>
      </c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28">
        <f>IF(OR(B145="",B145&gt;Hoje),"",COUNTIF(D145:M145,"x"))</f>
        <v>0</v>
      </c>
      <c r="O145" s="133" t="str">
        <f>IF(OR(N145="",COUNTA($D$16:$M$16)=0),"",N145/COUNTA($D$16:$M$16))</f>
        <v/>
      </c>
      <c r="Q145">
        <f>IF(D145="x",Q144+1,0)</f>
        <v>0</v>
      </c>
      <c r="R145">
        <f>IF(E145="x",R144+1,0)</f>
        <v>0</v>
      </c>
      <c r="S145">
        <f>IF(F145="x",S144+1,0)</f>
        <v>0</v>
      </c>
      <c r="T145">
        <f>IF(G145="x",T144+1,0)</f>
        <v>0</v>
      </c>
      <c r="U145">
        <f>IF(H145="x",U144+1,0)</f>
        <v>0</v>
      </c>
      <c r="V145">
        <f>IF(I145="x",V144+1,0)</f>
        <v>0</v>
      </c>
      <c r="W145">
        <f>IF(J145="x",W144+1,0)</f>
        <v>0</v>
      </c>
      <c r="X145">
        <f>IF(K145="x",X144+1,0)</f>
        <v>0</v>
      </c>
      <c r="Y145">
        <f>IF(L145="x",Y144+1,0)</f>
        <v>0</v>
      </c>
      <c r="Z145">
        <f>IF(M145="x",Z144+1,0)</f>
        <v>0</v>
      </c>
    </row>
    <row r="146">
      <c r="B146" s="137">
        <f>IF(B145="","",IF(YEAR(B145+1)=Ano,B145+1,""))</f>
        <v>46152.0</v>
      </c>
      <c r="C146" s="128" t="str">
        <f>IF(B146="","",CHOOSE(WEEKDAY(B146),"Dom","Seg","Ter","Qua","Qui","Sex","Sáb"))</f>
        <v>Dom</v>
      </c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28">
        <f>IF(OR(B146="",B146&gt;Hoje),"",COUNTIF(D146:M146,"x"))</f>
        <v>0</v>
      </c>
      <c r="O146" s="133" t="str">
        <f>IF(OR(N146="",COUNTA($D$16:$M$16)=0),"",N146/COUNTA($D$16:$M$16))</f>
        <v/>
      </c>
      <c r="Q146">
        <f>IF(D146="x",Q145+1,0)</f>
        <v>0</v>
      </c>
      <c r="R146">
        <f>IF(E146="x",R145+1,0)</f>
        <v>0</v>
      </c>
      <c r="S146">
        <f>IF(F146="x",S145+1,0)</f>
        <v>0</v>
      </c>
      <c r="T146">
        <f>IF(G146="x",T145+1,0)</f>
        <v>0</v>
      </c>
      <c r="U146">
        <f>IF(H146="x",U145+1,0)</f>
        <v>0</v>
      </c>
      <c r="V146">
        <f>IF(I146="x",V145+1,0)</f>
        <v>0</v>
      </c>
      <c r="W146">
        <f>IF(J146="x",W145+1,0)</f>
        <v>0</v>
      </c>
      <c r="X146">
        <f>IF(K146="x",X145+1,0)</f>
        <v>0</v>
      </c>
      <c r="Y146">
        <f>IF(L146="x",Y145+1,0)</f>
        <v>0</v>
      </c>
      <c r="Z146">
        <f>IF(M146="x",Z145+1,0)</f>
        <v>0</v>
      </c>
    </row>
    <row r="147">
      <c r="B147" s="137">
        <f>IF(B146="","",IF(YEAR(B146+1)=Ano,B146+1,""))</f>
        <v>46153.0</v>
      </c>
      <c r="C147" s="128" t="str">
        <f>IF(B147="","",CHOOSE(WEEKDAY(B147),"Dom","Seg","Ter","Qua","Qui","Sex","Sáb"))</f>
        <v>Seg</v>
      </c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28">
        <f>IF(OR(B147="",B147&gt;Hoje),"",COUNTIF(D147:M147,"x"))</f>
        <v>0</v>
      </c>
      <c r="O147" s="133" t="str">
        <f>IF(OR(N147="",COUNTA($D$16:$M$16)=0),"",N147/COUNTA($D$16:$M$16))</f>
        <v/>
      </c>
      <c r="Q147">
        <f>IF(D147="x",Q146+1,0)</f>
        <v>0</v>
      </c>
      <c r="R147">
        <f>IF(E147="x",R146+1,0)</f>
        <v>0</v>
      </c>
      <c r="S147">
        <f>IF(F147="x",S146+1,0)</f>
        <v>0</v>
      </c>
      <c r="T147">
        <f>IF(G147="x",T146+1,0)</f>
        <v>0</v>
      </c>
      <c r="U147">
        <f>IF(H147="x",U146+1,0)</f>
        <v>0</v>
      </c>
      <c r="V147">
        <f>IF(I147="x",V146+1,0)</f>
        <v>0</v>
      </c>
      <c r="W147">
        <f>IF(J147="x",W146+1,0)</f>
        <v>0</v>
      </c>
      <c r="X147">
        <f>IF(K147="x",X146+1,0)</f>
        <v>0</v>
      </c>
      <c r="Y147">
        <f>IF(L147="x",Y146+1,0)</f>
        <v>0</v>
      </c>
      <c r="Z147">
        <f>IF(M147="x",Z146+1,0)</f>
        <v>0</v>
      </c>
    </row>
    <row r="148">
      <c r="B148" s="137">
        <f>IF(B147="","",IF(YEAR(B147+1)=Ano,B147+1,""))</f>
        <v>46154.0</v>
      </c>
      <c r="C148" s="128" t="str">
        <f>IF(B148="","",CHOOSE(WEEKDAY(B148),"Dom","Seg","Ter","Qua","Qui","Sex","Sáb"))</f>
        <v>Ter</v>
      </c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28">
        <f>IF(OR(B148="",B148&gt;Hoje),"",COUNTIF(D148:M148,"x"))</f>
        <v>0</v>
      </c>
      <c r="O148" s="133" t="str">
        <f>IF(OR(N148="",COUNTA($D$16:$M$16)=0),"",N148/COUNTA($D$16:$M$16))</f>
        <v/>
      </c>
      <c r="Q148">
        <f>IF(D148="x",Q147+1,0)</f>
        <v>0</v>
      </c>
      <c r="R148">
        <f>IF(E148="x",R147+1,0)</f>
        <v>0</v>
      </c>
      <c r="S148">
        <f>IF(F148="x",S147+1,0)</f>
        <v>0</v>
      </c>
      <c r="T148">
        <f>IF(G148="x",T147+1,0)</f>
        <v>0</v>
      </c>
      <c r="U148">
        <f>IF(H148="x",U147+1,0)</f>
        <v>0</v>
      </c>
      <c r="V148">
        <f>IF(I148="x",V147+1,0)</f>
        <v>0</v>
      </c>
      <c r="W148">
        <f>IF(J148="x",W147+1,0)</f>
        <v>0</v>
      </c>
      <c r="X148">
        <f>IF(K148="x",X147+1,0)</f>
        <v>0</v>
      </c>
      <c r="Y148">
        <f>IF(L148="x",Y147+1,0)</f>
        <v>0</v>
      </c>
      <c r="Z148">
        <f>IF(M148="x",Z147+1,0)</f>
        <v>0</v>
      </c>
    </row>
    <row r="149">
      <c r="B149" s="137">
        <f>IF(B148="","",IF(YEAR(B148+1)=Ano,B148+1,""))</f>
        <v>46155.0</v>
      </c>
      <c r="C149" s="128" t="str">
        <f>IF(B149="","",CHOOSE(WEEKDAY(B149),"Dom","Seg","Ter","Qua","Qui","Sex","Sáb"))</f>
        <v>Qua</v>
      </c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28">
        <f>IF(OR(B149="",B149&gt;Hoje),"",COUNTIF(D149:M149,"x"))</f>
        <v>0</v>
      </c>
      <c r="O149" s="133" t="str">
        <f>IF(OR(N149="",COUNTA($D$16:$M$16)=0),"",N149/COUNTA($D$16:$M$16))</f>
        <v/>
      </c>
      <c r="Q149">
        <f>IF(D149="x",Q148+1,0)</f>
        <v>0</v>
      </c>
      <c r="R149">
        <f>IF(E149="x",R148+1,0)</f>
        <v>0</v>
      </c>
      <c r="S149">
        <f>IF(F149="x",S148+1,0)</f>
        <v>0</v>
      </c>
      <c r="T149">
        <f>IF(G149="x",T148+1,0)</f>
        <v>0</v>
      </c>
      <c r="U149">
        <f>IF(H149="x",U148+1,0)</f>
        <v>0</v>
      </c>
      <c r="V149">
        <f>IF(I149="x",V148+1,0)</f>
        <v>0</v>
      </c>
      <c r="W149">
        <f>IF(J149="x",W148+1,0)</f>
        <v>0</v>
      </c>
      <c r="X149">
        <f>IF(K149="x",X148+1,0)</f>
        <v>0</v>
      </c>
      <c r="Y149">
        <f>IF(L149="x",Y148+1,0)</f>
        <v>0</v>
      </c>
      <c r="Z149">
        <f>IF(M149="x",Z148+1,0)</f>
        <v>0</v>
      </c>
    </row>
    <row r="150">
      <c r="B150" s="137">
        <f>IF(B149="","",IF(YEAR(B149+1)=Ano,B149+1,""))</f>
        <v>46156.0</v>
      </c>
      <c r="C150" s="128" t="str">
        <f>IF(B150="","",CHOOSE(WEEKDAY(B150),"Dom","Seg","Ter","Qua","Qui","Sex","Sáb"))</f>
        <v>Qui</v>
      </c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28">
        <f>IF(OR(B150="",B150&gt;Hoje),"",COUNTIF(D150:M150,"x"))</f>
        <v>0</v>
      </c>
      <c r="O150" s="133" t="str">
        <f>IF(OR(N150="",COUNTA($D$16:$M$16)=0),"",N150/COUNTA($D$16:$M$16))</f>
        <v/>
      </c>
      <c r="Q150">
        <f>IF(D150="x",Q149+1,0)</f>
        <v>0</v>
      </c>
      <c r="R150">
        <f>IF(E150="x",R149+1,0)</f>
        <v>0</v>
      </c>
      <c r="S150">
        <f>IF(F150="x",S149+1,0)</f>
        <v>0</v>
      </c>
      <c r="T150">
        <f>IF(G150="x",T149+1,0)</f>
        <v>0</v>
      </c>
      <c r="U150">
        <f>IF(H150="x",U149+1,0)</f>
        <v>0</v>
      </c>
      <c r="V150">
        <f>IF(I150="x",V149+1,0)</f>
        <v>0</v>
      </c>
      <c r="W150">
        <f>IF(J150="x",W149+1,0)</f>
        <v>0</v>
      </c>
      <c r="X150">
        <f>IF(K150="x",X149+1,0)</f>
        <v>0</v>
      </c>
      <c r="Y150">
        <f>IF(L150="x",Y149+1,0)</f>
        <v>0</v>
      </c>
      <c r="Z150">
        <f>IF(M150="x",Z149+1,0)</f>
        <v>0</v>
      </c>
    </row>
    <row r="151">
      <c r="B151" s="137">
        <f>IF(B150="","",IF(YEAR(B150+1)=Ano,B150+1,""))</f>
        <v>46157.0</v>
      </c>
      <c r="C151" s="128" t="str">
        <f>IF(B151="","",CHOOSE(WEEKDAY(B151),"Dom","Seg","Ter","Qua","Qui","Sex","Sáb"))</f>
        <v>Sex</v>
      </c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28">
        <f>IF(OR(B151="",B151&gt;Hoje),"",COUNTIF(D151:M151,"x"))</f>
        <v>0</v>
      </c>
      <c r="O151" s="133" t="str">
        <f>IF(OR(N151="",COUNTA($D$16:$M$16)=0),"",N151/COUNTA($D$16:$M$16))</f>
        <v/>
      </c>
      <c r="Q151">
        <f>IF(D151="x",Q150+1,0)</f>
        <v>0</v>
      </c>
      <c r="R151">
        <f>IF(E151="x",R150+1,0)</f>
        <v>0</v>
      </c>
      <c r="S151">
        <f>IF(F151="x",S150+1,0)</f>
        <v>0</v>
      </c>
      <c r="T151">
        <f>IF(G151="x",T150+1,0)</f>
        <v>0</v>
      </c>
      <c r="U151">
        <f>IF(H151="x",U150+1,0)</f>
        <v>0</v>
      </c>
      <c r="V151">
        <f>IF(I151="x",V150+1,0)</f>
        <v>0</v>
      </c>
      <c r="W151">
        <f>IF(J151="x",W150+1,0)</f>
        <v>0</v>
      </c>
      <c r="X151">
        <f>IF(K151="x",X150+1,0)</f>
        <v>0</v>
      </c>
      <c r="Y151">
        <f>IF(L151="x",Y150+1,0)</f>
        <v>0</v>
      </c>
      <c r="Z151">
        <f>IF(M151="x",Z150+1,0)</f>
        <v>0</v>
      </c>
    </row>
    <row r="152">
      <c r="B152" s="137">
        <f>IF(B151="","",IF(YEAR(B151+1)=Ano,B151+1,""))</f>
        <v>46158.0</v>
      </c>
      <c r="C152" s="128" t="str">
        <f>IF(B152="","",CHOOSE(WEEKDAY(B152),"Dom","Seg","Ter","Qua","Qui","Sex","Sáb"))</f>
        <v>Sáb</v>
      </c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28">
        <f>IF(OR(B152="",B152&gt;Hoje),"",COUNTIF(D152:M152,"x"))</f>
        <v>0</v>
      </c>
      <c r="O152" s="133" t="str">
        <f>IF(OR(N152="",COUNTA($D$16:$M$16)=0),"",N152/COUNTA($D$16:$M$16))</f>
        <v/>
      </c>
      <c r="Q152">
        <f>IF(D152="x",Q151+1,0)</f>
        <v>0</v>
      </c>
      <c r="R152">
        <f>IF(E152="x",R151+1,0)</f>
        <v>0</v>
      </c>
      <c r="S152">
        <f>IF(F152="x",S151+1,0)</f>
        <v>0</v>
      </c>
      <c r="T152">
        <f>IF(G152="x",T151+1,0)</f>
        <v>0</v>
      </c>
      <c r="U152">
        <f>IF(H152="x",U151+1,0)</f>
        <v>0</v>
      </c>
      <c r="V152">
        <f>IF(I152="x",V151+1,0)</f>
        <v>0</v>
      </c>
      <c r="W152">
        <f>IF(J152="x",W151+1,0)</f>
        <v>0</v>
      </c>
      <c r="X152">
        <f>IF(K152="x",X151+1,0)</f>
        <v>0</v>
      </c>
      <c r="Y152">
        <f>IF(L152="x",Y151+1,0)</f>
        <v>0</v>
      </c>
      <c r="Z152">
        <f>IF(M152="x",Z151+1,0)</f>
        <v>0</v>
      </c>
    </row>
    <row r="153">
      <c r="B153" s="137">
        <f>IF(B152="","",IF(YEAR(B152+1)=Ano,B152+1,""))</f>
        <v>46159.0</v>
      </c>
      <c r="C153" s="128" t="str">
        <f>IF(B153="","",CHOOSE(WEEKDAY(B153),"Dom","Seg","Ter","Qua","Qui","Sex","Sáb"))</f>
        <v>Dom</v>
      </c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28">
        <f>IF(OR(B153="",B153&gt;Hoje),"",COUNTIF(D153:M153,"x"))</f>
        <v>0</v>
      </c>
      <c r="O153" s="133" t="str">
        <f>IF(OR(N153="",COUNTA($D$16:$M$16)=0),"",N153/COUNTA($D$16:$M$16))</f>
        <v/>
      </c>
      <c r="Q153">
        <f>IF(D153="x",Q152+1,0)</f>
        <v>0</v>
      </c>
      <c r="R153">
        <f>IF(E153="x",R152+1,0)</f>
        <v>0</v>
      </c>
      <c r="S153">
        <f>IF(F153="x",S152+1,0)</f>
        <v>0</v>
      </c>
      <c r="T153">
        <f>IF(G153="x",T152+1,0)</f>
        <v>0</v>
      </c>
      <c r="U153">
        <f>IF(H153="x",U152+1,0)</f>
        <v>0</v>
      </c>
      <c r="V153">
        <f>IF(I153="x",V152+1,0)</f>
        <v>0</v>
      </c>
      <c r="W153">
        <f>IF(J153="x",W152+1,0)</f>
        <v>0</v>
      </c>
      <c r="X153">
        <f>IF(K153="x",X152+1,0)</f>
        <v>0</v>
      </c>
      <c r="Y153">
        <f>IF(L153="x",Y152+1,0)</f>
        <v>0</v>
      </c>
      <c r="Z153">
        <f>IF(M153="x",Z152+1,0)</f>
        <v>0</v>
      </c>
    </row>
    <row r="154">
      <c r="B154" s="137">
        <f>IF(B153="","",IF(YEAR(B153+1)=Ano,B153+1,""))</f>
        <v>46160.0</v>
      </c>
      <c r="C154" s="128" t="str">
        <f>IF(B154="","",CHOOSE(WEEKDAY(B154),"Dom","Seg","Ter","Qua","Qui","Sex","Sáb"))</f>
        <v>Seg</v>
      </c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28">
        <f>IF(OR(B154="",B154&gt;Hoje),"",COUNTIF(D154:M154,"x"))</f>
        <v>0</v>
      </c>
      <c r="O154" s="133" t="str">
        <f>IF(OR(N154="",COUNTA($D$16:$M$16)=0),"",N154/COUNTA($D$16:$M$16))</f>
        <v/>
      </c>
      <c r="Q154">
        <f>IF(D154="x",Q153+1,0)</f>
        <v>0</v>
      </c>
      <c r="R154">
        <f>IF(E154="x",R153+1,0)</f>
        <v>0</v>
      </c>
      <c r="S154">
        <f>IF(F154="x",S153+1,0)</f>
        <v>0</v>
      </c>
      <c r="T154">
        <f>IF(G154="x",T153+1,0)</f>
        <v>0</v>
      </c>
      <c r="U154">
        <f>IF(H154="x",U153+1,0)</f>
        <v>0</v>
      </c>
      <c r="V154">
        <f>IF(I154="x",V153+1,0)</f>
        <v>0</v>
      </c>
      <c r="W154">
        <f>IF(J154="x",W153+1,0)</f>
        <v>0</v>
      </c>
      <c r="X154">
        <f>IF(K154="x",X153+1,0)</f>
        <v>0</v>
      </c>
      <c r="Y154">
        <f>IF(L154="x",Y153+1,0)</f>
        <v>0</v>
      </c>
      <c r="Z154">
        <f>IF(M154="x",Z153+1,0)</f>
        <v>0</v>
      </c>
    </row>
    <row r="155">
      <c r="B155" s="137">
        <f>IF(B154="","",IF(YEAR(B154+1)=Ano,B154+1,""))</f>
        <v>46161.0</v>
      </c>
      <c r="C155" s="128" t="str">
        <f>IF(B155="","",CHOOSE(WEEKDAY(B155),"Dom","Seg","Ter","Qua","Qui","Sex","Sáb"))</f>
        <v>Ter</v>
      </c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28">
        <f>IF(OR(B155="",B155&gt;Hoje),"",COUNTIF(D155:M155,"x"))</f>
        <v>0</v>
      </c>
      <c r="O155" s="133" t="str">
        <f>IF(OR(N155="",COUNTA($D$16:$M$16)=0),"",N155/COUNTA($D$16:$M$16))</f>
        <v/>
      </c>
      <c r="Q155">
        <f>IF(D155="x",Q154+1,0)</f>
        <v>0</v>
      </c>
      <c r="R155">
        <f>IF(E155="x",R154+1,0)</f>
        <v>0</v>
      </c>
      <c r="S155">
        <f>IF(F155="x",S154+1,0)</f>
        <v>0</v>
      </c>
      <c r="T155">
        <f>IF(G155="x",T154+1,0)</f>
        <v>0</v>
      </c>
      <c r="U155">
        <f>IF(H155="x",U154+1,0)</f>
        <v>0</v>
      </c>
      <c r="V155">
        <f>IF(I155="x",V154+1,0)</f>
        <v>0</v>
      </c>
      <c r="W155">
        <f>IF(J155="x",W154+1,0)</f>
        <v>0</v>
      </c>
      <c r="X155">
        <f>IF(K155="x",X154+1,0)</f>
        <v>0</v>
      </c>
      <c r="Y155">
        <f>IF(L155="x",Y154+1,0)</f>
        <v>0</v>
      </c>
      <c r="Z155">
        <f>IF(M155="x",Z154+1,0)</f>
        <v>0</v>
      </c>
    </row>
    <row r="156">
      <c r="B156" s="137">
        <f>IF(B155="","",IF(YEAR(B155+1)=Ano,B155+1,""))</f>
        <v>46162.0</v>
      </c>
      <c r="C156" s="128" t="str">
        <f>IF(B156="","",CHOOSE(WEEKDAY(B156),"Dom","Seg","Ter","Qua","Qui","Sex","Sáb"))</f>
        <v>Qua</v>
      </c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28">
        <f>IF(OR(B156="",B156&gt;Hoje),"",COUNTIF(D156:M156,"x"))</f>
        <v>0</v>
      </c>
      <c r="O156" s="133" t="str">
        <f>IF(OR(N156="",COUNTA($D$16:$M$16)=0),"",N156/COUNTA($D$16:$M$16))</f>
        <v/>
      </c>
      <c r="Q156">
        <f>IF(D156="x",Q155+1,0)</f>
        <v>0</v>
      </c>
      <c r="R156">
        <f>IF(E156="x",R155+1,0)</f>
        <v>0</v>
      </c>
      <c r="S156">
        <f>IF(F156="x",S155+1,0)</f>
        <v>0</v>
      </c>
      <c r="T156">
        <f>IF(G156="x",T155+1,0)</f>
        <v>0</v>
      </c>
      <c r="U156">
        <f>IF(H156="x",U155+1,0)</f>
        <v>0</v>
      </c>
      <c r="V156">
        <f>IF(I156="x",V155+1,0)</f>
        <v>0</v>
      </c>
      <c r="W156">
        <f>IF(J156="x",W155+1,0)</f>
        <v>0</v>
      </c>
      <c r="X156">
        <f>IF(K156="x",X155+1,0)</f>
        <v>0</v>
      </c>
      <c r="Y156">
        <f>IF(L156="x",Y155+1,0)</f>
        <v>0</v>
      </c>
      <c r="Z156">
        <f>IF(M156="x",Z155+1,0)</f>
        <v>0</v>
      </c>
    </row>
    <row r="157">
      <c r="B157" s="137">
        <f>IF(B156="","",IF(YEAR(B156+1)=Ano,B156+1,""))</f>
        <v>46163.0</v>
      </c>
      <c r="C157" s="128" t="str">
        <f>IF(B157="","",CHOOSE(WEEKDAY(B157),"Dom","Seg","Ter","Qua","Qui","Sex","Sáb"))</f>
        <v>Qui</v>
      </c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28">
        <f>IF(OR(B157="",B157&gt;Hoje),"",COUNTIF(D157:M157,"x"))</f>
        <v>0</v>
      </c>
      <c r="O157" s="133" t="str">
        <f>IF(OR(N157="",COUNTA($D$16:$M$16)=0),"",N157/COUNTA($D$16:$M$16))</f>
        <v/>
      </c>
      <c r="Q157">
        <f>IF(D157="x",Q156+1,0)</f>
        <v>0</v>
      </c>
      <c r="R157">
        <f>IF(E157="x",R156+1,0)</f>
        <v>0</v>
      </c>
      <c r="S157">
        <f>IF(F157="x",S156+1,0)</f>
        <v>0</v>
      </c>
      <c r="T157">
        <f>IF(G157="x",T156+1,0)</f>
        <v>0</v>
      </c>
      <c r="U157">
        <f>IF(H157="x",U156+1,0)</f>
        <v>0</v>
      </c>
      <c r="V157">
        <f>IF(I157="x",V156+1,0)</f>
        <v>0</v>
      </c>
      <c r="W157">
        <f>IF(J157="x",W156+1,0)</f>
        <v>0</v>
      </c>
      <c r="X157">
        <f>IF(K157="x",X156+1,0)</f>
        <v>0</v>
      </c>
      <c r="Y157">
        <f>IF(L157="x",Y156+1,0)</f>
        <v>0</v>
      </c>
      <c r="Z157">
        <f>IF(M157="x",Z156+1,0)</f>
        <v>0</v>
      </c>
    </row>
    <row r="158">
      <c r="B158" s="137">
        <f>IF(B157="","",IF(YEAR(B157+1)=Ano,B157+1,""))</f>
        <v>46164.0</v>
      </c>
      <c r="C158" s="128" t="str">
        <f>IF(B158="","",CHOOSE(WEEKDAY(B158),"Dom","Seg","Ter","Qua","Qui","Sex","Sáb"))</f>
        <v>Sex</v>
      </c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28">
        <f>IF(OR(B158="",B158&gt;Hoje),"",COUNTIF(D158:M158,"x"))</f>
        <v>0</v>
      </c>
      <c r="O158" s="133" t="str">
        <f>IF(OR(N158="",COUNTA($D$16:$M$16)=0),"",N158/COUNTA($D$16:$M$16))</f>
        <v/>
      </c>
      <c r="Q158">
        <f>IF(D158="x",Q157+1,0)</f>
        <v>0</v>
      </c>
      <c r="R158">
        <f>IF(E158="x",R157+1,0)</f>
        <v>0</v>
      </c>
      <c r="S158">
        <f>IF(F158="x",S157+1,0)</f>
        <v>0</v>
      </c>
      <c r="T158">
        <f>IF(G158="x",T157+1,0)</f>
        <v>0</v>
      </c>
      <c r="U158">
        <f>IF(H158="x",U157+1,0)</f>
        <v>0</v>
      </c>
      <c r="V158">
        <f>IF(I158="x",V157+1,0)</f>
        <v>0</v>
      </c>
      <c r="W158">
        <f>IF(J158="x",W157+1,0)</f>
        <v>0</v>
      </c>
      <c r="X158">
        <f>IF(K158="x",X157+1,0)</f>
        <v>0</v>
      </c>
      <c r="Y158">
        <f>IF(L158="x",Y157+1,0)</f>
        <v>0</v>
      </c>
      <c r="Z158">
        <f>IF(M158="x",Z157+1,0)</f>
        <v>0</v>
      </c>
    </row>
    <row r="159">
      <c r="B159" s="137">
        <f>IF(B158="","",IF(YEAR(B158+1)=Ano,B158+1,""))</f>
        <v>46165.0</v>
      </c>
      <c r="C159" s="128" t="str">
        <f>IF(B159="","",CHOOSE(WEEKDAY(B159),"Dom","Seg","Ter","Qua","Qui","Sex","Sáb"))</f>
        <v>Sáb</v>
      </c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28">
        <f>IF(OR(B159="",B159&gt;Hoje),"",COUNTIF(D159:M159,"x"))</f>
        <v>0</v>
      </c>
      <c r="O159" s="133" t="str">
        <f>IF(OR(N159="",COUNTA($D$16:$M$16)=0),"",N159/COUNTA($D$16:$M$16))</f>
        <v/>
      </c>
      <c r="Q159">
        <f>IF(D159="x",Q158+1,0)</f>
        <v>0</v>
      </c>
      <c r="R159">
        <f>IF(E159="x",R158+1,0)</f>
        <v>0</v>
      </c>
      <c r="S159">
        <f>IF(F159="x",S158+1,0)</f>
        <v>0</v>
      </c>
      <c r="T159">
        <f>IF(G159="x",T158+1,0)</f>
        <v>0</v>
      </c>
      <c r="U159">
        <f>IF(H159="x",U158+1,0)</f>
        <v>0</v>
      </c>
      <c r="V159">
        <f>IF(I159="x",V158+1,0)</f>
        <v>0</v>
      </c>
      <c r="W159">
        <f>IF(J159="x",W158+1,0)</f>
        <v>0</v>
      </c>
      <c r="X159">
        <f>IF(K159="x",X158+1,0)</f>
        <v>0</v>
      </c>
      <c r="Y159">
        <f>IF(L159="x",Y158+1,0)</f>
        <v>0</v>
      </c>
      <c r="Z159">
        <f>IF(M159="x",Z158+1,0)</f>
        <v>0</v>
      </c>
    </row>
    <row r="160">
      <c r="B160" s="137">
        <f>IF(B159="","",IF(YEAR(B159+1)=Ano,B159+1,""))</f>
        <v>46166.0</v>
      </c>
      <c r="C160" s="128" t="str">
        <f>IF(B160="","",CHOOSE(WEEKDAY(B160),"Dom","Seg","Ter","Qua","Qui","Sex","Sáb"))</f>
        <v>Dom</v>
      </c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28">
        <f>IF(OR(B160="",B160&gt;Hoje),"",COUNTIF(D160:M160,"x"))</f>
        <v>0</v>
      </c>
      <c r="O160" s="133" t="str">
        <f>IF(OR(N160="",COUNTA($D$16:$M$16)=0),"",N160/COUNTA($D$16:$M$16))</f>
        <v/>
      </c>
      <c r="Q160">
        <f>IF(D160="x",Q159+1,0)</f>
        <v>0</v>
      </c>
      <c r="R160">
        <f>IF(E160="x",R159+1,0)</f>
        <v>0</v>
      </c>
      <c r="S160">
        <f>IF(F160="x",S159+1,0)</f>
        <v>0</v>
      </c>
      <c r="T160">
        <f>IF(G160="x",T159+1,0)</f>
        <v>0</v>
      </c>
      <c r="U160">
        <f>IF(H160="x",U159+1,0)</f>
        <v>0</v>
      </c>
      <c r="V160">
        <f>IF(I160="x",V159+1,0)</f>
        <v>0</v>
      </c>
      <c r="W160">
        <f>IF(J160="x",W159+1,0)</f>
        <v>0</v>
      </c>
      <c r="X160">
        <f>IF(K160="x",X159+1,0)</f>
        <v>0</v>
      </c>
      <c r="Y160">
        <f>IF(L160="x",Y159+1,0)</f>
        <v>0</v>
      </c>
      <c r="Z160">
        <f>IF(M160="x",Z159+1,0)</f>
        <v>0</v>
      </c>
    </row>
    <row r="161">
      <c r="B161" s="137">
        <f>IF(B160="","",IF(YEAR(B160+1)=Ano,B160+1,""))</f>
        <v>46167.0</v>
      </c>
      <c r="C161" s="128" t="str">
        <f>IF(B161="","",CHOOSE(WEEKDAY(B161),"Dom","Seg","Ter","Qua","Qui","Sex","Sáb"))</f>
        <v>Seg</v>
      </c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28">
        <f>IF(OR(B161="",B161&gt;Hoje),"",COUNTIF(D161:M161,"x"))</f>
        <v>0</v>
      </c>
      <c r="O161" s="133" t="str">
        <f>IF(OR(N161="",COUNTA($D$16:$M$16)=0),"",N161/COUNTA($D$16:$M$16))</f>
        <v/>
      </c>
      <c r="Q161">
        <f>IF(D161="x",Q160+1,0)</f>
        <v>0</v>
      </c>
      <c r="R161">
        <f>IF(E161="x",R160+1,0)</f>
        <v>0</v>
      </c>
      <c r="S161">
        <f>IF(F161="x",S160+1,0)</f>
        <v>0</v>
      </c>
      <c r="T161">
        <f>IF(G161="x",T160+1,0)</f>
        <v>0</v>
      </c>
      <c r="U161">
        <f>IF(H161="x",U160+1,0)</f>
        <v>0</v>
      </c>
      <c r="V161">
        <f>IF(I161="x",V160+1,0)</f>
        <v>0</v>
      </c>
      <c r="W161">
        <f>IF(J161="x",W160+1,0)</f>
        <v>0</v>
      </c>
      <c r="X161">
        <f>IF(K161="x",X160+1,0)</f>
        <v>0</v>
      </c>
      <c r="Y161">
        <f>IF(L161="x",Y160+1,0)</f>
        <v>0</v>
      </c>
      <c r="Z161">
        <f>IF(M161="x",Z160+1,0)</f>
        <v>0</v>
      </c>
    </row>
    <row r="162">
      <c r="B162" s="137">
        <f>IF(B161="","",IF(YEAR(B161+1)=Ano,B161+1,""))</f>
        <v>46168.0</v>
      </c>
      <c r="C162" s="128" t="str">
        <f>IF(B162="","",CHOOSE(WEEKDAY(B162),"Dom","Seg","Ter","Qua","Qui","Sex","Sáb"))</f>
        <v>Ter</v>
      </c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28">
        <f>IF(OR(B162="",B162&gt;Hoje),"",COUNTIF(D162:M162,"x"))</f>
        <v>0</v>
      </c>
      <c r="O162" s="133" t="str">
        <f>IF(OR(N162="",COUNTA($D$16:$M$16)=0),"",N162/COUNTA($D$16:$M$16))</f>
        <v/>
      </c>
      <c r="Q162">
        <f>IF(D162="x",Q161+1,0)</f>
        <v>0</v>
      </c>
      <c r="R162">
        <f>IF(E162="x",R161+1,0)</f>
        <v>0</v>
      </c>
      <c r="S162">
        <f>IF(F162="x",S161+1,0)</f>
        <v>0</v>
      </c>
      <c r="T162">
        <f>IF(G162="x",T161+1,0)</f>
        <v>0</v>
      </c>
      <c r="U162">
        <f>IF(H162="x",U161+1,0)</f>
        <v>0</v>
      </c>
      <c r="V162">
        <f>IF(I162="x",V161+1,0)</f>
        <v>0</v>
      </c>
      <c r="W162">
        <f>IF(J162="x",W161+1,0)</f>
        <v>0</v>
      </c>
      <c r="X162">
        <f>IF(K162="x",X161+1,0)</f>
        <v>0</v>
      </c>
      <c r="Y162">
        <f>IF(L162="x",Y161+1,0)</f>
        <v>0</v>
      </c>
      <c r="Z162">
        <f>IF(M162="x",Z161+1,0)</f>
        <v>0</v>
      </c>
    </row>
    <row r="163">
      <c r="B163" s="137">
        <f>IF(B162="","",IF(YEAR(B162+1)=Ano,B162+1,""))</f>
        <v>46169.0</v>
      </c>
      <c r="C163" s="128" t="str">
        <f>IF(B163="","",CHOOSE(WEEKDAY(B163),"Dom","Seg","Ter","Qua","Qui","Sex","Sáb"))</f>
        <v>Qua</v>
      </c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28">
        <f>IF(OR(B163="",B163&gt;Hoje),"",COUNTIF(D163:M163,"x"))</f>
        <v>0</v>
      </c>
      <c r="O163" s="133" t="str">
        <f>IF(OR(N163="",COUNTA($D$16:$M$16)=0),"",N163/COUNTA($D$16:$M$16))</f>
        <v/>
      </c>
      <c r="Q163">
        <f>IF(D163="x",Q162+1,0)</f>
        <v>0</v>
      </c>
      <c r="R163">
        <f>IF(E163="x",R162+1,0)</f>
        <v>0</v>
      </c>
      <c r="S163">
        <f>IF(F163="x",S162+1,0)</f>
        <v>0</v>
      </c>
      <c r="T163">
        <f>IF(G163="x",T162+1,0)</f>
        <v>0</v>
      </c>
      <c r="U163">
        <f>IF(H163="x",U162+1,0)</f>
        <v>0</v>
      </c>
      <c r="V163">
        <f>IF(I163="x",V162+1,0)</f>
        <v>0</v>
      </c>
      <c r="W163">
        <f>IF(J163="x",W162+1,0)</f>
        <v>0</v>
      </c>
      <c r="X163">
        <f>IF(K163="x",X162+1,0)</f>
        <v>0</v>
      </c>
      <c r="Y163">
        <f>IF(L163="x",Y162+1,0)</f>
        <v>0</v>
      </c>
      <c r="Z163">
        <f>IF(M163="x",Z162+1,0)</f>
        <v>0</v>
      </c>
    </row>
    <row r="164">
      <c r="B164" s="137">
        <f>IF(B163="","",IF(YEAR(B163+1)=Ano,B163+1,""))</f>
        <v>46170.0</v>
      </c>
      <c r="C164" s="128" t="str">
        <f>IF(B164="","",CHOOSE(WEEKDAY(B164),"Dom","Seg","Ter","Qua","Qui","Sex","Sáb"))</f>
        <v>Qui</v>
      </c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28">
        <f>IF(OR(B164="",B164&gt;Hoje),"",COUNTIF(D164:M164,"x"))</f>
        <v>0</v>
      </c>
      <c r="O164" s="133" t="str">
        <f>IF(OR(N164="",COUNTA($D$16:$M$16)=0),"",N164/COUNTA($D$16:$M$16))</f>
        <v/>
      </c>
      <c r="Q164">
        <f>IF(D164="x",Q163+1,0)</f>
        <v>0</v>
      </c>
      <c r="R164">
        <f>IF(E164="x",R163+1,0)</f>
        <v>0</v>
      </c>
      <c r="S164">
        <f>IF(F164="x",S163+1,0)</f>
        <v>0</v>
      </c>
      <c r="T164">
        <f>IF(G164="x",T163+1,0)</f>
        <v>0</v>
      </c>
      <c r="U164">
        <f>IF(H164="x",U163+1,0)</f>
        <v>0</v>
      </c>
      <c r="V164">
        <f>IF(I164="x",V163+1,0)</f>
        <v>0</v>
      </c>
      <c r="W164">
        <f>IF(J164="x",W163+1,0)</f>
        <v>0</v>
      </c>
      <c r="X164">
        <f>IF(K164="x",X163+1,0)</f>
        <v>0</v>
      </c>
      <c r="Y164">
        <f>IF(L164="x",Y163+1,0)</f>
        <v>0</v>
      </c>
      <c r="Z164">
        <f>IF(M164="x",Z163+1,0)</f>
        <v>0</v>
      </c>
    </row>
    <row r="165">
      <c r="B165" s="137">
        <f>IF(B164="","",IF(YEAR(B164+1)=Ano,B164+1,""))</f>
        <v>46171.0</v>
      </c>
      <c r="C165" s="128" t="str">
        <f>IF(B165="","",CHOOSE(WEEKDAY(B165),"Dom","Seg","Ter","Qua","Qui","Sex","Sáb"))</f>
        <v>Sex</v>
      </c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28">
        <f>IF(OR(B165="",B165&gt;Hoje),"",COUNTIF(D165:M165,"x"))</f>
        <v>0</v>
      </c>
      <c r="O165" s="133" t="str">
        <f>IF(OR(N165="",COUNTA($D$16:$M$16)=0),"",N165/COUNTA($D$16:$M$16))</f>
        <v/>
      </c>
      <c r="Q165">
        <f>IF(D165="x",Q164+1,0)</f>
        <v>0</v>
      </c>
      <c r="R165">
        <f>IF(E165="x",R164+1,0)</f>
        <v>0</v>
      </c>
      <c r="S165">
        <f>IF(F165="x",S164+1,0)</f>
        <v>0</v>
      </c>
      <c r="T165">
        <f>IF(G165="x",T164+1,0)</f>
        <v>0</v>
      </c>
      <c r="U165">
        <f>IF(H165="x",U164+1,0)</f>
        <v>0</v>
      </c>
      <c r="V165">
        <f>IF(I165="x",V164+1,0)</f>
        <v>0</v>
      </c>
      <c r="W165">
        <f>IF(J165="x",W164+1,0)</f>
        <v>0</v>
      </c>
      <c r="X165">
        <f>IF(K165="x",X164+1,0)</f>
        <v>0</v>
      </c>
      <c r="Y165">
        <f>IF(L165="x",Y164+1,0)</f>
        <v>0</v>
      </c>
      <c r="Z165">
        <f>IF(M165="x",Z164+1,0)</f>
        <v>0</v>
      </c>
    </row>
    <row r="166">
      <c r="B166" s="137">
        <f>IF(B165="","",IF(YEAR(B165+1)=Ano,B165+1,""))</f>
        <v>46172.0</v>
      </c>
      <c r="C166" s="128" t="str">
        <f>IF(B166="","",CHOOSE(WEEKDAY(B166),"Dom","Seg","Ter","Qua","Qui","Sex","Sáb"))</f>
        <v>Sáb</v>
      </c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28">
        <f>IF(OR(B166="",B166&gt;Hoje),"",COUNTIF(D166:M166,"x"))</f>
        <v>0</v>
      </c>
      <c r="O166" s="133" t="str">
        <f>IF(OR(N166="",COUNTA($D$16:$M$16)=0),"",N166/COUNTA($D$16:$M$16))</f>
        <v/>
      </c>
      <c r="Q166">
        <f>IF(D166="x",Q165+1,0)</f>
        <v>0</v>
      </c>
      <c r="R166">
        <f>IF(E166="x",R165+1,0)</f>
        <v>0</v>
      </c>
      <c r="S166">
        <f>IF(F166="x",S165+1,0)</f>
        <v>0</v>
      </c>
      <c r="T166">
        <f>IF(G166="x",T165+1,0)</f>
        <v>0</v>
      </c>
      <c r="U166">
        <f>IF(H166="x",U165+1,0)</f>
        <v>0</v>
      </c>
      <c r="V166">
        <f>IF(I166="x",V165+1,0)</f>
        <v>0</v>
      </c>
      <c r="W166">
        <f>IF(J166="x",W165+1,0)</f>
        <v>0</v>
      </c>
      <c r="X166">
        <f>IF(K166="x",X165+1,0)</f>
        <v>0</v>
      </c>
      <c r="Y166">
        <f>IF(L166="x",Y165+1,0)</f>
        <v>0</v>
      </c>
      <c r="Z166">
        <f>IF(M166="x",Z165+1,0)</f>
        <v>0</v>
      </c>
    </row>
    <row r="167">
      <c r="B167" s="137">
        <f>IF(B166="","",IF(YEAR(B166+1)=Ano,B166+1,""))</f>
        <v>46173.0</v>
      </c>
      <c r="C167" s="128" t="str">
        <f>IF(B167="","",CHOOSE(WEEKDAY(B167),"Dom","Seg","Ter","Qua","Qui","Sex","Sáb"))</f>
        <v>Dom</v>
      </c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28">
        <f>IF(OR(B167="",B167&gt;Hoje),"",COUNTIF(D167:M167,"x"))</f>
        <v>0</v>
      </c>
      <c r="O167" s="133" t="str">
        <f>IF(OR(N167="",COUNTA($D$16:$M$16)=0),"",N167/COUNTA($D$16:$M$16))</f>
        <v/>
      </c>
      <c r="Q167">
        <f>IF(D167="x",Q166+1,0)</f>
        <v>0</v>
      </c>
      <c r="R167">
        <f>IF(E167="x",R166+1,0)</f>
        <v>0</v>
      </c>
      <c r="S167">
        <f>IF(F167="x",S166+1,0)</f>
        <v>0</v>
      </c>
      <c r="T167">
        <f>IF(G167="x",T166+1,0)</f>
        <v>0</v>
      </c>
      <c r="U167">
        <f>IF(H167="x",U166+1,0)</f>
        <v>0</v>
      </c>
      <c r="V167">
        <f>IF(I167="x",V166+1,0)</f>
        <v>0</v>
      </c>
      <c r="W167">
        <f>IF(J167="x",W166+1,0)</f>
        <v>0</v>
      </c>
      <c r="X167">
        <f>IF(K167="x",X166+1,0)</f>
        <v>0</v>
      </c>
      <c r="Y167">
        <f>IF(L167="x",Y166+1,0)</f>
        <v>0</v>
      </c>
      <c r="Z167">
        <f>IF(M167="x",Z166+1,0)</f>
        <v>0</v>
      </c>
    </row>
    <row r="168">
      <c r="B168" s="137">
        <f>IF(B167="","",IF(YEAR(B167+1)=Ano,B167+1,""))</f>
        <v>46174.0</v>
      </c>
      <c r="C168" s="128" t="str">
        <f>IF(B168="","",CHOOSE(WEEKDAY(B168),"Dom","Seg","Ter","Qua","Qui","Sex","Sáb"))</f>
        <v>Seg</v>
      </c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28">
        <f>IF(OR(B168="",B168&gt;Hoje),"",COUNTIF(D168:M168,"x"))</f>
        <v>0</v>
      </c>
      <c r="O168" s="133" t="str">
        <f>IF(OR(N168="",COUNTA($D$16:$M$16)=0),"",N168/COUNTA($D$16:$M$16))</f>
        <v/>
      </c>
      <c r="Q168">
        <f>IF(D168="x",Q167+1,0)</f>
        <v>0</v>
      </c>
      <c r="R168">
        <f>IF(E168="x",R167+1,0)</f>
        <v>0</v>
      </c>
      <c r="S168">
        <f>IF(F168="x",S167+1,0)</f>
        <v>0</v>
      </c>
      <c r="T168">
        <f>IF(G168="x",T167+1,0)</f>
        <v>0</v>
      </c>
      <c r="U168">
        <f>IF(H168="x",U167+1,0)</f>
        <v>0</v>
      </c>
      <c r="V168">
        <f>IF(I168="x",V167+1,0)</f>
        <v>0</v>
      </c>
      <c r="W168">
        <f>IF(J168="x",W167+1,0)</f>
        <v>0</v>
      </c>
      <c r="X168">
        <f>IF(K168="x",X167+1,0)</f>
        <v>0</v>
      </c>
      <c r="Y168">
        <f>IF(L168="x",Y167+1,0)</f>
        <v>0</v>
      </c>
      <c r="Z168">
        <f>IF(M168="x",Z167+1,0)</f>
        <v>0</v>
      </c>
    </row>
    <row r="169">
      <c r="B169" s="137">
        <f>IF(B168="","",IF(YEAR(B168+1)=Ano,B168+1,""))</f>
        <v>46175.0</v>
      </c>
      <c r="C169" s="128" t="str">
        <f>IF(B169="","",CHOOSE(WEEKDAY(B169),"Dom","Seg","Ter","Qua","Qui","Sex","Sáb"))</f>
        <v>Ter</v>
      </c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28">
        <f>IF(OR(B169="",B169&gt;Hoje),"",COUNTIF(D169:M169,"x"))</f>
        <v>0</v>
      </c>
      <c r="O169" s="133" t="str">
        <f>IF(OR(N169="",COUNTA($D$16:$M$16)=0),"",N169/COUNTA($D$16:$M$16))</f>
        <v/>
      </c>
      <c r="Q169">
        <f>IF(D169="x",Q168+1,0)</f>
        <v>0</v>
      </c>
      <c r="R169">
        <f>IF(E169="x",R168+1,0)</f>
        <v>0</v>
      </c>
      <c r="S169">
        <f>IF(F169="x",S168+1,0)</f>
        <v>0</v>
      </c>
      <c r="T169">
        <f>IF(G169="x",T168+1,0)</f>
        <v>0</v>
      </c>
      <c r="U169">
        <f>IF(H169="x",U168+1,0)</f>
        <v>0</v>
      </c>
      <c r="V169">
        <f>IF(I169="x",V168+1,0)</f>
        <v>0</v>
      </c>
      <c r="W169">
        <f>IF(J169="x",W168+1,0)</f>
        <v>0</v>
      </c>
      <c r="X169">
        <f>IF(K169="x",X168+1,0)</f>
        <v>0</v>
      </c>
      <c r="Y169">
        <f>IF(L169="x",Y168+1,0)</f>
        <v>0</v>
      </c>
      <c r="Z169">
        <f>IF(M169="x",Z168+1,0)</f>
        <v>0</v>
      </c>
    </row>
    <row r="170">
      <c r="B170" s="137">
        <f>IF(B169="","",IF(YEAR(B169+1)=Ano,B169+1,""))</f>
        <v>46176.0</v>
      </c>
      <c r="C170" s="128" t="str">
        <f>IF(B170="","",CHOOSE(WEEKDAY(B170),"Dom","Seg","Ter","Qua","Qui","Sex","Sáb"))</f>
        <v>Qua</v>
      </c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28">
        <f>IF(OR(B170="",B170&gt;Hoje),"",COUNTIF(D170:M170,"x"))</f>
        <v>0</v>
      </c>
      <c r="O170" s="133" t="str">
        <f>IF(OR(N170="",COUNTA($D$16:$M$16)=0),"",N170/COUNTA($D$16:$M$16))</f>
        <v/>
      </c>
      <c r="Q170">
        <f>IF(D170="x",Q169+1,0)</f>
        <v>0</v>
      </c>
      <c r="R170">
        <f>IF(E170="x",R169+1,0)</f>
        <v>0</v>
      </c>
      <c r="S170">
        <f>IF(F170="x",S169+1,0)</f>
        <v>0</v>
      </c>
      <c r="T170">
        <f>IF(G170="x",T169+1,0)</f>
        <v>0</v>
      </c>
      <c r="U170">
        <f>IF(H170="x",U169+1,0)</f>
        <v>0</v>
      </c>
      <c r="V170">
        <f>IF(I170="x",V169+1,0)</f>
        <v>0</v>
      </c>
      <c r="W170">
        <f>IF(J170="x",W169+1,0)</f>
        <v>0</v>
      </c>
      <c r="X170">
        <f>IF(K170="x",X169+1,0)</f>
        <v>0</v>
      </c>
      <c r="Y170">
        <f>IF(L170="x",Y169+1,0)</f>
        <v>0</v>
      </c>
      <c r="Z170">
        <f>IF(M170="x",Z169+1,0)</f>
        <v>0</v>
      </c>
    </row>
    <row r="171">
      <c r="B171" s="137">
        <f>IF(B170="","",IF(YEAR(B170+1)=Ano,B170+1,""))</f>
        <v>46177.0</v>
      </c>
      <c r="C171" s="128" t="str">
        <f>IF(B171="","",CHOOSE(WEEKDAY(B171),"Dom","Seg","Ter","Qua","Qui","Sex","Sáb"))</f>
        <v>Qui</v>
      </c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28">
        <f>IF(OR(B171="",B171&gt;Hoje),"",COUNTIF(D171:M171,"x"))</f>
        <v>0</v>
      </c>
      <c r="O171" s="133" t="str">
        <f>IF(OR(N171="",COUNTA($D$16:$M$16)=0),"",N171/COUNTA($D$16:$M$16))</f>
        <v/>
      </c>
      <c r="Q171">
        <f>IF(D171="x",Q170+1,0)</f>
        <v>0</v>
      </c>
      <c r="R171">
        <f>IF(E171="x",R170+1,0)</f>
        <v>0</v>
      </c>
      <c r="S171">
        <f>IF(F171="x",S170+1,0)</f>
        <v>0</v>
      </c>
      <c r="T171">
        <f>IF(G171="x",T170+1,0)</f>
        <v>0</v>
      </c>
      <c r="U171">
        <f>IF(H171="x",U170+1,0)</f>
        <v>0</v>
      </c>
      <c r="V171">
        <f>IF(I171="x",V170+1,0)</f>
        <v>0</v>
      </c>
      <c r="W171">
        <f>IF(J171="x",W170+1,0)</f>
        <v>0</v>
      </c>
      <c r="X171">
        <f>IF(K171="x",X170+1,0)</f>
        <v>0</v>
      </c>
      <c r="Y171">
        <f>IF(L171="x",Y170+1,0)</f>
        <v>0</v>
      </c>
      <c r="Z171">
        <f>IF(M171="x",Z170+1,0)</f>
        <v>0</v>
      </c>
    </row>
    <row r="172">
      <c r="B172" s="137">
        <f>IF(B171="","",IF(YEAR(B171+1)=Ano,B171+1,""))</f>
        <v>46178.0</v>
      </c>
      <c r="C172" s="128" t="str">
        <f>IF(B172="","",CHOOSE(WEEKDAY(B172),"Dom","Seg","Ter","Qua","Qui","Sex","Sáb"))</f>
        <v>Sex</v>
      </c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28">
        <f>IF(OR(B172="",B172&gt;Hoje),"",COUNTIF(D172:M172,"x"))</f>
        <v>0</v>
      </c>
      <c r="O172" s="133" t="str">
        <f>IF(OR(N172="",COUNTA($D$16:$M$16)=0),"",N172/COUNTA($D$16:$M$16))</f>
        <v/>
      </c>
      <c r="Q172">
        <f>IF(D172="x",Q171+1,0)</f>
        <v>0</v>
      </c>
      <c r="R172">
        <f>IF(E172="x",R171+1,0)</f>
        <v>0</v>
      </c>
      <c r="S172">
        <f>IF(F172="x",S171+1,0)</f>
        <v>0</v>
      </c>
      <c r="T172">
        <f>IF(G172="x",T171+1,0)</f>
        <v>0</v>
      </c>
      <c r="U172">
        <f>IF(H172="x",U171+1,0)</f>
        <v>0</v>
      </c>
      <c r="V172">
        <f>IF(I172="x",V171+1,0)</f>
        <v>0</v>
      </c>
      <c r="W172">
        <f>IF(J172="x",W171+1,0)</f>
        <v>0</v>
      </c>
      <c r="X172">
        <f>IF(K172="x",X171+1,0)</f>
        <v>0</v>
      </c>
      <c r="Y172">
        <f>IF(L172="x",Y171+1,0)</f>
        <v>0</v>
      </c>
      <c r="Z172">
        <f>IF(M172="x",Z171+1,0)</f>
        <v>0</v>
      </c>
    </row>
    <row r="173">
      <c r="B173" s="137">
        <f>IF(B172="","",IF(YEAR(B172+1)=Ano,B172+1,""))</f>
        <v>46179.0</v>
      </c>
      <c r="C173" s="128" t="str">
        <f>IF(B173="","",CHOOSE(WEEKDAY(B173),"Dom","Seg","Ter","Qua","Qui","Sex","Sáb"))</f>
        <v>Sáb</v>
      </c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28">
        <f>IF(OR(B173="",B173&gt;Hoje),"",COUNTIF(D173:M173,"x"))</f>
        <v>0</v>
      </c>
      <c r="O173" s="133" t="str">
        <f>IF(OR(N173="",COUNTA($D$16:$M$16)=0),"",N173/COUNTA($D$16:$M$16))</f>
        <v/>
      </c>
      <c r="Q173">
        <f>IF(D173="x",Q172+1,0)</f>
        <v>0</v>
      </c>
      <c r="R173">
        <f>IF(E173="x",R172+1,0)</f>
        <v>0</v>
      </c>
      <c r="S173">
        <f>IF(F173="x",S172+1,0)</f>
        <v>0</v>
      </c>
      <c r="T173">
        <f>IF(G173="x",T172+1,0)</f>
        <v>0</v>
      </c>
      <c r="U173">
        <f>IF(H173="x",U172+1,0)</f>
        <v>0</v>
      </c>
      <c r="V173">
        <f>IF(I173="x",V172+1,0)</f>
        <v>0</v>
      </c>
      <c r="W173">
        <f>IF(J173="x",W172+1,0)</f>
        <v>0</v>
      </c>
      <c r="X173">
        <f>IF(K173="x",X172+1,0)</f>
        <v>0</v>
      </c>
      <c r="Y173">
        <f>IF(L173="x",Y172+1,0)</f>
        <v>0</v>
      </c>
      <c r="Z173">
        <f>IF(M173="x",Z172+1,0)</f>
        <v>0</v>
      </c>
    </row>
    <row r="174">
      <c r="B174" s="137">
        <f>IF(B173="","",IF(YEAR(B173+1)=Ano,B173+1,""))</f>
        <v>46180.0</v>
      </c>
      <c r="C174" s="128" t="str">
        <f>IF(B174="","",CHOOSE(WEEKDAY(B174),"Dom","Seg","Ter","Qua","Qui","Sex","Sáb"))</f>
        <v>Dom</v>
      </c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28">
        <f>IF(OR(B174="",B174&gt;Hoje),"",COUNTIF(D174:M174,"x"))</f>
        <v>0</v>
      </c>
      <c r="O174" s="133" t="str">
        <f>IF(OR(N174="",COUNTA($D$16:$M$16)=0),"",N174/COUNTA($D$16:$M$16))</f>
        <v/>
      </c>
      <c r="Q174">
        <f>IF(D174="x",Q173+1,0)</f>
        <v>0</v>
      </c>
      <c r="R174">
        <f>IF(E174="x",R173+1,0)</f>
        <v>0</v>
      </c>
      <c r="S174">
        <f>IF(F174="x",S173+1,0)</f>
        <v>0</v>
      </c>
      <c r="T174">
        <f>IF(G174="x",T173+1,0)</f>
        <v>0</v>
      </c>
      <c r="U174">
        <f>IF(H174="x",U173+1,0)</f>
        <v>0</v>
      </c>
      <c r="V174">
        <f>IF(I174="x",V173+1,0)</f>
        <v>0</v>
      </c>
      <c r="W174">
        <f>IF(J174="x",W173+1,0)</f>
        <v>0</v>
      </c>
      <c r="X174">
        <f>IF(K174="x",X173+1,0)</f>
        <v>0</v>
      </c>
      <c r="Y174">
        <f>IF(L174="x",Y173+1,0)</f>
        <v>0</v>
      </c>
      <c r="Z174">
        <f>IF(M174="x",Z173+1,0)</f>
        <v>0</v>
      </c>
    </row>
    <row r="175">
      <c r="B175" s="137">
        <f>IF(B174="","",IF(YEAR(B174+1)=Ano,B174+1,""))</f>
        <v>46181.0</v>
      </c>
      <c r="C175" s="128" t="str">
        <f>IF(B175="","",CHOOSE(WEEKDAY(B175),"Dom","Seg","Ter","Qua","Qui","Sex","Sáb"))</f>
        <v>Seg</v>
      </c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28">
        <f>IF(OR(B175="",B175&gt;Hoje),"",COUNTIF(D175:M175,"x"))</f>
        <v>0</v>
      </c>
      <c r="O175" s="133" t="str">
        <f>IF(OR(N175="",COUNTA($D$16:$M$16)=0),"",N175/COUNTA($D$16:$M$16))</f>
        <v/>
      </c>
      <c r="Q175">
        <f>IF(D175="x",Q174+1,0)</f>
        <v>0</v>
      </c>
      <c r="R175">
        <f>IF(E175="x",R174+1,0)</f>
        <v>0</v>
      </c>
      <c r="S175">
        <f>IF(F175="x",S174+1,0)</f>
        <v>0</v>
      </c>
      <c r="T175">
        <f>IF(G175="x",T174+1,0)</f>
        <v>0</v>
      </c>
      <c r="U175">
        <f>IF(H175="x",U174+1,0)</f>
        <v>0</v>
      </c>
      <c r="V175">
        <f>IF(I175="x",V174+1,0)</f>
        <v>0</v>
      </c>
      <c r="W175">
        <f>IF(J175="x",W174+1,0)</f>
        <v>0</v>
      </c>
      <c r="X175">
        <f>IF(K175="x",X174+1,0)</f>
        <v>0</v>
      </c>
      <c r="Y175">
        <f>IF(L175="x",Y174+1,0)</f>
        <v>0</v>
      </c>
      <c r="Z175">
        <f>IF(M175="x",Z174+1,0)</f>
        <v>0</v>
      </c>
    </row>
    <row r="176">
      <c r="B176" s="137">
        <f>IF(B175="","",IF(YEAR(B175+1)=Ano,B175+1,""))</f>
        <v>46182.0</v>
      </c>
      <c r="C176" s="128" t="str">
        <f>IF(B176="","",CHOOSE(WEEKDAY(B176),"Dom","Seg","Ter","Qua","Qui","Sex","Sáb"))</f>
        <v>Ter</v>
      </c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28">
        <f>IF(OR(B176="",B176&gt;Hoje),"",COUNTIF(D176:M176,"x"))</f>
        <v>0</v>
      </c>
      <c r="O176" s="133" t="str">
        <f>IF(OR(N176="",COUNTA($D$16:$M$16)=0),"",N176/COUNTA($D$16:$M$16))</f>
        <v/>
      </c>
      <c r="Q176">
        <f>IF(D176="x",Q175+1,0)</f>
        <v>0</v>
      </c>
      <c r="R176">
        <f>IF(E176="x",R175+1,0)</f>
        <v>0</v>
      </c>
      <c r="S176">
        <f>IF(F176="x",S175+1,0)</f>
        <v>0</v>
      </c>
      <c r="T176">
        <f>IF(G176="x",T175+1,0)</f>
        <v>0</v>
      </c>
      <c r="U176">
        <f>IF(H176="x",U175+1,0)</f>
        <v>0</v>
      </c>
      <c r="V176">
        <f>IF(I176="x",V175+1,0)</f>
        <v>0</v>
      </c>
      <c r="W176">
        <f>IF(J176="x",W175+1,0)</f>
        <v>0</v>
      </c>
      <c r="X176">
        <f>IF(K176="x",X175+1,0)</f>
        <v>0</v>
      </c>
      <c r="Y176">
        <f>IF(L176="x",Y175+1,0)</f>
        <v>0</v>
      </c>
      <c r="Z176">
        <f>IF(M176="x",Z175+1,0)</f>
        <v>0</v>
      </c>
    </row>
    <row r="177">
      <c r="B177" s="137">
        <f>IF(B176="","",IF(YEAR(B176+1)=Ano,B176+1,""))</f>
        <v>46183.0</v>
      </c>
      <c r="C177" s="128" t="str">
        <f>IF(B177="","",CHOOSE(WEEKDAY(B177),"Dom","Seg","Ter","Qua","Qui","Sex","Sáb"))</f>
        <v>Qua</v>
      </c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28">
        <f>IF(OR(B177="",B177&gt;Hoje),"",COUNTIF(D177:M177,"x"))</f>
        <v>0</v>
      </c>
      <c r="O177" s="133" t="str">
        <f>IF(OR(N177="",COUNTA($D$16:$M$16)=0),"",N177/COUNTA($D$16:$M$16))</f>
        <v/>
      </c>
      <c r="Q177">
        <f>IF(D177="x",Q176+1,0)</f>
        <v>0</v>
      </c>
      <c r="R177">
        <f>IF(E177="x",R176+1,0)</f>
        <v>0</v>
      </c>
      <c r="S177">
        <f>IF(F177="x",S176+1,0)</f>
        <v>0</v>
      </c>
      <c r="T177">
        <f>IF(G177="x",T176+1,0)</f>
        <v>0</v>
      </c>
      <c r="U177">
        <f>IF(H177="x",U176+1,0)</f>
        <v>0</v>
      </c>
      <c r="V177">
        <f>IF(I177="x",V176+1,0)</f>
        <v>0</v>
      </c>
      <c r="W177">
        <f>IF(J177="x",W176+1,0)</f>
        <v>0</v>
      </c>
      <c r="X177">
        <f>IF(K177="x",X176+1,0)</f>
        <v>0</v>
      </c>
      <c r="Y177">
        <f>IF(L177="x",Y176+1,0)</f>
        <v>0</v>
      </c>
      <c r="Z177">
        <f>IF(M177="x",Z176+1,0)</f>
        <v>0</v>
      </c>
    </row>
    <row r="178">
      <c r="B178" s="137">
        <f>IF(B177="","",IF(YEAR(B177+1)=Ano,B177+1,""))</f>
        <v>46184.0</v>
      </c>
      <c r="C178" s="128" t="str">
        <f>IF(B178="","",CHOOSE(WEEKDAY(B178),"Dom","Seg","Ter","Qua","Qui","Sex","Sáb"))</f>
        <v>Qui</v>
      </c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28">
        <f>IF(OR(B178="",B178&gt;Hoje),"",COUNTIF(D178:M178,"x"))</f>
        <v>0</v>
      </c>
      <c r="O178" s="133" t="str">
        <f>IF(OR(N178="",COUNTA($D$16:$M$16)=0),"",N178/COUNTA($D$16:$M$16))</f>
        <v/>
      </c>
      <c r="Q178">
        <f>IF(D178="x",Q177+1,0)</f>
        <v>0</v>
      </c>
      <c r="R178">
        <f>IF(E178="x",R177+1,0)</f>
        <v>0</v>
      </c>
      <c r="S178">
        <f>IF(F178="x",S177+1,0)</f>
        <v>0</v>
      </c>
      <c r="T178">
        <f>IF(G178="x",T177+1,0)</f>
        <v>0</v>
      </c>
      <c r="U178">
        <f>IF(H178="x",U177+1,0)</f>
        <v>0</v>
      </c>
      <c r="V178">
        <f>IF(I178="x",V177+1,0)</f>
        <v>0</v>
      </c>
      <c r="W178">
        <f>IF(J178="x",W177+1,0)</f>
        <v>0</v>
      </c>
      <c r="X178">
        <f>IF(K178="x",X177+1,0)</f>
        <v>0</v>
      </c>
      <c r="Y178">
        <f>IF(L178="x",Y177+1,0)</f>
        <v>0</v>
      </c>
      <c r="Z178">
        <f>IF(M178="x",Z177+1,0)</f>
        <v>0</v>
      </c>
    </row>
    <row r="179">
      <c r="B179" s="137">
        <f>IF(B178="","",IF(YEAR(B178+1)=Ano,B178+1,""))</f>
        <v>46185.0</v>
      </c>
      <c r="C179" s="128" t="str">
        <f>IF(B179="","",CHOOSE(WEEKDAY(B179),"Dom","Seg","Ter","Qua","Qui","Sex","Sáb"))</f>
        <v>Sex</v>
      </c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28">
        <f>IF(OR(B179="",B179&gt;Hoje),"",COUNTIF(D179:M179,"x"))</f>
        <v>0</v>
      </c>
      <c r="O179" s="133" t="str">
        <f>IF(OR(N179="",COUNTA($D$16:$M$16)=0),"",N179/COUNTA($D$16:$M$16))</f>
        <v/>
      </c>
      <c r="Q179">
        <f>IF(D179="x",Q178+1,0)</f>
        <v>0</v>
      </c>
      <c r="R179">
        <f>IF(E179="x",R178+1,0)</f>
        <v>0</v>
      </c>
      <c r="S179">
        <f>IF(F179="x",S178+1,0)</f>
        <v>0</v>
      </c>
      <c r="T179">
        <f>IF(G179="x",T178+1,0)</f>
        <v>0</v>
      </c>
      <c r="U179">
        <f>IF(H179="x",U178+1,0)</f>
        <v>0</v>
      </c>
      <c r="V179">
        <f>IF(I179="x",V178+1,0)</f>
        <v>0</v>
      </c>
      <c r="W179">
        <f>IF(J179="x",W178+1,0)</f>
        <v>0</v>
      </c>
      <c r="X179">
        <f>IF(K179="x",X178+1,0)</f>
        <v>0</v>
      </c>
      <c r="Y179">
        <f>IF(L179="x",Y178+1,0)</f>
        <v>0</v>
      </c>
      <c r="Z179">
        <f>IF(M179="x",Z178+1,0)</f>
        <v>0</v>
      </c>
    </row>
    <row r="180">
      <c r="B180" s="137">
        <f>IF(B179="","",IF(YEAR(B179+1)=Ano,B179+1,""))</f>
        <v>46186.0</v>
      </c>
      <c r="C180" s="128" t="str">
        <f>IF(B180="","",CHOOSE(WEEKDAY(B180),"Dom","Seg","Ter","Qua","Qui","Sex","Sáb"))</f>
        <v>Sáb</v>
      </c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28">
        <f>IF(OR(B180="",B180&gt;Hoje),"",COUNTIF(D180:M180,"x"))</f>
        <v>0</v>
      </c>
      <c r="O180" s="133" t="str">
        <f>IF(OR(N180="",COUNTA($D$16:$M$16)=0),"",N180/COUNTA($D$16:$M$16))</f>
        <v/>
      </c>
      <c r="Q180">
        <f>IF(D180="x",Q179+1,0)</f>
        <v>0</v>
      </c>
      <c r="R180">
        <f>IF(E180="x",R179+1,0)</f>
        <v>0</v>
      </c>
      <c r="S180">
        <f>IF(F180="x",S179+1,0)</f>
        <v>0</v>
      </c>
      <c r="T180">
        <f>IF(G180="x",T179+1,0)</f>
        <v>0</v>
      </c>
      <c r="U180">
        <f>IF(H180="x",U179+1,0)</f>
        <v>0</v>
      </c>
      <c r="V180">
        <f>IF(I180="x",V179+1,0)</f>
        <v>0</v>
      </c>
      <c r="W180">
        <f>IF(J180="x",W179+1,0)</f>
        <v>0</v>
      </c>
      <c r="X180">
        <f>IF(K180="x",X179+1,0)</f>
        <v>0</v>
      </c>
      <c r="Y180">
        <f>IF(L180="x",Y179+1,0)</f>
        <v>0</v>
      </c>
      <c r="Z180">
        <f>IF(M180="x",Z179+1,0)</f>
        <v>0</v>
      </c>
    </row>
    <row r="181">
      <c r="B181" s="137">
        <f>IF(B180="","",IF(YEAR(B180+1)=Ano,B180+1,""))</f>
        <v>46187.0</v>
      </c>
      <c r="C181" s="128" t="str">
        <f>IF(B181="","",CHOOSE(WEEKDAY(B181),"Dom","Seg","Ter","Qua","Qui","Sex","Sáb"))</f>
        <v>Dom</v>
      </c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28">
        <f>IF(OR(B181="",B181&gt;Hoje),"",COUNTIF(D181:M181,"x"))</f>
        <v>0</v>
      </c>
      <c r="O181" s="133" t="str">
        <f>IF(OR(N181="",COUNTA($D$16:$M$16)=0),"",N181/COUNTA($D$16:$M$16))</f>
        <v/>
      </c>
      <c r="Q181">
        <f>IF(D181="x",Q180+1,0)</f>
        <v>0</v>
      </c>
      <c r="R181">
        <f>IF(E181="x",R180+1,0)</f>
        <v>0</v>
      </c>
      <c r="S181">
        <f>IF(F181="x",S180+1,0)</f>
        <v>0</v>
      </c>
      <c r="T181">
        <f>IF(G181="x",T180+1,0)</f>
        <v>0</v>
      </c>
      <c r="U181">
        <f>IF(H181="x",U180+1,0)</f>
        <v>0</v>
      </c>
      <c r="V181">
        <f>IF(I181="x",V180+1,0)</f>
        <v>0</v>
      </c>
      <c r="W181">
        <f>IF(J181="x",W180+1,0)</f>
        <v>0</v>
      </c>
      <c r="X181">
        <f>IF(K181="x",X180+1,0)</f>
        <v>0</v>
      </c>
      <c r="Y181">
        <f>IF(L181="x",Y180+1,0)</f>
        <v>0</v>
      </c>
      <c r="Z181">
        <f>IF(M181="x",Z180+1,0)</f>
        <v>0</v>
      </c>
    </row>
    <row r="182">
      <c r="B182" s="137">
        <f>IF(B181="","",IF(YEAR(B181+1)=Ano,B181+1,""))</f>
        <v>46188.0</v>
      </c>
      <c r="C182" s="128" t="str">
        <f>IF(B182="","",CHOOSE(WEEKDAY(B182),"Dom","Seg","Ter","Qua","Qui","Sex","Sáb"))</f>
        <v>Seg</v>
      </c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28">
        <f>IF(OR(B182="",B182&gt;Hoje),"",COUNTIF(D182:M182,"x"))</f>
        <v>0</v>
      </c>
      <c r="O182" s="133" t="str">
        <f>IF(OR(N182="",COUNTA($D$16:$M$16)=0),"",N182/COUNTA($D$16:$M$16))</f>
        <v/>
      </c>
      <c r="Q182">
        <f>IF(D182="x",Q181+1,0)</f>
        <v>0</v>
      </c>
      <c r="R182">
        <f>IF(E182="x",R181+1,0)</f>
        <v>0</v>
      </c>
      <c r="S182">
        <f>IF(F182="x",S181+1,0)</f>
        <v>0</v>
      </c>
      <c r="T182">
        <f>IF(G182="x",T181+1,0)</f>
        <v>0</v>
      </c>
      <c r="U182">
        <f>IF(H182="x",U181+1,0)</f>
        <v>0</v>
      </c>
      <c r="V182">
        <f>IF(I182="x",V181+1,0)</f>
        <v>0</v>
      </c>
      <c r="W182">
        <f>IF(J182="x",W181+1,0)</f>
        <v>0</v>
      </c>
      <c r="X182">
        <f>IF(K182="x",X181+1,0)</f>
        <v>0</v>
      </c>
      <c r="Y182">
        <f>IF(L182="x",Y181+1,0)</f>
        <v>0</v>
      </c>
      <c r="Z182">
        <f>IF(M182="x",Z181+1,0)</f>
        <v>0</v>
      </c>
    </row>
    <row r="183">
      <c r="B183" s="137">
        <f>IF(B182="","",IF(YEAR(B182+1)=Ano,B182+1,""))</f>
        <v>46189.0</v>
      </c>
      <c r="C183" s="128" t="str">
        <f>IF(B183="","",CHOOSE(WEEKDAY(B183),"Dom","Seg","Ter","Qua","Qui","Sex","Sáb"))</f>
        <v>Ter</v>
      </c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28">
        <f>IF(OR(B183="",B183&gt;Hoje),"",COUNTIF(D183:M183,"x"))</f>
        <v>0</v>
      </c>
      <c r="O183" s="133" t="str">
        <f>IF(OR(N183="",COUNTA($D$16:$M$16)=0),"",N183/COUNTA($D$16:$M$16))</f>
        <v/>
      </c>
      <c r="Q183">
        <f>IF(D183="x",Q182+1,0)</f>
        <v>0</v>
      </c>
      <c r="R183">
        <f>IF(E183="x",R182+1,0)</f>
        <v>0</v>
      </c>
      <c r="S183">
        <f>IF(F183="x",S182+1,0)</f>
        <v>0</v>
      </c>
      <c r="T183">
        <f>IF(G183="x",T182+1,0)</f>
        <v>0</v>
      </c>
      <c r="U183">
        <f>IF(H183="x",U182+1,0)</f>
        <v>0</v>
      </c>
      <c r="V183">
        <f>IF(I183="x",V182+1,0)</f>
        <v>0</v>
      </c>
      <c r="W183">
        <f>IF(J183="x",W182+1,0)</f>
        <v>0</v>
      </c>
      <c r="X183">
        <f>IF(K183="x",X182+1,0)</f>
        <v>0</v>
      </c>
      <c r="Y183">
        <f>IF(L183="x",Y182+1,0)</f>
        <v>0</v>
      </c>
      <c r="Z183">
        <f>IF(M183="x",Z182+1,0)</f>
        <v>0</v>
      </c>
    </row>
    <row r="184">
      <c r="B184" s="137">
        <f>IF(B183="","",IF(YEAR(B183+1)=Ano,B183+1,""))</f>
        <v>46190.0</v>
      </c>
      <c r="C184" s="128" t="str">
        <f>IF(B184="","",CHOOSE(WEEKDAY(B184),"Dom","Seg","Ter","Qua","Qui","Sex","Sáb"))</f>
        <v>Qua</v>
      </c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28">
        <f>IF(OR(B184="",B184&gt;Hoje),"",COUNTIF(D184:M184,"x"))</f>
        <v>0</v>
      </c>
      <c r="O184" s="133" t="str">
        <f>IF(OR(N184="",COUNTA($D$16:$M$16)=0),"",N184/COUNTA($D$16:$M$16))</f>
        <v/>
      </c>
      <c r="Q184">
        <f>IF(D184="x",Q183+1,0)</f>
        <v>0</v>
      </c>
      <c r="R184">
        <f>IF(E184="x",R183+1,0)</f>
        <v>0</v>
      </c>
      <c r="S184">
        <f>IF(F184="x",S183+1,0)</f>
        <v>0</v>
      </c>
      <c r="T184">
        <f>IF(G184="x",T183+1,0)</f>
        <v>0</v>
      </c>
      <c r="U184">
        <f>IF(H184="x",U183+1,0)</f>
        <v>0</v>
      </c>
      <c r="V184">
        <f>IF(I184="x",V183+1,0)</f>
        <v>0</v>
      </c>
      <c r="W184">
        <f>IF(J184="x",W183+1,0)</f>
        <v>0</v>
      </c>
      <c r="X184">
        <f>IF(K184="x",X183+1,0)</f>
        <v>0</v>
      </c>
      <c r="Y184">
        <f>IF(L184="x",Y183+1,0)</f>
        <v>0</v>
      </c>
      <c r="Z184">
        <f>IF(M184="x",Z183+1,0)</f>
        <v>0</v>
      </c>
    </row>
    <row r="185">
      <c r="B185" s="137">
        <f>IF(B184="","",IF(YEAR(B184+1)=Ano,B184+1,""))</f>
        <v>46191.0</v>
      </c>
      <c r="C185" s="128" t="str">
        <f>IF(B185="","",CHOOSE(WEEKDAY(B185),"Dom","Seg","Ter","Qua","Qui","Sex","Sáb"))</f>
        <v>Qui</v>
      </c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28">
        <f>IF(OR(B185="",B185&gt;Hoje),"",COUNTIF(D185:M185,"x"))</f>
        <v>0</v>
      </c>
      <c r="O185" s="133" t="str">
        <f>IF(OR(N185="",COUNTA($D$16:$M$16)=0),"",N185/COUNTA($D$16:$M$16))</f>
        <v/>
      </c>
      <c r="Q185">
        <f>IF(D185="x",Q184+1,0)</f>
        <v>0</v>
      </c>
      <c r="R185">
        <f>IF(E185="x",R184+1,0)</f>
        <v>0</v>
      </c>
      <c r="S185">
        <f>IF(F185="x",S184+1,0)</f>
        <v>0</v>
      </c>
      <c r="T185">
        <f>IF(G185="x",T184+1,0)</f>
        <v>0</v>
      </c>
      <c r="U185">
        <f>IF(H185="x",U184+1,0)</f>
        <v>0</v>
      </c>
      <c r="V185">
        <f>IF(I185="x",V184+1,0)</f>
        <v>0</v>
      </c>
      <c r="W185">
        <f>IF(J185="x",W184+1,0)</f>
        <v>0</v>
      </c>
      <c r="X185">
        <f>IF(K185="x",X184+1,0)</f>
        <v>0</v>
      </c>
      <c r="Y185">
        <f>IF(L185="x",Y184+1,0)</f>
        <v>0</v>
      </c>
      <c r="Z185">
        <f>IF(M185="x",Z184+1,0)</f>
        <v>0</v>
      </c>
    </row>
    <row r="186">
      <c r="B186" s="137">
        <f>IF(B185="","",IF(YEAR(B185+1)=Ano,B185+1,""))</f>
        <v>46192.0</v>
      </c>
      <c r="C186" s="128" t="str">
        <f>IF(B186="","",CHOOSE(WEEKDAY(B186),"Dom","Seg","Ter","Qua","Qui","Sex","Sáb"))</f>
        <v>Sex</v>
      </c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28">
        <f>IF(OR(B186="",B186&gt;Hoje),"",COUNTIF(D186:M186,"x"))</f>
        <v>0</v>
      </c>
      <c r="O186" s="133" t="str">
        <f>IF(OR(N186="",COUNTA($D$16:$M$16)=0),"",N186/COUNTA($D$16:$M$16))</f>
        <v/>
      </c>
      <c r="Q186">
        <f>IF(D186="x",Q185+1,0)</f>
        <v>0</v>
      </c>
      <c r="R186">
        <f>IF(E186="x",R185+1,0)</f>
        <v>0</v>
      </c>
      <c r="S186">
        <f>IF(F186="x",S185+1,0)</f>
        <v>0</v>
      </c>
      <c r="T186">
        <f>IF(G186="x",T185+1,0)</f>
        <v>0</v>
      </c>
      <c r="U186">
        <f>IF(H186="x",U185+1,0)</f>
        <v>0</v>
      </c>
      <c r="V186">
        <f>IF(I186="x",V185+1,0)</f>
        <v>0</v>
      </c>
      <c r="W186">
        <f>IF(J186="x",W185+1,0)</f>
        <v>0</v>
      </c>
      <c r="X186">
        <f>IF(K186="x",X185+1,0)</f>
        <v>0</v>
      </c>
      <c r="Y186">
        <f>IF(L186="x",Y185+1,0)</f>
        <v>0</v>
      </c>
      <c r="Z186">
        <f>IF(M186="x",Z185+1,0)</f>
        <v>0</v>
      </c>
    </row>
    <row r="187">
      <c r="B187" s="137">
        <f>IF(B186="","",IF(YEAR(B186+1)=Ano,B186+1,""))</f>
        <v>46193.0</v>
      </c>
      <c r="C187" s="128" t="str">
        <f>IF(B187="","",CHOOSE(WEEKDAY(B187),"Dom","Seg","Ter","Qua","Qui","Sex","Sáb"))</f>
        <v>Sáb</v>
      </c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28">
        <f>IF(OR(B187="",B187&gt;Hoje),"",COUNTIF(D187:M187,"x"))</f>
        <v>0</v>
      </c>
      <c r="O187" s="133" t="str">
        <f>IF(OR(N187="",COUNTA($D$16:$M$16)=0),"",N187/COUNTA($D$16:$M$16))</f>
        <v/>
      </c>
      <c r="Q187">
        <f>IF(D187="x",Q186+1,0)</f>
        <v>0</v>
      </c>
      <c r="R187">
        <f>IF(E187="x",R186+1,0)</f>
        <v>0</v>
      </c>
      <c r="S187">
        <f>IF(F187="x",S186+1,0)</f>
        <v>0</v>
      </c>
      <c r="T187">
        <f>IF(G187="x",T186+1,0)</f>
        <v>0</v>
      </c>
      <c r="U187">
        <f>IF(H187="x",U186+1,0)</f>
        <v>0</v>
      </c>
      <c r="V187">
        <f>IF(I187="x",V186+1,0)</f>
        <v>0</v>
      </c>
      <c r="W187">
        <f>IF(J187="x",W186+1,0)</f>
        <v>0</v>
      </c>
      <c r="X187">
        <f>IF(K187="x",X186+1,0)</f>
        <v>0</v>
      </c>
      <c r="Y187">
        <f>IF(L187="x",Y186+1,0)</f>
        <v>0</v>
      </c>
      <c r="Z187">
        <f>IF(M187="x",Z186+1,0)</f>
        <v>0</v>
      </c>
    </row>
    <row r="188">
      <c r="B188" s="137">
        <f>IF(B187="","",IF(YEAR(B187+1)=Ano,B187+1,""))</f>
        <v>46194.0</v>
      </c>
      <c r="C188" s="128" t="str">
        <f>IF(B188="","",CHOOSE(WEEKDAY(B188),"Dom","Seg","Ter","Qua","Qui","Sex","Sáb"))</f>
        <v>Dom</v>
      </c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28">
        <f>IF(OR(B188="",B188&gt;Hoje),"",COUNTIF(D188:M188,"x"))</f>
        <v>0</v>
      </c>
      <c r="O188" s="133" t="str">
        <f>IF(OR(N188="",COUNTA($D$16:$M$16)=0),"",N188/COUNTA($D$16:$M$16))</f>
        <v/>
      </c>
      <c r="Q188">
        <f>IF(D188="x",Q187+1,0)</f>
        <v>0</v>
      </c>
      <c r="R188">
        <f>IF(E188="x",R187+1,0)</f>
        <v>0</v>
      </c>
      <c r="S188">
        <f>IF(F188="x",S187+1,0)</f>
        <v>0</v>
      </c>
      <c r="T188">
        <f>IF(G188="x",T187+1,0)</f>
        <v>0</v>
      </c>
      <c r="U188">
        <f>IF(H188="x",U187+1,0)</f>
        <v>0</v>
      </c>
      <c r="V188">
        <f>IF(I188="x",V187+1,0)</f>
        <v>0</v>
      </c>
      <c r="W188">
        <f>IF(J188="x",W187+1,0)</f>
        <v>0</v>
      </c>
      <c r="X188">
        <f>IF(K188="x",X187+1,0)</f>
        <v>0</v>
      </c>
      <c r="Y188">
        <f>IF(L188="x",Y187+1,0)</f>
        <v>0</v>
      </c>
      <c r="Z188">
        <f>IF(M188="x",Z187+1,0)</f>
        <v>0</v>
      </c>
    </row>
    <row r="189">
      <c r="B189" s="137">
        <f>IF(B188="","",IF(YEAR(B188+1)=Ano,B188+1,""))</f>
        <v>46195.0</v>
      </c>
      <c r="C189" s="128" t="str">
        <f>IF(B189="","",CHOOSE(WEEKDAY(B189),"Dom","Seg","Ter","Qua","Qui","Sex","Sáb"))</f>
        <v>Seg</v>
      </c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28">
        <f>IF(OR(B189="",B189&gt;Hoje),"",COUNTIF(D189:M189,"x"))</f>
        <v>0</v>
      </c>
      <c r="O189" s="133" t="str">
        <f>IF(OR(N189="",COUNTA($D$16:$M$16)=0),"",N189/COUNTA($D$16:$M$16))</f>
        <v/>
      </c>
      <c r="Q189">
        <f>IF(D189="x",Q188+1,0)</f>
        <v>0</v>
      </c>
      <c r="R189">
        <f>IF(E189="x",R188+1,0)</f>
        <v>0</v>
      </c>
      <c r="S189">
        <f>IF(F189="x",S188+1,0)</f>
        <v>0</v>
      </c>
      <c r="T189">
        <f>IF(G189="x",T188+1,0)</f>
        <v>0</v>
      </c>
      <c r="U189">
        <f>IF(H189="x",U188+1,0)</f>
        <v>0</v>
      </c>
      <c r="V189">
        <f>IF(I189="x",V188+1,0)</f>
        <v>0</v>
      </c>
      <c r="W189">
        <f>IF(J189="x",W188+1,0)</f>
        <v>0</v>
      </c>
      <c r="X189">
        <f>IF(K189="x",X188+1,0)</f>
        <v>0</v>
      </c>
      <c r="Y189">
        <f>IF(L189="x",Y188+1,0)</f>
        <v>0</v>
      </c>
      <c r="Z189">
        <f>IF(M189="x",Z188+1,0)</f>
        <v>0</v>
      </c>
    </row>
    <row r="190">
      <c r="B190" s="137">
        <f>IF(B189="","",IF(YEAR(B189+1)=Ano,B189+1,""))</f>
        <v>46196.0</v>
      </c>
      <c r="C190" s="128" t="str">
        <f>IF(B190="","",CHOOSE(WEEKDAY(B190),"Dom","Seg","Ter","Qua","Qui","Sex","Sáb"))</f>
        <v>Ter</v>
      </c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28">
        <f>IF(OR(B190="",B190&gt;Hoje),"",COUNTIF(D190:M190,"x"))</f>
        <v>0</v>
      </c>
      <c r="O190" s="133" t="str">
        <f>IF(OR(N190="",COUNTA($D$16:$M$16)=0),"",N190/COUNTA($D$16:$M$16))</f>
        <v/>
      </c>
      <c r="Q190">
        <f>IF(D190="x",Q189+1,0)</f>
        <v>0</v>
      </c>
      <c r="R190">
        <f>IF(E190="x",R189+1,0)</f>
        <v>0</v>
      </c>
      <c r="S190">
        <f>IF(F190="x",S189+1,0)</f>
        <v>0</v>
      </c>
      <c r="T190">
        <f>IF(G190="x",T189+1,0)</f>
        <v>0</v>
      </c>
      <c r="U190">
        <f>IF(H190="x",U189+1,0)</f>
        <v>0</v>
      </c>
      <c r="V190">
        <f>IF(I190="x",V189+1,0)</f>
        <v>0</v>
      </c>
      <c r="W190">
        <f>IF(J190="x",W189+1,0)</f>
        <v>0</v>
      </c>
      <c r="X190">
        <f>IF(K190="x",X189+1,0)</f>
        <v>0</v>
      </c>
      <c r="Y190">
        <f>IF(L190="x",Y189+1,0)</f>
        <v>0</v>
      </c>
      <c r="Z190">
        <f>IF(M190="x",Z189+1,0)</f>
        <v>0</v>
      </c>
    </row>
    <row r="191">
      <c r="B191" s="137">
        <f>IF(B190="","",IF(YEAR(B190+1)=Ano,B190+1,""))</f>
        <v>46197.0</v>
      </c>
      <c r="C191" s="128" t="str">
        <f>IF(B191="","",CHOOSE(WEEKDAY(B191),"Dom","Seg","Ter","Qua","Qui","Sex","Sáb"))</f>
        <v>Qua</v>
      </c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28">
        <f>IF(OR(B191="",B191&gt;Hoje),"",COUNTIF(D191:M191,"x"))</f>
        <v>0</v>
      </c>
      <c r="O191" s="133" t="str">
        <f>IF(OR(N191="",COUNTA($D$16:$M$16)=0),"",N191/COUNTA($D$16:$M$16))</f>
        <v/>
      </c>
      <c r="Q191">
        <f>IF(D191="x",Q190+1,0)</f>
        <v>0</v>
      </c>
      <c r="R191">
        <f>IF(E191="x",R190+1,0)</f>
        <v>0</v>
      </c>
      <c r="S191">
        <f>IF(F191="x",S190+1,0)</f>
        <v>0</v>
      </c>
      <c r="T191">
        <f>IF(G191="x",T190+1,0)</f>
        <v>0</v>
      </c>
      <c r="U191">
        <f>IF(H191="x",U190+1,0)</f>
        <v>0</v>
      </c>
      <c r="V191">
        <f>IF(I191="x",V190+1,0)</f>
        <v>0</v>
      </c>
      <c r="W191">
        <f>IF(J191="x",W190+1,0)</f>
        <v>0</v>
      </c>
      <c r="X191">
        <f>IF(K191="x",X190+1,0)</f>
        <v>0</v>
      </c>
      <c r="Y191">
        <f>IF(L191="x",Y190+1,0)</f>
        <v>0</v>
      </c>
      <c r="Z191">
        <f>IF(M191="x",Z190+1,0)</f>
        <v>0</v>
      </c>
    </row>
    <row r="192">
      <c r="B192" s="137">
        <f>IF(B191="","",IF(YEAR(B191+1)=Ano,B191+1,""))</f>
        <v>46198.0</v>
      </c>
      <c r="C192" s="128" t="str">
        <f>IF(B192="","",CHOOSE(WEEKDAY(B192),"Dom","Seg","Ter","Qua","Qui","Sex","Sáb"))</f>
        <v>Qui</v>
      </c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28">
        <f>IF(OR(B192="",B192&gt;Hoje),"",COUNTIF(D192:M192,"x"))</f>
        <v>0</v>
      </c>
      <c r="O192" s="133" t="str">
        <f>IF(OR(N192="",COUNTA($D$16:$M$16)=0),"",N192/COUNTA($D$16:$M$16))</f>
        <v/>
      </c>
      <c r="Q192">
        <f>IF(D192="x",Q191+1,0)</f>
        <v>0</v>
      </c>
      <c r="R192">
        <f>IF(E192="x",R191+1,0)</f>
        <v>0</v>
      </c>
      <c r="S192">
        <f>IF(F192="x",S191+1,0)</f>
        <v>0</v>
      </c>
      <c r="T192">
        <f>IF(G192="x",T191+1,0)</f>
        <v>0</v>
      </c>
      <c r="U192">
        <f>IF(H192="x",U191+1,0)</f>
        <v>0</v>
      </c>
      <c r="V192">
        <f>IF(I192="x",V191+1,0)</f>
        <v>0</v>
      </c>
      <c r="W192">
        <f>IF(J192="x",W191+1,0)</f>
        <v>0</v>
      </c>
      <c r="X192">
        <f>IF(K192="x",X191+1,0)</f>
        <v>0</v>
      </c>
      <c r="Y192">
        <f>IF(L192="x",Y191+1,0)</f>
        <v>0</v>
      </c>
      <c r="Z192">
        <f>IF(M192="x",Z191+1,0)</f>
        <v>0</v>
      </c>
    </row>
    <row r="193">
      <c r="B193" s="137">
        <f>IF(B192="","",IF(YEAR(B192+1)=Ano,B192+1,""))</f>
        <v>46199.0</v>
      </c>
      <c r="C193" s="128" t="str">
        <f>IF(B193="","",CHOOSE(WEEKDAY(B193),"Dom","Seg","Ter","Qua","Qui","Sex","Sáb"))</f>
        <v>Sex</v>
      </c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28">
        <f>IF(OR(B193="",B193&gt;Hoje),"",COUNTIF(D193:M193,"x"))</f>
        <v>0</v>
      </c>
      <c r="O193" s="133" t="str">
        <f>IF(OR(N193="",COUNTA($D$16:$M$16)=0),"",N193/COUNTA($D$16:$M$16))</f>
        <v/>
      </c>
      <c r="Q193">
        <f>IF(D193="x",Q192+1,0)</f>
        <v>0</v>
      </c>
      <c r="R193">
        <f>IF(E193="x",R192+1,0)</f>
        <v>0</v>
      </c>
      <c r="S193">
        <f>IF(F193="x",S192+1,0)</f>
        <v>0</v>
      </c>
      <c r="T193">
        <f>IF(G193="x",T192+1,0)</f>
        <v>0</v>
      </c>
      <c r="U193">
        <f>IF(H193="x",U192+1,0)</f>
        <v>0</v>
      </c>
      <c r="V193">
        <f>IF(I193="x",V192+1,0)</f>
        <v>0</v>
      </c>
      <c r="W193">
        <f>IF(J193="x",W192+1,0)</f>
        <v>0</v>
      </c>
      <c r="X193">
        <f>IF(K193="x",X192+1,0)</f>
        <v>0</v>
      </c>
      <c r="Y193">
        <f>IF(L193="x",Y192+1,0)</f>
        <v>0</v>
      </c>
      <c r="Z193">
        <f>IF(M193="x",Z192+1,0)</f>
        <v>0</v>
      </c>
    </row>
    <row r="194">
      <c r="B194" s="137">
        <f>IF(B193="","",IF(YEAR(B193+1)=Ano,B193+1,""))</f>
        <v>46200.0</v>
      </c>
      <c r="C194" s="128" t="str">
        <f>IF(B194="","",CHOOSE(WEEKDAY(B194),"Dom","Seg","Ter","Qua","Qui","Sex","Sáb"))</f>
        <v>Sáb</v>
      </c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28">
        <f>IF(OR(B194="",B194&gt;Hoje),"",COUNTIF(D194:M194,"x"))</f>
        <v>0</v>
      </c>
      <c r="O194" s="133" t="str">
        <f>IF(OR(N194="",COUNTA($D$16:$M$16)=0),"",N194/COUNTA($D$16:$M$16))</f>
        <v/>
      </c>
      <c r="Q194">
        <f>IF(D194="x",Q193+1,0)</f>
        <v>0</v>
      </c>
      <c r="R194">
        <f>IF(E194="x",R193+1,0)</f>
        <v>0</v>
      </c>
      <c r="S194">
        <f>IF(F194="x",S193+1,0)</f>
        <v>0</v>
      </c>
      <c r="T194">
        <f>IF(G194="x",T193+1,0)</f>
        <v>0</v>
      </c>
      <c r="U194">
        <f>IF(H194="x",U193+1,0)</f>
        <v>0</v>
      </c>
      <c r="V194">
        <f>IF(I194="x",V193+1,0)</f>
        <v>0</v>
      </c>
      <c r="W194">
        <f>IF(J194="x",W193+1,0)</f>
        <v>0</v>
      </c>
      <c r="X194">
        <f>IF(K194="x",X193+1,0)</f>
        <v>0</v>
      </c>
      <c r="Y194">
        <f>IF(L194="x",Y193+1,0)</f>
        <v>0</v>
      </c>
      <c r="Z194">
        <f>IF(M194="x",Z193+1,0)</f>
        <v>0</v>
      </c>
    </row>
    <row r="195">
      <c r="B195" s="137">
        <f>IF(B194="","",IF(YEAR(B194+1)=Ano,B194+1,""))</f>
        <v>46201.0</v>
      </c>
      <c r="C195" s="128" t="str">
        <f>IF(B195="","",CHOOSE(WEEKDAY(B195),"Dom","Seg","Ter","Qua","Qui","Sex","Sáb"))</f>
        <v>Dom</v>
      </c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28">
        <f>IF(OR(B195="",B195&gt;Hoje),"",COUNTIF(D195:M195,"x"))</f>
        <v>0</v>
      </c>
      <c r="O195" s="133" t="str">
        <f>IF(OR(N195="",COUNTA($D$16:$M$16)=0),"",N195/COUNTA($D$16:$M$16))</f>
        <v/>
      </c>
      <c r="Q195">
        <f>IF(D195="x",Q194+1,0)</f>
        <v>0</v>
      </c>
      <c r="R195">
        <f>IF(E195="x",R194+1,0)</f>
        <v>0</v>
      </c>
      <c r="S195">
        <f>IF(F195="x",S194+1,0)</f>
        <v>0</v>
      </c>
      <c r="T195">
        <f>IF(G195="x",T194+1,0)</f>
        <v>0</v>
      </c>
      <c r="U195">
        <f>IF(H195="x",U194+1,0)</f>
        <v>0</v>
      </c>
      <c r="V195">
        <f>IF(I195="x",V194+1,0)</f>
        <v>0</v>
      </c>
      <c r="W195">
        <f>IF(J195="x",W194+1,0)</f>
        <v>0</v>
      </c>
      <c r="X195">
        <f>IF(K195="x",X194+1,0)</f>
        <v>0</v>
      </c>
      <c r="Y195">
        <f>IF(L195="x",Y194+1,0)</f>
        <v>0</v>
      </c>
      <c r="Z195">
        <f>IF(M195="x",Z194+1,0)</f>
        <v>0</v>
      </c>
    </row>
    <row r="196">
      <c r="B196" s="137">
        <f>IF(B195="","",IF(YEAR(B195+1)=Ano,B195+1,""))</f>
        <v>46202.0</v>
      </c>
      <c r="C196" s="128" t="str">
        <f>IF(B196="","",CHOOSE(WEEKDAY(B196),"Dom","Seg","Ter","Qua","Qui","Sex","Sáb"))</f>
        <v>Seg</v>
      </c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28">
        <f>IF(OR(B196="",B196&gt;Hoje),"",COUNTIF(D196:M196,"x"))</f>
        <v>0</v>
      </c>
      <c r="O196" s="133" t="str">
        <f>IF(OR(N196="",COUNTA($D$16:$M$16)=0),"",N196/COUNTA($D$16:$M$16))</f>
        <v/>
      </c>
      <c r="Q196">
        <f>IF(D196="x",Q195+1,0)</f>
        <v>0</v>
      </c>
      <c r="R196">
        <f>IF(E196="x",R195+1,0)</f>
        <v>0</v>
      </c>
      <c r="S196">
        <f>IF(F196="x",S195+1,0)</f>
        <v>0</v>
      </c>
      <c r="T196">
        <f>IF(G196="x",T195+1,0)</f>
        <v>0</v>
      </c>
      <c r="U196">
        <f>IF(H196="x",U195+1,0)</f>
        <v>0</v>
      </c>
      <c r="V196">
        <f>IF(I196="x",V195+1,0)</f>
        <v>0</v>
      </c>
      <c r="W196">
        <f>IF(J196="x",W195+1,0)</f>
        <v>0</v>
      </c>
      <c r="X196">
        <f>IF(K196="x",X195+1,0)</f>
        <v>0</v>
      </c>
      <c r="Y196">
        <f>IF(L196="x",Y195+1,0)</f>
        <v>0</v>
      </c>
      <c r="Z196">
        <f>IF(M196="x",Z195+1,0)</f>
        <v>0</v>
      </c>
    </row>
    <row r="197">
      <c r="B197" s="137">
        <f>IF(B196="","",IF(YEAR(B196+1)=Ano,B196+1,""))</f>
        <v>46203.0</v>
      </c>
      <c r="C197" s="128" t="str">
        <f>IF(B197="","",CHOOSE(WEEKDAY(B197),"Dom","Seg","Ter","Qua","Qui","Sex","Sáb"))</f>
        <v>Ter</v>
      </c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28">
        <f>IF(OR(B197="",B197&gt;Hoje),"",COUNTIF(D197:M197,"x"))</f>
        <v>0</v>
      </c>
      <c r="O197" s="133" t="str">
        <f>IF(OR(N197="",COUNTA($D$16:$M$16)=0),"",N197/COUNTA($D$16:$M$16))</f>
        <v/>
      </c>
      <c r="Q197">
        <f>IF(D197="x",Q196+1,0)</f>
        <v>0</v>
      </c>
      <c r="R197">
        <f>IF(E197="x",R196+1,0)</f>
        <v>0</v>
      </c>
      <c r="S197">
        <f>IF(F197="x",S196+1,0)</f>
        <v>0</v>
      </c>
      <c r="T197">
        <f>IF(G197="x",T196+1,0)</f>
        <v>0</v>
      </c>
      <c r="U197">
        <f>IF(H197="x",U196+1,0)</f>
        <v>0</v>
      </c>
      <c r="V197">
        <f>IF(I197="x",V196+1,0)</f>
        <v>0</v>
      </c>
      <c r="W197">
        <f>IF(J197="x",W196+1,0)</f>
        <v>0</v>
      </c>
      <c r="X197">
        <f>IF(K197="x",X196+1,0)</f>
        <v>0</v>
      </c>
      <c r="Y197">
        <f>IF(L197="x",Y196+1,0)</f>
        <v>0</v>
      </c>
      <c r="Z197">
        <f>IF(M197="x",Z196+1,0)</f>
        <v>0</v>
      </c>
    </row>
    <row r="198">
      <c r="B198" s="137">
        <f>IF(B197="","",IF(YEAR(B197+1)=Ano,B197+1,""))</f>
        <v>46204.0</v>
      </c>
      <c r="C198" s="128" t="str">
        <f>IF(B198="","",CHOOSE(WEEKDAY(B198),"Dom","Seg","Ter","Qua","Qui","Sex","Sáb"))</f>
        <v>Qua</v>
      </c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28">
        <f>IF(OR(B198="",B198&gt;Hoje),"",COUNTIF(D198:M198,"x"))</f>
        <v>0</v>
      </c>
      <c r="O198" s="133" t="str">
        <f>IF(OR(N198="",COUNTA($D$16:$M$16)=0),"",N198/COUNTA($D$16:$M$16))</f>
        <v/>
      </c>
      <c r="Q198">
        <f>IF(D198="x",Q197+1,0)</f>
        <v>0</v>
      </c>
      <c r="R198">
        <f>IF(E198="x",R197+1,0)</f>
        <v>0</v>
      </c>
      <c r="S198">
        <f>IF(F198="x",S197+1,0)</f>
        <v>0</v>
      </c>
      <c r="T198">
        <f>IF(G198="x",T197+1,0)</f>
        <v>0</v>
      </c>
      <c r="U198">
        <f>IF(H198="x",U197+1,0)</f>
        <v>0</v>
      </c>
      <c r="V198">
        <f>IF(I198="x",V197+1,0)</f>
        <v>0</v>
      </c>
      <c r="W198">
        <f>IF(J198="x",W197+1,0)</f>
        <v>0</v>
      </c>
      <c r="X198">
        <f>IF(K198="x",X197+1,0)</f>
        <v>0</v>
      </c>
      <c r="Y198">
        <f>IF(L198="x",Y197+1,0)</f>
        <v>0</v>
      </c>
      <c r="Z198">
        <f>IF(M198="x",Z197+1,0)</f>
        <v>0</v>
      </c>
    </row>
    <row r="199">
      <c r="B199" s="137">
        <f>IF(B198="","",IF(YEAR(B198+1)=Ano,B198+1,""))</f>
        <v>46205.0</v>
      </c>
      <c r="C199" s="128" t="str">
        <f>IF(B199="","",CHOOSE(WEEKDAY(B199),"Dom","Seg","Ter","Qua","Qui","Sex","Sáb"))</f>
        <v>Qui</v>
      </c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28">
        <f>IF(OR(B199="",B199&gt;Hoje),"",COUNTIF(D199:M199,"x"))</f>
        <v>0</v>
      </c>
      <c r="O199" s="133" t="str">
        <f>IF(OR(N199="",COUNTA($D$16:$M$16)=0),"",N199/COUNTA($D$16:$M$16))</f>
        <v/>
      </c>
      <c r="Q199">
        <f>IF(D199="x",Q198+1,0)</f>
        <v>0</v>
      </c>
      <c r="R199">
        <f>IF(E199="x",R198+1,0)</f>
        <v>0</v>
      </c>
      <c r="S199">
        <f>IF(F199="x",S198+1,0)</f>
        <v>0</v>
      </c>
      <c r="T199">
        <f>IF(G199="x",T198+1,0)</f>
        <v>0</v>
      </c>
      <c r="U199">
        <f>IF(H199="x",U198+1,0)</f>
        <v>0</v>
      </c>
      <c r="V199">
        <f>IF(I199="x",V198+1,0)</f>
        <v>0</v>
      </c>
      <c r="W199">
        <f>IF(J199="x",W198+1,0)</f>
        <v>0</v>
      </c>
      <c r="X199">
        <f>IF(K199="x",X198+1,0)</f>
        <v>0</v>
      </c>
      <c r="Y199">
        <f>IF(L199="x",Y198+1,0)</f>
        <v>0</v>
      </c>
      <c r="Z199">
        <f>IF(M199="x",Z198+1,0)</f>
        <v>0</v>
      </c>
    </row>
    <row r="200">
      <c r="B200" s="137">
        <f>IF(B199="","",IF(YEAR(B199+1)=Ano,B199+1,""))</f>
        <v>46206.0</v>
      </c>
      <c r="C200" s="128" t="str">
        <f>IF(B200="","",CHOOSE(WEEKDAY(B200),"Dom","Seg","Ter","Qua","Qui","Sex","Sáb"))</f>
        <v>Sex</v>
      </c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28">
        <f>IF(OR(B200="",B200&gt;Hoje),"",COUNTIF(D200:M200,"x"))</f>
        <v>0</v>
      </c>
      <c r="O200" s="133" t="str">
        <f>IF(OR(N200="",COUNTA($D$16:$M$16)=0),"",N200/COUNTA($D$16:$M$16))</f>
        <v/>
      </c>
      <c r="Q200">
        <f>IF(D200="x",Q199+1,0)</f>
        <v>0</v>
      </c>
      <c r="R200">
        <f>IF(E200="x",R199+1,0)</f>
        <v>0</v>
      </c>
      <c r="S200">
        <f>IF(F200="x",S199+1,0)</f>
        <v>0</v>
      </c>
      <c r="T200">
        <f>IF(G200="x",T199+1,0)</f>
        <v>0</v>
      </c>
      <c r="U200">
        <f>IF(H200="x",U199+1,0)</f>
        <v>0</v>
      </c>
      <c r="V200">
        <f>IF(I200="x",V199+1,0)</f>
        <v>0</v>
      </c>
      <c r="W200">
        <f>IF(J200="x",W199+1,0)</f>
        <v>0</v>
      </c>
      <c r="X200">
        <f>IF(K200="x",X199+1,0)</f>
        <v>0</v>
      </c>
      <c r="Y200">
        <f>IF(L200="x",Y199+1,0)</f>
        <v>0</v>
      </c>
      <c r="Z200">
        <f>IF(M200="x",Z199+1,0)</f>
        <v>0</v>
      </c>
    </row>
    <row r="201">
      <c r="B201" s="137">
        <f>IF(B200="","",IF(YEAR(B200+1)=Ano,B200+1,""))</f>
        <v>46207.0</v>
      </c>
      <c r="C201" s="128" t="str">
        <f>IF(B201="","",CHOOSE(WEEKDAY(B201),"Dom","Seg","Ter","Qua","Qui","Sex","Sáb"))</f>
        <v>Sáb</v>
      </c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28">
        <f>IF(OR(B201="",B201&gt;Hoje),"",COUNTIF(D201:M201,"x"))</f>
        <v>0</v>
      </c>
      <c r="O201" s="133" t="str">
        <f>IF(OR(N201="",COUNTA($D$16:$M$16)=0),"",N201/COUNTA($D$16:$M$16))</f>
        <v/>
      </c>
      <c r="Q201">
        <f>IF(D201="x",Q200+1,0)</f>
        <v>0</v>
      </c>
      <c r="R201">
        <f>IF(E201="x",R200+1,0)</f>
        <v>0</v>
      </c>
      <c r="S201">
        <f>IF(F201="x",S200+1,0)</f>
        <v>0</v>
      </c>
      <c r="T201">
        <f>IF(G201="x",T200+1,0)</f>
        <v>0</v>
      </c>
      <c r="U201">
        <f>IF(H201="x",U200+1,0)</f>
        <v>0</v>
      </c>
      <c r="V201">
        <f>IF(I201="x",V200+1,0)</f>
        <v>0</v>
      </c>
      <c r="W201">
        <f>IF(J201="x",W200+1,0)</f>
        <v>0</v>
      </c>
      <c r="X201">
        <f>IF(K201="x",X200+1,0)</f>
        <v>0</v>
      </c>
      <c r="Y201">
        <f>IF(L201="x",Y200+1,0)</f>
        <v>0</v>
      </c>
      <c r="Z201">
        <f>IF(M201="x",Z200+1,0)</f>
        <v>0</v>
      </c>
    </row>
    <row r="202">
      <c r="B202" s="137">
        <f>IF(B201="","",IF(YEAR(B201+1)=Ano,B201+1,""))</f>
        <v>46208.0</v>
      </c>
      <c r="C202" s="128" t="str">
        <f>IF(B202="","",CHOOSE(WEEKDAY(B202),"Dom","Seg","Ter","Qua","Qui","Sex","Sáb"))</f>
        <v>Dom</v>
      </c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28">
        <f>IF(OR(B202="",B202&gt;Hoje),"",COUNTIF(D202:M202,"x"))</f>
        <v>0</v>
      </c>
      <c r="O202" s="133" t="str">
        <f>IF(OR(N202="",COUNTA($D$16:$M$16)=0),"",N202/COUNTA($D$16:$M$16))</f>
        <v/>
      </c>
      <c r="Q202">
        <f>IF(D202="x",Q201+1,0)</f>
        <v>0</v>
      </c>
      <c r="R202">
        <f>IF(E202="x",R201+1,0)</f>
        <v>0</v>
      </c>
      <c r="S202">
        <f>IF(F202="x",S201+1,0)</f>
        <v>0</v>
      </c>
      <c r="T202">
        <f>IF(G202="x",T201+1,0)</f>
        <v>0</v>
      </c>
      <c r="U202">
        <f>IF(H202="x",U201+1,0)</f>
        <v>0</v>
      </c>
      <c r="V202">
        <f>IF(I202="x",V201+1,0)</f>
        <v>0</v>
      </c>
      <c r="W202">
        <f>IF(J202="x",W201+1,0)</f>
        <v>0</v>
      </c>
      <c r="X202">
        <f>IF(K202="x",X201+1,0)</f>
        <v>0</v>
      </c>
      <c r="Y202">
        <f>IF(L202="x",Y201+1,0)</f>
        <v>0</v>
      </c>
      <c r="Z202">
        <f>IF(M202="x",Z201+1,0)</f>
        <v>0</v>
      </c>
    </row>
    <row r="203">
      <c r="B203" s="137">
        <f>IF(B202="","",IF(YEAR(B202+1)=Ano,B202+1,""))</f>
        <v>46209.0</v>
      </c>
      <c r="C203" s="128" t="str">
        <f>IF(B203="","",CHOOSE(WEEKDAY(B203),"Dom","Seg","Ter","Qua","Qui","Sex","Sáb"))</f>
        <v>Seg</v>
      </c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28">
        <f>IF(OR(B203="",B203&gt;Hoje),"",COUNTIF(D203:M203,"x"))</f>
        <v>0</v>
      </c>
      <c r="O203" s="133" t="str">
        <f>IF(OR(N203="",COUNTA($D$16:$M$16)=0),"",N203/COUNTA($D$16:$M$16))</f>
        <v/>
      </c>
      <c r="Q203">
        <f>IF(D203="x",Q202+1,0)</f>
        <v>0</v>
      </c>
      <c r="R203">
        <f>IF(E203="x",R202+1,0)</f>
        <v>0</v>
      </c>
      <c r="S203">
        <f>IF(F203="x",S202+1,0)</f>
        <v>0</v>
      </c>
      <c r="T203">
        <f>IF(G203="x",T202+1,0)</f>
        <v>0</v>
      </c>
      <c r="U203">
        <f>IF(H203="x",U202+1,0)</f>
        <v>0</v>
      </c>
      <c r="V203">
        <f>IF(I203="x",V202+1,0)</f>
        <v>0</v>
      </c>
      <c r="W203">
        <f>IF(J203="x",W202+1,0)</f>
        <v>0</v>
      </c>
      <c r="X203">
        <f>IF(K203="x",X202+1,0)</f>
        <v>0</v>
      </c>
      <c r="Y203">
        <f>IF(L203="x",Y202+1,0)</f>
        <v>0</v>
      </c>
      <c r="Z203">
        <f>IF(M203="x",Z202+1,0)</f>
        <v>0</v>
      </c>
    </row>
    <row r="204">
      <c r="B204" s="137">
        <f>IF(B203="","",IF(YEAR(B203+1)=Ano,B203+1,""))</f>
        <v>46210.0</v>
      </c>
      <c r="C204" s="128" t="str">
        <f>IF(B204="","",CHOOSE(WEEKDAY(B204),"Dom","Seg","Ter","Qua","Qui","Sex","Sáb"))</f>
        <v>Ter</v>
      </c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28">
        <f>IF(OR(B204="",B204&gt;Hoje),"",COUNTIF(D204:M204,"x"))</f>
        <v>0</v>
      </c>
      <c r="O204" s="133" t="str">
        <f>IF(OR(N204="",COUNTA($D$16:$M$16)=0),"",N204/COUNTA($D$16:$M$16))</f>
        <v/>
      </c>
      <c r="Q204">
        <f>IF(D204="x",Q203+1,0)</f>
        <v>0</v>
      </c>
      <c r="R204">
        <f>IF(E204="x",R203+1,0)</f>
        <v>0</v>
      </c>
      <c r="S204">
        <f>IF(F204="x",S203+1,0)</f>
        <v>0</v>
      </c>
      <c r="T204">
        <f>IF(G204="x",T203+1,0)</f>
        <v>0</v>
      </c>
      <c r="U204">
        <f>IF(H204="x",U203+1,0)</f>
        <v>0</v>
      </c>
      <c r="V204">
        <f>IF(I204="x",V203+1,0)</f>
        <v>0</v>
      </c>
      <c r="W204">
        <f>IF(J204="x",W203+1,0)</f>
        <v>0</v>
      </c>
      <c r="X204">
        <f>IF(K204="x",X203+1,0)</f>
        <v>0</v>
      </c>
      <c r="Y204">
        <f>IF(L204="x",Y203+1,0)</f>
        <v>0</v>
      </c>
      <c r="Z204">
        <f>IF(M204="x",Z203+1,0)</f>
        <v>0</v>
      </c>
    </row>
    <row r="205">
      <c r="B205" s="137">
        <f>IF(B204="","",IF(YEAR(B204+1)=Ano,B204+1,""))</f>
        <v>46211.0</v>
      </c>
      <c r="C205" s="128" t="str">
        <f>IF(B205="","",CHOOSE(WEEKDAY(B205),"Dom","Seg","Ter","Qua","Qui","Sex","Sáb"))</f>
        <v>Qua</v>
      </c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28">
        <f>IF(OR(B205="",B205&gt;Hoje),"",COUNTIF(D205:M205,"x"))</f>
        <v>0</v>
      </c>
      <c r="O205" s="133" t="str">
        <f>IF(OR(N205="",COUNTA($D$16:$M$16)=0),"",N205/COUNTA($D$16:$M$16))</f>
        <v/>
      </c>
      <c r="Q205">
        <f>IF(D205="x",Q204+1,0)</f>
        <v>0</v>
      </c>
      <c r="R205">
        <f>IF(E205="x",R204+1,0)</f>
        <v>0</v>
      </c>
      <c r="S205">
        <f>IF(F205="x",S204+1,0)</f>
        <v>0</v>
      </c>
      <c r="T205">
        <f>IF(G205="x",T204+1,0)</f>
        <v>0</v>
      </c>
      <c r="U205">
        <f>IF(H205="x",U204+1,0)</f>
        <v>0</v>
      </c>
      <c r="V205">
        <f>IF(I205="x",V204+1,0)</f>
        <v>0</v>
      </c>
      <c r="W205">
        <f>IF(J205="x",W204+1,0)</f>
        <v>0</v>
      </c>
      <c r="X205">
        <f>IF(K205="x",X204+1,0)</f>
        <v>0</v>
      </c>
      <c r="Y205">
        <f>IF(L205="x",Y204+1,0)</f>
        <v>0</v>
      </c>
      <c r="Z205">
        <f>IF(M205="x",Z204+1,0)</f>
        <v>0</v>
      </c>
    </row>
    <row r="206">
      <c r="B206" s="137">
        <f>IF(B205="","",IF(YEAR(B205+1)=Ano,B205+1,""))</f>
        <v>46212.0</v>
      </c>
      <c r="C206" s="128" t="str">
        <f>IF(B206="","",CHOOSE(WEEKDAY(B206),"Dom","Seg","Ter","Qua","Qui","Sex","Sáb"))</f>
        <v>Qui</v>
      </c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28">
        <f>IF(OR(B206="",B206&gt;Hoje),"",COUNTIF(D206:M206,"x"))</f>
        <v>0</v>
      </c>
      <c r="O206" s="133" t="str">
        <f>IF(OR(N206="",COUNTA($D$16:$M$16)=0),"",N206/COUNTA($D$16:$M$16))</f>
        <v/>
      </c>
      <c r="Q206">
        <f>IF(D206="x",Q205+1,0)</f>
        <v>0</v>
      </c>
      <c r="R206">
        <f>IF(E206="x",R205+1,0)</f>
        <v>0</v>
      </c>
      <c r="S206">
        <f>IF(F206="x",S205+1,0)</f>
        <v>0</v>
      </c>
      <c r="T206">
        <f>IF(G206="x",T205+1,0)</f>
        <v>0</v>
      </c>
      <c r="U206">
        <f>IF(H206="x",U205+1,0)</f>
        <v>0</v>
      </c>
      <c r="V206">
        <f>IF(I206="x",V205+1,0)</f>
        <v>0</v>
      </c>
      <c r="W206">
        <f>IF(J206="x",W205+1,0)</f>
        <v>0</v>
      </c>
      <c r="X206">
        <f>IF(K206="x",X205+1,0)</f>
        <v>0</v>
      </c>
      <c r="Y206">
        <f>IF(L206="x",Y205+1,0)</f>
        <v>0</v>
      </c>
      <c r="Z206">
        <f>IF(M206="x",Z205+1,0)</f>
        <v>0</v>
      </c>
    </row>
    <row r="207">
      <c r="B207" s="137">
        <f>IF(B206="","",IF(YEAR(B206+1)=Ano,B206+1,""))</f>
        <v>46213.0</v>
      </c>
      <c r="C207" s="128" t="str">
        <f>IF(B207="","",CHOOSE(WEEKDAY(B207),"Dom","Seg","Ter","Qua","Qui","Sex","Sáb"))</f>
        <v>Sex</v>
      </c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28">
        <f>IF(OR(B207="",B207&gt;Hoje),"",COUNTIF(D207:M207,"x"))</f>
        <v>0</v>
      </c>
      <c r="O207" s="133" t="str">
        <f>IF(OR(N207="",COUNTA($D$16:$M$16)=0),"",N207/COUNTA($D$16:$M$16))</f>
        <v/>
      </c>
      <c r="Q207">
        <f>IF(D207="x",Q206+1,0)</f>
        <v>0</v>
      </c>
      <c r="R207">
        <f>IF(E207="x",R206+1,0)</f>
        <v>0</v>
      </c>
      <c r="S207">
        <f>IF(F207="x",S206+1,0)</f>
        <v>0</v>
      </c>
      <c r="T207">
        <f>IF(G207="x",T206+1,0)</f>
        <v>0</v>
      </c>
      <c r="U207">
        <f>IF(H207="x",U206+1,0)</f>
        <v>0</v>
      </c>
      <c r="V207">
        <f>IF(I207="x",V206+1,0)</f>
        <v>0</v>
      </c>
      <c r="W207">
        <f>IF(J207="x",W206+1,0)</f>
        <v>0</v>
      </c>
      <c r="X207">
        <f>IF(K207="x",X206+1,0)</f>
        <v>0</v>
      </c>
      <c r="Y207">
        <f>IF(L207="x",Y206+1,0)</f>
        <v>0</v>
      </c>
      <c r="Z207">
        <f>IF(M207="x",Z206+1,0)</f>
        <v>0</v>
      </c>
    </row>
    <row r="208">
      <c r="B208" s="137">
        <f>IF(B207="","",IF(YEAR(B207+1)=Ano,B207+1,""))</f>
        <v>46214.0</v>
      </c>
      <c r="C208" s="128" t="str">
        <f>IF(B208="","",CHOOSE(WEEKDAY(B208),"Dom","Seg","Ter","Qua","Qui","Sex","Sáb"))</f>
        <v>Sáb</v>
      </c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28">
        <f>IF(OR(B208="",B208&gt;Hoje),"",COUNTIF(D208:M208,"x"))</f>
        <v>0</v>
      </c>
      <c r="O208" s="133" t="str">
        <f>IF(OR(N208="",COUNTA($D$16:$M$16)=0),"",N208/COUNTA($D$16:$M$16))</f>
        <v/>
      </c>
      <c r="Q208">
        <f>IF(D208="x",Q207+1,0)</f>
        <v>0</v>
      </c>
      <c r="R208">
        <f>IF(E208="x",R207+1,0)</f>
        <v>0</v>
      </c>
      <c r="S208">
        <f>IF(F208="x",S207+1,0)</f>
        <v>0</v>
      </c>
      <c r="T208">
        <f>IF(G208="x",T207+1,0)</f>
        <v>0</v>
      </c>
      <c r="U208">
        <f>IF(H208="x",U207+1,0)</f>
        <v>0</v>
      </c>
      <c r="V208">
        <f>IF(I208="x",V207+1,0)</f>
        <v>0</v>
      </c>
      <c r="W208">
        <f>IF(J208="x",W207+1,0)</f>
        <v>0</v>
      </c>
      <c r="X208">
        <f>IF(K208="x",X207+1,0)</f>
        <v>0</v>
      </c>
      <c r="Y208">
        <f>IF(L208="x",Y207+1,0)</f>
        <v>0</v>
      </c>
      <c r="Z208">
        <f>IF(M208="x",Z207+1,0)</f>
        <v>0</v>
      </c>
    </row>
    <row r="209">
      <c r="B209" s="137">
        <f>IF(B208="","",IF(YEAR(B208+1)=Ano,B208+1,""))</f>
        <v>46215.0</v>
      </c>
      <c r="C209" s="128" t="str">
        <f>IF(B209="","",CHOOSE(WEEKDAY(B209),"Dom","Seg","Ter","Qua","Qui","Sex","Sáb"))</f>
        <v>Dom</v>
      </c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28">
        <f>IF(OR(B209="",B209&gt;Hoje),"",COUNTIF(D209:M209,"x"))</f>
        <v>0</v>
      </c>
      <c r="O209" s="133" t="str">
        <f>IF(OR(N209="",COUNTA($D$16:$M$16)=0),"",N209/COUNTA($D$16:$M$16))</f>
        <v/>
      </c>
      <c r="Q209">
        <f>IF(D209="x",Q208+1,0)</f>
        <v>0</v>
      </c>
      <c r="R209">
        <f>IF(E209="x",R208+1,0)</f>
        <v>0</v>
      </c>
      <c r="S209">
        <f>IF(F209="x",S208+1,0)</f>
        <v>0</v>
      </c>
      <c r="T209">
        <f>IF(G209="x",T208+1,0)</f>
        <v>0</v>
      </c>
      <c r="U209">
        <f>IF(H209="x",U208+1,0)</f>
        <v>0</v>
      </c>
      <c r="V209">
        <f>IF(I209="x",V208+1,0)</f>
        <v>0</v>
      </c>
      <c r="W209">
        <f>IF(J209="x",W208+1,0)</f>
        <v>0</v>
      </c>
      <c r="X209">
        <f>IF(K209="x",X208+1,0)</f>
        <v>0</v>
      </c>
      <c r="Y209">
        <f>IF(L209="x",Y208+1,0)</f>
        <v>0</v>
      </c>
      <c r="Z209">
        <f>IF(M209="x",Z208+1,0)</f>
        <v>0</v>
      </c>
    </row>
    <row r="210">
      <c r="B210" s="137">
        <f>IF(B209="","",IF(YEAR(B209+1)=Ano,B209+1,""))</f>
        <v>46216.0</v>
      </c>
      <c r="C210" s="128" t="str">
        <f>IF(B210="","",CHOOSE(WEEKDAY(B210),"Dom","Seg","Ter","Qua","Qui","Sex","Sáb"))</f>
        <v>Seg</v>
      </c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28">
        <f>IF(OR(B210="",B210&gt;Hoje),"",COUNTIF(D210:M210,"x"))</f>
        <v>0</v>
      </c>
      <c r="O210" s="133" t="str">
        <f>IF(OR(N210="",COUNTA($D$16:$M$16)=0),"",N210/COUNTA($D$16:$M$16))</f>
        <v/>
      </c>
      <c r="Q210">
        <f>IF(D210="x",Q209+1,0)</f>
        <v>0</v>
      </c>
      <c r="R210">
        <f>IF(E210="x",R209+1,0)</f>
        <v>0</v>
      </c>
      <c r="S210">
        <f>IF(F210="x",S209+1,0)</f>
        <v>0</v>
      </c>
      <c r="T210">
        <f>IF(G210="x",T209+1,0)</f>
        <v>0</v>
      </c>
      <c r="U210">
        <f>IF(H210="x",U209+1,0)</f>
        <v>0</v>
      </c>
      <c r="V210">
        <f>IF(I210="x",V209+1,0)</f>
        <v>0</v>
      </c>
      <c r="W210">
        <f>IF(J210="x",W209+1,0)</f>
        <v>0</v>
      </c>
      <c r="X210">
        <f>IF(K210="x",X209+1,0)</f>
        <v>0</v>
      </c>
      <c r="Y210">
        <f>IF(L210="x",Y209+1,0)</f>
        <v>0</v>
      </c>
      <c r="Z210">
        <f>IF(M210="x",Z209+1,0)</f>
        <v>0</v>
      </c>
    </row>
    <row r="211">
      <c r="B211" s="137">
        <f>IF(B210="","",IF(YEAR(B210+1)=Ano,B210+1,""))</f>
        <v>46217.0</v>
      </c>
      <c r="C211" s="128" t="str">
        <f>IF(B211="","",CHOOSE(WEEKDAY(B211),"Dom","Seg","Ter","Qua","Qui","Sex","Sáb"))</f>
        <v>Ter</v>
      </c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28">
        <f>IF(OR(B211="",B211&gt;Hoje),"",COUNTIF(D211:M211,"x"))</f>
        <v>0</v>
      </c>
      <c r="O211" s="133" t="str">
        <f>IF(OR(N211="",COUNTA($D$16:$M$16)=0),"",N211/COUNTA($D$16:$M$16))</f>
        <v/>
      </c>
      <c r="Q211">
        <f>IF(D211="x",Q210+1,0)</f>
        <v>0</v>
      </c>
      <c r="R211">
        <f>IF(E211="x",R210+1,0)</f>
        <v>0</v>
      </c>
      <c r="S211">
        <f>IF(F211="x",S210+1,0)</f>
        <v>0</v>
      </c>
      <c r="T211">
        <f>IF(G211="x",T210+1,0)</f>
        <v>0</v>
      </c>
      <c r="U211">
        <f>IF(H211="x",U210+1,0)</f>
        <v>0</v>
      </c>
      <c r="V211">
        <f>IF(I211="x",V210+1,0)</f>
        <v>0</v>
      </c>
      <c r="W211">
        <f>IF(J211="x",W210+1,0)</f>
        <v>0</v>
      </c>
      <c r="X211">
        <f>IF(K211="x",X210+1,0)</f>
        <v>0</v>
      </c>
      <c r="Y211">
        <f>IF(L211="x",Y210+1,0)</f>
        <v>0</v>
      </c>
      <c r="Z211">
        <f>IF(M211="x",Z210+1,0)</f>
        <v>0</v>
      </c>
    </row>
    <row r="212">
      <c r="B212" s="137">
        <f>IF(B211="","",IF(YEAR(B211+1)=Ano,B211+1,""))</f>
        <v>46218.0</v>
      </c>
      <c r="C212" s="128" t="str">
        <f>IF(B212="","",CHOOSE(WEEKDAY(B212),"Dom","Seg","Ter","Qua","Qui","Sex","Sáb"))</f>
        <v>Qua</v>
      </c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28">
        <f>IF(OR(B212="",B212&gt;Hoje),"",COUNTIF(D212:M212,"x"))</f>
        <v>0</v>
      </c>
      <c r="O212" s="133" t="str">
        <f>IF(OR(N212="",COUNTA($D$16:$M$16)=0),"",N212/COUNTA($D$16:$M$16))</f>
        <v/>
      </c>
      <c r="Q212">
        <f>IF(D212="x",Q211+1,0)</f>
        <v>0</v>
      </c>
      <c r="R212">
        <f>IF(E212="x",R211+1,0)</f>
        <v>0</v>
      </c>
      <c r="S212">
        <f>IF(F212="x",S211+1,0)</f>
        <v>0</v>
      </c>
      <c r="T212">
        <f>IF(G212="x",T211+1,0)</f>
        <v>0</v>
      </c>
      <c r="U212">
        <f>IF(H212="x",U211+1,0)</f>
        <v>0</v>
      </c>
      <c r="V212">
        <f>IF(I212="x",V211+1,0)</f>
        <v>0</v>
      </c>
      <c r="W212">
        <f>IF(J212="x",W211+1,0)</f>
        <v>0</v>
      </c>
      <c r="X212">
        <f>IF(K212="x",X211+1,0)</f>
        <v>0</v>
      </c>
      <c r="Y212">
        <f>IF(L212="x",Y211+1,0)</f>
        <v>0</v>
      </c>
      <c r="Z212">
        <f>IF(M212="x",Z211+1,0)</f>
        <v>0</v>
      </c>
    </row>
    <row r="213">
      <c r="B213" s="137">
        <f>IF(B212="","",IF(YEAR(B212+1)=Ano,B212+1,""))</f>
        <v>46219.0</v>
      </c>
      <c r="C213" s="128" t="str">
        <f>IF(B213="","",CHOOSE(WEEKDAY(B213),"Dom","Seg","Ter","Qua","Qui","Sex","Sáb"))</f>
        <v>Qui</v>
      </c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28">
        <f>IF(OR(B213="",B213&gt;Hoje),"",COUNTIF(D213:M213,"x"))</f>
        <v>0</v>
      </c>
      <c r="O213" s="133" t="str">
        <f>IF(OR(N213="",COUNTA($D$16:$M$16)=0),"",N213/COUNTA($D$16:$M$16))</f>
        <v/>
      </c>
      <c r="Q213">
        <f>IF(D213="x",Q212+1,0)</f>
        <v>0</v>
      </c>
      <c r="R213">
        <f>IF(E213="x",R212+1,0)</f>
        <v>0</v>
      </c>
      <c r="S213">
        <f>IF(F213="x",S212+1,0)</f>
        <v>0</v>
      </c>
      <c r="T213">
        <f>IF(G213="x",T212+1,0)</f>
        <v>0</v>
      </c>
      <c r="U213">
        <f>IF(H213="x",U212+1,0)</f>
        <v>0</v>
      </c>
      <c r="V213">
        <f>IF(I213="x",V212+1,0)</f>
        <v>0</v>
      </c>
      <c r="W213">
        <f>IF(J213="x",W212+1,0)</f>
        <v>0</v>
      </c>
      <c r="X213">
        <f>IF(K213="x",X212+1,0)</f>
        <v>0</v>
      </c>
      <c r="Y213">
        <f>IF(L213="x",Y212+1,0)</f>
        <v>0</v>
      </c>
      <c r="Z213">
        <f>IF(M213="x",Z212+1,0)</f>
        <v>0</v>
      </c>
    </row>
    <row r="214">
      <c r="B214" s="137">
        <f>IF(B213="","",IF(YEAR(B213+1)=Ano,B213+1,""))</f>
        <v>46220.0</v>
      </c>
      <c r="C214" s="128" t="str">
        <f>IF(B214="","",CHOOSE(WEEKDAY(B214),"Dom","Seg","Ter","Qua","Qui","Sex","Sáb"))</f>
        <v>Sex</v>
      </c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28">
        <f>IF(OR(B214="",B214&gt;Hoje),"",COUNTIF(D214:M214,"x"))</f>
        <v>0</v>
      </c>
      <c r="O214" s="133" t="str">
        <f>IF(OR(N214="",COUNTA($D$16:$M$16)=0),"",N214/COUNTA($D$16:$M$16))</f>
        <v/>
      </c>
      <c r="Q214">
        <f>IF(D214="x",Q213+1,0)</f>
        <v>0</v>
      </c>
      <c r="R214">
        <f>IF(E214="x",R213+1,0)</f>
        <v>0</v>
      </c>
      <c r="S214">
        <f>IF(F214="x",S213+1,0)</f>
        <v>0</v>
      </c>
      <c r="T214">
        <f>IF(G214="x",T213+1,0)</f>
        <v>0</v>
      </c>
      <c r="U214">
        <f>IF(H214="x",U213+1,0)</f>
        <v>0</v>
      </c>
      <c r="V214">
        <f>IF(I214="x",V213+1,0)</f>
        <v>0</v>
      </c>
      <c r="W214">
        <f>IF(J214="x",W213+1,0)</f>
        <v>0</v>
      </c>
      <c r="X214">
        <f>IF(K214="x",X213+1,0)</f>
        <v>0</v>
      </c>
      <c r="Y214">
        <f>IF(L214="x",Y213+1,0)</f>
        <v>0</v>
      </c>
      <c r="Z214">
        <f>IF(M214="x",Z213+1,0)</f>
        <v>0</v>
      </c>
    </row>
    <row r="215">
      <c r="B215" s="137">
        <f>IF(B214="","",IF(YEAR(B214+1)=Ano,B214+1,""))</f>
        <v>46221.0</v>
      </c>
      <c r="C215" s="128" t="str">
        <f>IF(B215="","",CHOOSE(WEEKDAY(B215),"Dom","Seg","Ter","Qua","Qui","Sex","Sáb"))</f>
        <v>Sáb</v>
      </c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28">
        <f>IF(OR(B215="",B215&gt;Hoje),"",COUNTIF(D215:M215,"x"))</f>
        <v>0</v>
      </c>
      <c r="O215" s="133" t="str">
        <f>IF(OR(N215="",COUNTA($D$16:$M$16)=0),"",N215/COUNTA($D$16:$M$16))</f>
        <v/>
      </c>
      <c r="Q215">
        <f>IF(D215="x",Q214+1,0)</f>
        <v>0</v>
      </c>
      <c r="R215">
        <f>IF(E215="x",R214+1,0)</f>
        <v>0</v>
      </c>
      <c r="S215">
        <f>IF(F215="x",S214+1,0)</f>
        <v>0</v>
      </c>
      <c r="T215">
        <f>IF(G215="x",T214+1,0)</f>
        <v>0</v>
      </c>
      <c r="U215">
        <f>IF(H215="x",U214+1,0)</f>
        <v>0</v>
      </c>
      <c r="V215">
        <f>IF(I215="x",V214+1,0)</f>
        <v>0</v>
      </c>
      <c r="W215">
        <f>IF(J215="x",W214+1,0)</f>
        <v>0</v>
      </c>
      <c r="X215">
        <f>IF(K215="x",X214+1,0)</f>
        <v>0</v>
      </c>
      <c r="Y215">
        <f>IF(L215="x",Y214+1,0)</f>
        <v>0</v>
      </c>
      <c r="Z215">
        <f>IF(M215="x",Z214+1,0)</f>
        <v>0</v>
      </c>
    </row>
    <row r="216">
      <c r="B216" s="137">
        <f>IF(B215="","",IF(YEAR(B215+1)=Ano,B215+1,""))</f>
        <v>46222.0</v>
      </c>
      <c r="C216" s="128" t="str">
        <f>IF(B216="","",CHOOSE(WEEKDAY(B216),"Dom","Seg","Ter","Qua","Qui","Sex","Sáb"))</f>
        <v>Dom</v>
      </c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28">
        <f>IF(OR(B216="",B216&gt;Hoje),"",COUNTIF(D216:M216,"x"))</f>
        <v>0</v>
      </c>
      <c r="O216" s="133" t="str">
        <f>IF(OR(N216="",COUNTA($D$16:$M$16)=0),"",N216/COUNTA($D$16:$M$16))</f>
        <v/>
      </c>
      <c r="Q216">
        <f>IF(D216="x",Q215+1,0)</f>
        <v>0</v>
      </c>
      <c r="R216">
        <f>IF(E216="x",R215+1,0)</f>
        <v>0</v>
      </c>
      <c r="S216">
        <f>IF(F216="x",S215+1,0)</f>
        <v>0</v>
      </c>
      <c r="T216">
        <f>IF(G216="x",T215+1,0)</f>
        <v>0</v>
      </c>
      <c r="U216">
        <f>IF(H216="x",U215+1,0)</f>
        <v>0</v>
      </c>
      <c r="V216">
        <f>IF(I216="x",V215+1,0)</f>
        <v>0</v>
      </c>
      <c r="W216">
        <f>IF(J216="x",W215+1,0)</f>
        <v>0</v>
      </c>
      <c r="X216">
        <f>IF(K216="x",X215+1,0)</f>
        <v>0</v>
      </c>
      <c r="Y216">
        <f>IF(L216="x",Y215+1,0)</f>
        <v>0</v>
      </c>
      <c r="Z216">
        <f>IF(M216="x",Z215+1,0)</f>
        <v>0</v>
      </c>
    </row>
    <row r="217">
      <c r="B217" s="137">
        <f>IF(B216="","",IF(YEAR(B216+1)=Ano,B216+1,""))</f>
        <v>46223.0</v>
      </c>
      <c r="C217" s="128" t="str">
        <f>IF(B217="","",CHOOSE(WEEKDAY(B217),"Dom","Seg","Ter","Qua","Qui","Sex","Sáb"))</f>
        <v>Seg</v>
      </c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28">
        <f>IF(OR(B217="",B217&gt;Hoje),"",COUNTIF(D217:M217,"x"))</f>
        <v>0</v>
      </c>
      <c r="O217" s="133" t="str">
        <f>IF(OR(N217="",COUNTA($D$16:$M$16)=0),"",N217/COUNTA($D$16:$M$16))</f>
        <v/>
      </c>
      <c r="Q217">
        <f>IF(D217="x",Q216+1,0)</f>
        <v>0</v>
      </c>
      <c r="R217">
        <f>IF(E217="x",R216+1,0)</f>
        <v>0</v>
      </c>
      <c r="S217">
        <f>IF(F217="x",S216+1,0)</f>
        <v>0</v>
      </c>
      <c r="T217">
        <f>IF(G217="x",T216+1,0)</f>
        <v>0</v>
      </c>
      <c r="U217">
        <f>IF(H217="x",U216+1,0)</f>
        <v>0</v>
      </c>
      <c r="V217">
        <f>IF(I217="x",V216+1,0)</f>
        <v>0</v>
      </c>
      <c r="W217">
        <f>IF(J217="x",W216+1,0)</f>
        <v>0</v>
      </c>
      <c r="X217">
        <f>IF(K217="x",X216+1,0)</f>
        <v>0</v>
      </c>
      <c r="Y217">
        <f>IF(L217="x",Y216+1,0)</f>
        <v>0</v>
      </c>
      <c r="Z217">
        <f>IF(M217="x",Z216+1,0)</f>
        <v>0</v>
      </c>
    </row>
    <row r="218">
      <c r="B218" s="137">
        <f>IF(B217="","",IF(YEAR(B217+1)=Ano,B217+1,""))</f>
        <v>46224.0</v>
      </c>
      <c r="C218" s="128" t="str">
        <f>IF(B218="","",CHOOSE(WEEKDAY(B218),"Dom","Seg","Ter","Qua","Qui","Sex","Sáb"))</f>
        <v>Ter</v>
      </c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28">
        <f>IF(OR(B218="",B218&gt;Hoje),"",COUNTIF(D218:M218,"x"))</f>
        <v>0</v>
      </c>
      <c r="O218" s="133" t="str">
        <f>IF(OR(N218="",COUNTA($D$16:$M$16)=0),"",N218/COUNTA($D$16:$M$16))</f>
        <v/>
      </c>
      <c r="Q218">
        <f>IF(D218="x",Q217+1,0)</f>
        <v>0</v>
      </c>
      <c r="R218">
        <f>IF(E218="x",R217+1,0)</f>
        <v>0</v>
      </c>
      <c r="S218">
        <f>IF(F218="x",S217+1,0)</f>
        <v>0</v>
      </c>
      <c r="T218">
        <f>IF(G218="x",T217+1,0)</f>
        <v>0</v>
      </c>
      <c r="U218">
        <f>IF(H218="x",U217+1,0)</f>
        <v>0</v>
      </c>
      <c r="V218">
        <f>IF(I218="x",V217+1,0)</f>
        <v>0</v>
      </c>
      <c r="W218">
        <f>IF(J218="x",W217+1,0)</f>
        <v>0</v>
      </c>
      <c r="X218">
        <f>IF(K218="x",X217+1,0)</f>
        <v>0</v>
      </c>
      <c r="Y218">
        <f>IF(L218="x",Y217+1,0)</f>
        <v>0</v>
      </c>
      <c r="Z218">
        <f>IF(M218="x",Z217+1,0)</f>
        <v>0</v>
      </c>
    </row>
    <row r="219">
      <c r="B219" s="137">
        <f>IF(B218="","",IF(YEAR(B218+1)=Ano,B218+1,""))</f>
        <v>46225.0</v>
      </c>
      <c r="C219" s="128" t="str">
        <f>IF(B219="","",CHOOSE(WEEKDAY(B219),"Dom","Seg","Ter","Qua","Qui","Sex","Sáb"))</f>
        <v>Qua</v>
      </c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28">
        <f>IF(OR(B219="",B219&gt;Hoje),"",COUNTIF(D219:M219,"x"))</f>
        <v>0</v>
      </c>
      <c r="O219" s="133" t="str">
        <f>IF(OR(N219="",COUNTA($D$16:$M$16)=0),"",N219/COUNTA($D$16:$M$16))</f>
        <v/>
      </c>
      <c r="Q219">
        <f>IF(D219="x",Q218+1,0)</f>
        <v>0</v>
      </c>
      <c r="R219">
        <f>IF(E219="x",R218+1,0)</f>
        <v>0</v>
      </c>
      <c r="S219">
        <f>IF(F219="x",S218+1,0)</f>
        <v>0</v>
      </c>
      <c r="T219">
        <f>IF(G219="x",T218+1,0)</f>
        <v>0</v>
      </c>
      <c r="U219">
        <f>IF(H219="x",U218+1,0)</f>
        <v>0</v>
      </c>
      <c r="V219">
        <f>IF(I219="x",V218+1,0)</f>
        <v>0</v>
      </c>
      <c r="W219">
        <f>IF(J219="x",W218+1,0)</f>
        <v>0</v>
      </c>
      <c r="X219">
        <f>IF(K219="x",X218+1,0)</f>
        <v>0</v>
      </c>
      <c r="Y219">
        <f>IF(L219="x",Y218+1,0)</f>
        <v>0</v>
      </c>
      <c r="Z219">
        <f>IF(M219="x",Z218+1,0)</f>
        <v>0</v>
      </c>
    </row>
    <row r="220">
      <c r="B220" s="137">
        <f>IF(B219="","",IF(YEAR(B219+1)=Ano,B219+1,""))</f>
        <v>46226.0</v>
      </c>
      <c r="C220" s="128" t="str">
        <f>IF(B220="","",CHOOSE(WEEKDAY(B220),"Dom","Seg","Ter","Qua","Qui","Sex","Sáb"))</f>
        <v>Qui</v>
      </c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28">
        <f>IF(OR(B220="",B220&gt;Hoje),"",COUNTIF(D220:M220,"x"))</f>
        <v>0</v>
      </c>
      <c r="O220" s="133" t="str">
        <f>IF(OR(N220="",COUNTA($D$16:$M$16)=0),"",N220/COUNTA($D$16:$M$16))</f>
        <v/>
      </c>
      <c r="Q220">
        <f>IF(D220="x",Q219+1,0)</f>
        <v>0</v>
      </c>
      <c r="R220">
        <f>IF(E220="x",R219+1,0)</f>
        <v>0</v>
      </c>
      <c r="S220">
        <f>IF(F220="x",S219+1,0)</f>
        <v>0</v>
      </c>
      <c r="T220">
        <f>IF(G220="x",T219+1,0)</f>
        <v>0</v>
      </c>
      <c r="U220">
        <f>IF(H220="x",U219+1,0)</f>
        <v>0</v>
      </c>
      <c r="V220">
        <f>IF(I220="x",V219+1,0)</f>
        <v>0</v>
      </c>
      <c r="W220">
        <f>IF(J220="x",W219+1,0)</f>
        <v>0</v>
      </c>
      <c r="X220">
        <f>IF(K220="x",X219+1,0)</f>
        <v>0</v>
      </c>
      <c r="Y220">
        <f>IF(L220="x",Y219+1,0)</f>
        <v>0</v>
      </c>
      <c r="Z220">
        <f>IF(M220="x",Z219+1,0)</f>
        <v>0</v>
      </c>
    </row>
    <row r="221">
      <c r="B221" s="137">
        <f>IF(B220="","",IF(YEAR(B220+1)=Ano,B220+1,""))</f>
        <v>46227.0</v>
      </c>
      <c r="C221" s="128" t="str">
        <f>IF(B221="","",CHOOSE(WEEKDAY(B221),"Dom","Seg","Ter","Qua","Qui","Sex","Sáb"))</f>
        <v>Sex</v>
      </c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28">
        <f>IF(OR(B221="",B221&gt;Hoje),"",COUNTIF(D221:M221,"x"))</f>
        <v>0</v>
      </c>
      <c r="O221" s="133" t="str">
        <f>IF(OR(N221="",COUNTA($D$16:$M$16)=0),"",N221/COUNTA($D$16:$M$16))</f>
        <v/>
      </c>
      <c r="Q221">
        <f>IF(D221="x",Q220+1,0)</f>
        <v>0</v>
      </c>
      <c r="R221">
        <f>IF(E221="x",R220+1,0)</f>
        <v>0</v>
      </c>
      <c r="S221">
        <f>IF(F221="x",S220+1,0)</f>
        <v>0</v>
      </c>
      <c r="T221">
        <f>IF(G221="x",T220+1,0)</f>
        <v>0</v>
      </c>
      <c r="U221">
        <f>IF(H221="x",U220+1,0)</f>
        <v>0</v>
      </c>
      <c r="V221">
        <f>IF(I221="x",V220+1,0)</f>
        <v>0</v>
      </c>
      <c r="W221">
        <f>IF(J221="x",W220+1,0)</f>
        <v>0</v>
      </c>
      <c r="X221">
        <f>IF(K221="x",X220+1,0)</f>
        <v>0</v>
      </c>
      <c r="Y221">
        <f>IF(L221="x",Y220+1,0)</f>
        <v>0</v>
      </c>
      <c r="Z221">
        <f>IF(M221="x",Z220+1,0)</f>
        <v>0</v>
      </c>
    </row>
    <row r="222">
      <c r="B222" s="137">
        <f>IF(B221="","",IF(YEAR(B221+1)=Ano,B221+1,""))</f>
        <v>46228.0</v>
      </c>
      <c r="C222" s="128" t="str">
        <f>IF(B222="","",CHOOSE(WEEKDAY(B222),"Dom","Seg","Ter","Qua","Qui","Sex","Sáb"))</f>
        <v>Sáb</v>
      </c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28">
        <f>IF(OR(B222="",B222&gt;Hoje),"",COUNTIF(D222:M222,"x"))</f>
        <v>0</v>
      </c>
      <c r="O222" s="133" t="str">
        <f>IF(OR(N222="",COUNTA($D$16:$M$16)=0),"",N222/COUNTA($D$16:$M$16))</f>
        <v/>
      </c>
      <c r="Q222">
        <f>IF(D222="x",Q221+1,0)</f>
        <v>0</v>
      </c>
      <c r="R222">
        <f>IF(E222="x",R221+1,0)</f>
        <v>0</v>
      </c>
      <c r="S222">
        <f>IF(F222="x",S221+1,0)</f>
        <v>0</v>
      </c>
      <c r="T222">
        <f>IF(G222="x",T221+1,0)</f>
        <v>0</v>
      </c>
      <c r="U222">
        <f>IF(H222="x",U221+1,0)</f>
        <v>0</v>
      </c>
      <c r="V222">
        <f>IF(I222="x",V221+1,0)</f>
        <v>0</v>
      </c>
      <c r="W222">
        <f>IF(J222="x",W221+1,0)</f>
        <v>0</v>
      </c>
      <c r="X222">
        <f>IF(K222="x",X221+1,0)</f>
        <v>0</v>
      </c>
      <c r="Y222">
        <f>IF(L222="x",Y221+1,0)</f>
        <v>0</v>
      </c>
      <c r="Z222">
        <f>IF(M222="x",Z221+1,0)</f>
        <v>0</v>
      </c>
    </row>
    <row r="223">
      <c r="B223" s="137">
        <f>IF(B222="","",IF(YEAR(B222+1)=Ano,B222+1,""))</f>
        <v>46229.0</v>
      </c>
      <c r="C223" s="128" t="str">
        <f>IF(B223="","",CHOOSE(WEEKDAY(B223),"Dom","Seg","Ter","Qua","Qui","Sex","Sáb"))</f>
        <v>Dom</v>
      </c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28">
        <f>IF(OR(B223="",B223&gt;Hoje),"",COUNTIF(D223:M223,"x"))</f>
        <v>0</v>
      </c>
      <c r="O223" s="133" t="str">
        <f>IF(OR(N223="",COUNTA($D$16:$M$16)=0),"",N223/COUNTA($D$16:$M$16))</f>
        <v/>
      </c>
      <c r="Q223">
        <f>IF(D223="x",Q222+1,0)</f>
        <v>0</v>
      </c>
      <c r="R223">
        <f>IF(E223="x",R222+1,0)</f>
        <v>0</v>
      </c>
      <c r="S223">
        <f>IF(F223="x",S222+1,0)</f>
        <v>0</v>
      </c>
      <c r="T223">
        <f>IF(G223="x",T222+1,0)</f>
        <v>0</v>
      </c>
      <c r="U223">
        <f>IF(H223="x",U222+1,0)</f>
        <v>0</v>
      </c>
      <c r="V223">
        <f>IF(I223="x",V222+1,0)</f>
        <v>0</v>
      </c>
      <c r="W223">
        <f>IF(J223="x",W222+1,0)</f>
        <v>0</v>
      </c>
      <c r="X223">
        <f>IF(K223="x",X222+1,0)</f>
        <v>0</v>
      </c>
      <c r="Y223">
        <f>IF(L223="x",Y222+1,0)</f>
        <v>0</v>
      </c>
      <c r="Z223">
        <f>IF(M223="x",Z222+1,0)</f>
        <v>0</v>
      </c>
    </row>
    <row r="224">
      <c r="B224" s="137">
        <f>IF(B223="","",IF(YEAR(B223+1)=Ano,B223+1,""))</f>
        <v>46230.0</v>
      </c>
      <c r="C224" s="128" t="str">
        <f>IF(B224="","",CHOOSE(WEEKDAY(B224),"Dom","Seg","Ter","Qua","Qui","Sex","Sáb"))</f>
        <v>Seg</v>
      </c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28">
        <f>IF(OR(B224="",B224&gt;Hoje),"",COUNTIF(D224:M224,"x"))</f>
        <v>0</v>
      </c>
      <c r="O224" s="133" t="str">
        <f>IF(OR(N224="",COUNTA($D$16:$M$16)=0),"",N224/COUNTA($D$16:$M$16))</f>
        <v/>
      </c>
      <c r="Q224">
        <f>IF(D224="x",Q223+1,0)</f>
        <v>0</v>
      </c>
      <c r="R224">
        <f>IF(E224="x",R223+1,0)</f>
        <v>0</v>
      </c>
      <c r="S224">
        <f>IF(F224="x",S223+1,0)</f>
        <v>0</v>
      </c>
      <c r="T224">
        <f>IF(G224="x",T223+1,0)</f>
        <v>0</v>
      </c>
      <c r="U224">
        <f>IF(H224="x",U223+1,0)</f>
        <v>0</v>
      </c>
      <c r="V224">
        <f>IF(I224="x",V223+1,0)</f>
        <v>0</v>
      </c>
      <c r="W224">
        <f>IF(J224="x",W223+1,0)</f>
        <v>0</v>
      </c>
      <c r="X224">
        <f>IF(K224="x",X223+1,0)</f>
        <v>0</v>
      </c>
      <c r="Y224">
        <f>IF(L224="x",Y223+1,0)</f>
        <v>0</v>
      </c>
      <c r="Z224">
        <f>IF(M224="x",Z223+1,0)</f>
        <v>0</v>
      </c>
    </row>
    <row r="225">
      <c r="B225" s="137">
        <f>IF(B224="","",IF(YEAR(B224+1)=Ano,B224+1,""))</f>
        <v>46231.0</v>
      </c>
      <c r="C225" s="128" t="str">
        <f>IF(B225="","",CHOOSE(WEEKDAY(B225),"Dom","Seg","Ter","Qua","Qui","Sex","Sáb"))</f>
        <v>Ter</v>
      </c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28">
        <f>IF(OR(B225="",B225&gt;Hoje),"",COUNTIF(D225:M225,"x"))</f>
        <v>0</v>
      </c>
      <c r="O225" s="133" t="str">
        <f>IF(OR(N225="",COUNTA($D$16:$M$16)=0),"",N225/COUNTA($D$16:$M$16))</f>
        <v/>
      </c>
      <c r="Q225">
        <f>IF(D225="x",Q224+1,0)</f>
        <v>0</v>
      </c>
      <c r="R225">
        <f>IF(E225="x",R224+1,0)</f>
        <v>0</v>
      </c>
      <c r="S225">
        <f>IF(F225="x",S224+1,0)</f>
        <v>0</v>
      </c>
      <c r="T225">
        <f>IF(G225="x",T224+1,0)</f>
        <v>0</v>
      </c>
      <c r="U225">
        <f>IF(H225="x",U224+1,0)</f>
        <v>0</v>
      </c>
      <c r="V225">
        <f>IF(I225="x",V224+1,0)</f>
        <v>0</v>
      </c>
      <c r="W225">
        <f>IF(J225="x",W224+1,0)</f>
        <v>0</v>
      </c>
      <c r="X225">
        <f>IF(K225="x",X224+1,0)</f>
        <v>0</v>
      </c>
      <c r="Y225">
        <f>IF(L225="x",Y224+1,0)</f>
        <v>0</v>
      </c>
      <c r="Z225">
        <f>IF(M225="x",Z224+1,0)</f>
        <v>0</v>
      </c>
    </row>
    <row r="226">
      <c r="B226" s="137">
        <f>IF(B225="","",IF(YEAR(B225+1)=Ano,B225+1,""))</f>
        <v>46232.0</v>
      </c>
      <c r="C226" s="128" t="str">
        <f>IF(B226="","",CHOOSE(WEEKDAY(B226),"Dom","Seg","Ter","Qua","Qui","Sex","Sáb"))</f>
        <v>Qua</v>
      </c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28">
        <f>IF(OR(B226="",B226&gt;Hoje),"",COUNTIF(D226:M226,"x"))</f>
        <v>0</v>
      </c>
      <c r="O226" s="133" t="str">
        <f>IF(OR(N226="",COUNTA($D$16:$M$16)=0),"",N226/COUNTA($D$16:$M$16))</f>
        <v/>
      </c>
      <c r="Q226">
        <f>IF(D226="x",Q225+1,0)</f>
        <v>0</v>
      </c>
      <c r="R226">
        <f>IF(E226="x",R225+1,0)</f>
        <v>0</v>
      </c>
      <c r="S226">
        <f>IF(F226="x",S225+1,0)</f>
        <v>0</v>
      </c>
      <c r="T226">
        <f>IF(G226="x",T225+1,0)</f>
        <v>0</v>
      </c>
      <c r="U226">
        <f>IF(H226="x",U225+1,0)</f>
        <v>0</v>
      </c>
      <c r="V226">
        <f>IF(I226="x",V225+1,0)</f>
        <v>0</v>
      </c>
      <c r="W226">
        <f>IF(J226="x",W225+1,0)</f>
        <v>0</v>
      </c>
      <c r="X226">
        <f>IF(K226="x",X225+1,0)</f>
        <v>0</v>
      </c>
      <c r="Y226">
        <f>IF(L226="x",Y225+1,0)</f>
        <v>0</v>
      </c>
      <c r="Z226">
        <f>IF(M226="x",Z225+1,0)</f>
        <v>0</v>
      </c>
    </row>
    <row r="227">
      <c r="B227" s="137">
        <f>IF(B226="","",IF(YEAR(B226+1)=Ano,B226+1,""))</f>
        <v>46233.0</v>
      </c>
      <c r="C227" s="128" t="str">
        <f>IF(B227="","",CHOOSE(WEEKDAY(B227),"Dom","Seg","Ter","Qua","Qui","Sex","Sáb"))</f>
        <v>Qui</v>
      </c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28">
        <f>IF(OR(B227="",B227&gt;Hoje),"",COUNTIF(D227:M227,"x"))</f>
        <v>0</v>
      </c>
      <c r="O227" s="133" t="str">
        <f>IF(OR(N227="",COUNTA($D$16:$M$16)=0),"",N227/COUNTA($D$16:$M$16))</f>
        <v/>
      </c>
      <c r="Q227">
        <f>IF(D227="x",Q226+1,0)</f>
        <v>0</v>
      </c>
      <c r="R227">
        <f>IF(E227="x",R226+1,0)</f>
        <v>0</v>
      </c>
      <c r="S227">
        <f>IF(F227="x",S226+1,0)</f>
        <v>0</v>
      </c>
      <c r="T227">
        <f>IF(G227="x",T226+1,0)</f>
        <v>0</v>
      </c>
      <c r="U227">
        <f>IF(H227="x",U226+1,0)</f>
        <v>0</v>
      </c>
      <c r="V227">
        <f>IF(I227="x",V226+1,0)</f>
        <v>0</v>
      </c>
      <c r="W227">
        <f>IF(J227="x",W226+1,0)</f>
        <v>0</v>
      </c>
      <c r="X227">
        <f>IF(K227="x",X226+1,0)</f>
        <v>0</v>
      </c>
      <c r="Y227">
        <f>IF(L227="x",Y226+1,0)</f>
        <v>0</v>
      </c>
      <c r="Z227">
        <f>IF(M227="x",Z226+1,0)</f>
        <v>0</v>
      </c>
    </row>
    <row r="228">
      <c r="B228" s="137">
        <f>IF(B227="","",IF(YEAR(B227+1)=Ano,B227+1,""))</f>
        <v>46234.0</v>
      </c>
      <c r="C228" s="128" t="str">
        <f>IF(B228="","",CHOOSE(WEEKDAY(B228),"Dom","Seg","Ter","Qua","Qui","Sex","Sáb"))</f>
        <v>Sex</v>
      </c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28">
        <f>IF(OR(B228="",B228&gt;Hoje),"",COUNTIF(D228:M228,"x"))</f>
        <v>0</v>
      </c>
      <c r="O228" s="133" t="str">
        <f>IF(OR(N228="",COUNTA($D$16:$M$16)=0),"",N228/COUNTA($D$16:$M$16))</f>
        <v/>
      </c>
      <c r="Q228">
        <f>IF(D228="x",Q227+1,0)</f>
        <v>0</v>
      </c>
      <c r="R228">
        <f>IF(E228="x",R227+1,0)</f>
        <v>0</v>
      </c>
      <c r="S228">
        <f>IF(F228="x",S227+1,0)</f>
        <v>0</v>
      </c>
      <c r="T228">
        <f>IF(G228="x",T227+1,0)</f>
        <v>0</v>
      </c>
      <c r="U228">
        <f>IF(H228="x",U227+1,0)</f>
        <v>0</v>
      </c>
      <c r="V228">
        <f>IF(I228="x",V227+1,0)</f>
        <v>0</v>
      </c>
      <c r="W228">
        <f>IF(J228="x",W227+1,0)</f>
        <v>0</v>
      </c>
      <c r="X228">
        <f>IF(K228="x",X227+1,0)</f>
        <v>0</v>
      </c>
      <c r="Y228">
        <f>IF(L228="x",Y227+1,0)</f>
        <v>0</v>
      </c>
      <c r="Z228">
        <f>IF(M228="x",Z227+1,0)</f>
        <v>0</v>
      </c>
    </row>
    <row r="229">
      <c r="B229" s="137">
        <f>IF(B228="","",IF(YEAR(B228+1)=Ano,B228+1,""))</f>
        <v>46235.0</v>
      </c>
      <c r="C229" s="128" t="str">
        <f>IF(B229="","",CHOOSE(WEEKDAY(B229),"Dom","Seg","Ter","Qua","Qui","Sex","Sáb"))</f>
        <v>Sáb</v>
      </c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28">
        <f>IF(OR(B229="",B229&gt;Hoje),"",COUNTIF(D229:M229,"x"))</f>
        <v>0</v>
      </c>
      <c r="O229" s="133" t="str">
        <f>IF(OR(N229="",COUNTA($D$16:$M$16)=0),"",N229/COUNTA($D$16:$M$16))</f>
        <v/>
      </c>
      <c r="Q229">
        <f>IF(D229="x",Q228+1,0)</f>
        <v>0</v>
      </c>
      <c r="R229">
        <f>IF(E229="x",R228+1,0)</f>
        <v>0</v>
      </c>
      <c r="S229">
        <f>IF(F229="x",S228+1,0)</f>
        <v>0</v>
      </c>
      <c r="T229">
        <f>IF(G229="x",T228+1,0)</f>
        <v>0</v>
      </c>
      <c r="U229">
        <f>IF(H229="x",U228+1,0)</f>
        <v>0</v>
      </c>
      <c r="V229">
        <f>IF(I229="x",V228+1,0)</f>
        <v>0</v>
      </c>
      <c r="W229">
        <f>IF(J229="x",W228+1,0)</f>
        <v>0</v>
      </c>
      <c r="X229">
        <f>IF(K229="x",X228+1,0)</f>
        <v>0</v>
      </c>
      <c r="Y229">
        <f>IF(L229="x",Y228+1,0)</f>
        <v>0</v>
      </c>
      <c r="Z229">
        <f>IF(M229="x",Z228+1,0)</f>
        <v>0</v>
      </c>
    </row>
    <row r="230">
      <c r="B230" s="137">
        <f>IF(B229="","",IF(YEAR(B229+1)=Ano,B229+1,""))</f>
        <v>46236.0</v>
      </c>
      <c r="C230" s="128" t="str">
        <f>IF(B230="","",CHOOSE(WEEKDAY(B230),"Dom","Seg","Ter","Qua","Qui","Sex","Sáb"))</f>
        <v>Dom</v>
      </c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28">
        <f>IF(OR(B230="",B230&gt;Hoje),"",COUNTIF(D230:M230,"x"))</f>
        <v>0</v>
      </c>
      <c r="O230" s="133" t="str">
        <f>IF(OR(N230="",COUNTA($D$16:$M$16)=0),"",N230/COUNTA($D$16:$M$16))</f>
        <v/>
      </c>
      <c r="Q230">
        <f>IF(D230="x",Q229+1,0)</f>
        <v>0</v>
      </c>
      <c r="R230">
        <f>IF(E230="x",R229+1,0)</f>
        <v>0</v>
      </c>
      <c r="S230">
        <f>IF(F230="x",S229+1,0)</f>
        <v>0</v>
      </c>
      <c r="T230">
        <f>IF(G230="x",T229+1,0)</f>
        <v>0</v>
      </c>
      <c r="U230">
        <f>IF(H230="x",U229+1,0)</f>
        <v>0</v>
      </c>
      <c r="V230">
        <f>IF(I230="x",V229+1,0)</f>
        <v>0</v>
      </c>
      <c r="W230">
        <f>IF(J230="x",W229+1,0)</f>
        <v>0</v>
      </c>
      <c r="X230">
        <f>IF(K230="x",X229+1,0)</f>
        <v>0</v>
      </c>
      <c r="Y230">
        <f>IF(L230="x",Y229+1,0)</f>
        <v>0</v>
      </c>
      <c r="Z230">
        <f>IF(M230="x",Z229+1,0)</f>
        <v>0</v>
      </c>
    </row>
    <row r="231">
      <c r="B231" s="137">
        <f>IF(B230="","",IF(YEAR(B230+1)=Ano,B230+1,""))</f>
        <v>46237.0</v>
      </c>
      <c r="C231" s="128" t="str">
        <f>IF(B231="","",CHOOSE(WEEKDAY(B231),"Dom","Seg","Ter","Qua","Qui","Sex","Sáb"))</f>
        <v>Seg</v>
      </c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28">
        <f>IF(OR(B231="",B231&gt;Hoje),"",COUNTIF(D231:M231,"x"))</f>
        <v>0</v>
      </c>
      <c r="O231" s="133" t="str">
        <f>IF(OR(N231="",COUNTA($D$16:$M$16)=0),"",N231/COUNTA($D$16:$M$16))</f>
        <v/>
      </c>
      <c r="Q231">
        <f>IF(D231="x",Q230+1,0)</f>
        <v>0</v>
      </c>
      <c r="R231">
        <f>IF(E231="x",R230+1,0)</f>
        <v>0</v>
      </c>
      <c r="S231">
        <f>IF(F231="x",S230+1,0)</f>
        <v>0</v>
      </c>
      <c r="T231">
        <f>IF(G231="x",T230+1,0)</f>
        <v>0</v>
      </c>
      <c r="U231">
        <f>IF(H231="x",U230+1,0)</f>
        <v>0</v>
      </c>
      <c r="V231">
        <f>IF(I231="x",V230+1,0)</f>
        <v>0</v>
      </c>
      <c r="W231">
        <f>IF(J231="x",W230+1,0)</f>
        <v>0</v>
      </c>
      <c r="X231">
        <f>IF(K231="x",X230+1,0)</f>
        <v>0</v>
      </c>
      <c r="Y231">
        <f>IF(L231="x",Y230+1,0)</f>
        <v>0</v>
      </c>
      <c r="Z231">
        <f>IF(M231="x",Z230+1,0)</f>
        <v>0</v>
      </c>
    </row>
    <row r="232">
      <c r="B232" s="137">
        <f>IF(B231="","",IF(YEAR(B231+1)=Ano,B231+1,""))</f>
        <v>46238.0</v>
      </c>
      <c r="C232" s="128" t="str">
        <f>IF(B232="","",CHOOSE(WEEKDAY(B232),"Dom","Seg","Ter","Qua","Qui","Sex","Sáb"))</f>
        <v>Ter</v>
      </c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28">
        <f>IF(OR(B232="",B232&gt;Hoje),"",COUNTIF(D232:M232,"x"))</f>
        <v>0</v>
      </c>
      <c r="O232" s="133" t="str">
        <f>IF(OR(N232="",COUNTA($D$16:$M$16)=0),"",N232/COUNTA($D$16:$M$16))</f>
        <v/>
      </c>
      <c r="Q232">
        <f>IF(D232="x",Q231+1,0)</f>
        <v>0</v>
      </c>
      <c r="R232">
        <f>IF(E232="x",R231+1,0)</f>
        <v>0</v>
      </c>
      <c r="S232">
        <f>IF(F232="x",S231+1,0)</f>
        <v>0</v>
      </c>
      <c r="T232">
        <f>IF(G232="x",T231+1,0)</f>
        <v>0</v>
      </c>
      <c r="U232">
        <f>IF(H232="x",U231+1,0)</f>
        <v>0</v>
      </c>
      <c r="V232">
        <f>IF(I232="x",V231+1,0)</f>
        <v>0</v>
      </c>
      <c r="W232">
        <f>IF(J232="x",W231+1,0)</f>
        <v>0</v>
      </c>
      <c r="X232">
        <f>IF(K232="x",X231+1,0)</f>
        <v>0</v>
      </c>
      <c r="Y232">
        <f>IF(L232="x",Y231+1,0)</f>
        <v>0</v>
      </c>
      <c r="Z232">
        <f>IF(M232="x",Z231+1,0)</f>
        <v>0</v>
      </c>
    </row>
    <row r="233">
      <c r="B233" s="137">
        <f>IF(B232="","",IF(YEAR(B232+1)=Ano,B232+1,""))</f>
        <v>46239.0</v>
      </c>
      <c r="C233" s="128" t="str">
        <f>IF(B233="","",CHOOSE(WEEKDAY(B233),"Dom","Seg","Ter","Qua","Qui","Sex","Sáb"))</f>
        <v>Qua</v>
      </c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28">
        <f>IF(OR(B233="",B233&gt;Hoje),"",COUNTIF(D233:M233,"x"))</f>
        <v>0</v>
      </c>
      <c r="O233" s="133" t="str">
        <f>IF(OR(N233="",COUNTA($D$16:$M$16)=0),"",N233/COUNTA($D$16:$M$16))</f>
        <v/>
      </c>
      <c r="Q233">
        <f>IF(D233="x",Q232+1,0)</f>
        <v>0</v>
      </c>
      <c r="R233">
        <f>IF(E233="x",R232+1,0)</f>
        <v>0</v>
      </c>
      <c r="S233">
        <f>IF(F233="x",S232+1,0)</f>
        <v>0</v>
      </c>
      <c r="T233">
        <f>IF(G233="x",T232+1,0)</f>
        <v>0</v>
      </c>
      <c r="U233">
        <f>IF(H233="x",U232+1,0)</f>
        <v>0</v>
      </c>
      <c r="V233">
        <f>IF(I233="x",V232+1,0)</f>
        <v>0</v>
      </c>
      <c r="W233">
        <f>IF(J233="x",W232+1,0)</f>
        <v>0</v>
      </c>
      <c r="X233">
        <f>IF(K233="x",X232+1,0)</f>
        <v>0</v>
      </c>
      <c r="Y233">
        <f>IF(L233="x",Y232+1,0)</f>
        <v>0</v>
      </c>
      <c r="Z233">
        <f>IF(M233="x",Z232+1,0)</f>
        <v>0</v>
      </c>
    </row>
    <row r="234">
      <c r="B234" s="137">
        <f>IF(B233="","",IF(YEAR(B233+1)=Ano,B233+1,""))</f>
        <v>46240.0</v>
      </c>
      <c r="C234" s="128" t="str">
        <f>IF(B234="","",CHOOSE(WEEKDAY(B234),"Dom","Seg","Ter","Qua","Qui","Sex","Sáb"))</f>
        <v>Qui</v>
      </c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28">
        <f>IF(OR(B234="",B234&gt;Hoje),"",COUNTIF(D234:M234,"x"))</f>
        <v>0</v>
      </c>
      <c r="O234" s="133" t="str">
        <f>IF(OR(N234="",COUNTA($D$16:$M$16)=0),"",N234/COUNTA($D$16:$M$16))</f>
        <v/>
      </c>
      <c r="Q234">
        <f>IF(D234="x",Q233+1,0)</f>
        <v>0</v>
      </c>
      <c r="R234">
        <f>IF(E234="x",R233+1,0)</f>
        <v>0</v>
      </c>
      <c r="S234">
        <f>IF(F234="x",S233+1,0)</f>
        <v>0</v>
      </c>
      <c r="T234">
        <f>IF(G234="x",T233+1,0)</f>
        <v>0</v>
      </c>
      <c r="U234">
        <f>IF(H234="x",U233+1,0)</f>
        <v>0</v>
      </c>
      <c r="V234">
        <f>IF(I234="x",V233+1,0)</f>
        <v>0</v>
      </c>
      <c r="W234">
        <f>IF(J234="x",W233+1,0)</f>
        <v>0</v>
      </c>
      <c r="X234">
        <f>IF(K234="x",X233+1,0)</f>
        <v>0</v>
      </c>
      <c r="Y234">
        <f>IF(L234="x",Y233+1,0)</f>
        <v>0</v>
      </c>
      <c r="Z234">
        <f>IF(M234="x",Z233+1,0)</f>
        <v>0</v>
      </c>
    </row>
    <row r="235">
      <c r="B235" s="137">
        <f>IF(B234="","",IF(YEAR(B234+1)=Ano,B234+1,""))</f>
        <v>46241.0</v>
      </c>
      <c r="C235" s="128" t="str">
        <f>IF(B235="","",CHOOSE(WEEKDAY(B235),"Dom","Seg","Ter","Qua","Qui","Sex","Sáb"))</f>
        <v>Sex</v>
      </c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28">
        <f>IF(OR(B235="",B235&gt;Hoje),"",COUNTIF(D235:M235,"x"))</f>
        <v>0</v>
      </c>
      <c r="O235" s="133" t="str">
        <f>IF(OR(N235="",COUNTA($D$16:$M$16)=0),"",N235/COUNTA($D$16:$M$16))</f>
        <v/>
      </c>
      <c r="Q235">
        <f>IF(D235="x",Q234+1,0)</f>
        <v>0</v>
      </c>
      <c r="R235">
        <f>IF(E235="x",R234+1,0)</f>
        <v>0</v>
      </c>
      <c r="S235">
        <f>IF(F235="x",S234+1,0)</f>
        <v>0</v>
      </c>
      <c r="T235">
        <f>IF(G235="x",T234+1,0)</f>
        <v>0</v>
      </c>
      <c r="U235">
        <f>IF(H235="x",U234+1,0)</f>
        <v>0</v>
      </c>
      <c r="V235">
        <f>IF(I235="x",V234+1,0)</f>
        <v>0</v>
      </c>
      <c r="W235">
        <f>IF(J235="x",W234+1,0)</f>
        <v>0</v>
      </c>
      <c r="X235">
        <f>IF(K235="x",X234+1,0)</f>
        <v>0</v>
      </c>
      <c r="Y235">
        <f>IF(L235="x",Y234+1,0)</f>
        <v>0</v>
      </c>
      <c r="Z235">
        <f>IF(M235="x",Z234+1,0)</f>
        <v>0</v>
      </c>
    </row>
    <row r="236">
      <c r="B236" s="137">
        <f>IF(B235="","",IF(YEAR(B235+1)=Ano,B235+1,""))</f>
        <v>46242.0</v>
      </c>
      <c r="C236" s="128" t="str">
        <f>IF(B236="","",CHOOSE(WEEKDAY(B236),"Dom","Seg","Ter","Qua","Qui","Sex","Sáb"))</f>
        <v>Sáb</v>
      </c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28">
        <f>IF(OR(B236="",B236&gt;Hoje),"",COUNTIF(D236:M236,"x"))</f>
        <v>0</v>
      </c>
      <c r="O236" s="133" t="str">
        <f>IF(OR(N236="",COUNTA($D$16:$M$16)=0),"",N236/COUNTA($D$16:$M$16))</f>
        <v/>
      </c>
      <c r="Q236">
        <f>IF(D236="x",Q235+1,0)</f>
        <v>0</v>
      </c>
      <c r="R236">
        <f>IF(E236="x",R235+1,0)</f>
        <v>0</v>
      </c>
      <c r="S236">
        <f>IF(F236="x",S235+1,0)</f>
        <v>0</v>
      </c>
      <c r="T236">
        <f>IF(G236="x",T235+1,0)</f>
        <v>0</v>
      </c>
      <c r="U236">
        <f>IF(H236="x",U235+1,0)</f>
        <v>0</v>
      </c>
      <c r="V236">
        <f>IF(I236="x",V235+1,0)</f>
        <v>0</v>
      </c>
      <c r="W236">
        <f>IF(J236="x",W235+1,0)</f>
        <v>0</v>
      </c>
      <c r="X236">
        <f>IF(K236="x",X235+1,0)</f>
        <v>0</v>
      </c>
      <c r="Y236">
        <f>IF(L236="x",Y235+1,0)</f>
        <v>0</v>
      </c>
      <c r="Z236">
        <f>IF(M236="x",Z235+1,0)</f>
        <v>0</v>
      </c>
    </row>
    <row r="237">
      <c r="B237" s="137">
        <f>IF(B236="","",IF(YEAR(B236+1)=Ano,B236+1,""))</f>
        <v>46243.0</v>
      </c>
      <c r="C237" s="128" t="str">
        <f>IF(B237="","",CHOOSE(WEEKDAY(B237),"Dom","Seg","Ter","Qua","Qui","Sex","Sáb"))</f>
        <v>Dom</v>
      </c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28">
        <f>IF(OR(B237="",B237&gt;Hoje),"",COUNTIF(D237:M237,"x"))</f>
        <v>0</v>
      </c>
      <c r="O237" s="133" t="str">
        <f>IF(OR(N237="",COUNTA($D$16:$M$16)=0),"",N237/COUNTA($D$16:$M$16))</f>
        <v/>
      </c>
      <c r="Q237">
        <f>IF(D237="x",Q236+1,0)</f>
        <v>0</v>
      </c>
      <c r="R237">
        <f>IF(E237="x",R236+1,0)</f>
        <v>0</v>
      </c>
      <c r="S237">
        <f>IF(F237="x",S236+1,0)</f>
        <v>0</v>
      </c>
      <c r="T237">
        <f>IF(G237="x",T236+1,0)</f>
        <v>0</v>
      </c>
      <c r="U237">
        <f>IF(H237="x",U236+1,0)</f>
        <v>0</v>
      </c>
      <c r="V237">
        <f>IF(I237="x",V236+1,0)</f>
        <v>0</v>
      </c>
      <c r="W237">
        <f>IF(J237="x",W236+1,0)</f>
        <v>0</v>
      </c>
      <c r="X237">
        <f>IF(K237="x",X236+1,0)</f>
        <v>0</v>
      </c>
      <c r="Y237">
        <f>IF(L237="x",Y236+1,0)</f>
        <v>0</v>
      </c>
      <c r="Z237">
        <f>IF(M237="x",Z236+1,0)</f>
        <v>0</v>
      </c>
    </row>
    <row r="238">
      <c r="B238" s="137">
        <f>IF(B237="","",IF(YEAR(B237+1)=Ano,B237+1,""))</f>
        <v>46244.0</v>
      </c>
      <c r="C238" s="128" t="str">
        <f>IF(B238="","",CHOOSE(WEEKDAY(B238),"Dom","Seg","Ter","Qua","Qui","Sex","Sáb"))</f>
        <v>Seg</v>
      </c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28">
        <f>IF(OR(B238="",B238&gt;Hoje),"",COUNTIF(D238:M238,"x"))</f>
        <v>0</v>
      </c>
      <c r="O238" s="133" t="str">
        <f>IF(OR(N238="",COUNTA($D$16:$M$16)=0),"",N238/COUNTA($D$16:$M$16))</f>
        <v/>
      </c>
      <c r="Q238">
        <f>IF(D238="x",Q237+1,0)</f>
        <v>0</v>
      </c>
      <c r="R238">
        <f>IF(E238="x",R237+1,0)</f>
        <v>0</v>
      </c>
      <c r="S238">
        <f>IF(F238="x",S237+1,0)</f>
        <v>0</v>
      </c>
      <c r="T238">
        <f>IF(G238="x",T237+1,0)</f>
        <v>0</v>
      </c>
      <c r="U238">
        <f>IF(H238="x",U237+1,0)</f>
        <v>0</v>
      </c>
      <c r="V238">
        <f>IF(I238="x",V237+1,0)</f>
        <v>0</v>
      </c>
      <c r="W238">
        <f>IF(J238="x",W237+1,0)</f>
        <v>0</v>
      </c>
      <c r="X238">
        <f>IF(K238="x",X237+1,0)</f>
        <v>0</v>
      </c>
      <c r="Y238">
        <f>IF(L238="x",Y237+1,0)</f>
        <v>0</v>
      </c>
      <c r="Z238">
        <f>IF(M238="x",Z237+1,0)</f>
        <v>0</v>
      </c>
    </row>
    <row r="239">
      <c r="B239" s="137">
        <f>IF(B238="","",IF(YEAR(B238+1)=Ano,B238+1,""))</f>
        <v>46245.0</v>
      </c>
      <c r="C239" s="128" t="str">
        <f>IF(B239="","",CHOOSE(WEEKDAY(B239),"Dom","Seg","Ter","Qua","Qui","Sex","Sáb"))</f>
        <v>Ter</v>
      </c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28">
        <f>IF(OR(B239="",B239&gt;Hoje),"",COUNTIF(D239:M239,"x"))</f>
        <v>0</v>
      </c>
      <c r="O239" s="133" t="str">
        <f>IF(OR(N239="",COUNTA($D$16:$M$16)=0),"",N239/COUNTA($D$16:$M$16))</f>
        <v/>
      </c>
      <c r="Q239">
        <f>IF(D239="x",Q238+1,0)</f>
        <v>0</v>
      </c>
      <c r="R239">
        <f>IF(E239="x",R238+1,0)</f>
        <v>0</v>
      </c>
      <c r="S239">
        <f>IF(F239="x",S238+1,0)</f>
        <v>0</v>
      </c>
      <c r="T239">
        <f>IF(G239="x",T238+1,0)</f>
        <v>0</v>
      </c>
      <c r="U239">
        <f>IF(H239="x",U238+1,0)</f>
        <v>0</v>
      </c>
      <c r="V239">
        <f>IF(I239="x",V238+1,0)</f>
        <v>0</v>
      </c>
      <c r="W239">
        <f>IF(J239="x",W238+1,0)</f>
        <v>0</v>
      </c>
      <c r="X239">
        <f>IF(K239="x",X238+1,0)</f>
        <v>0</v>
      </c>
      <c r="Y239">
        <f>IF(L239="x",Y238+1,0)</f>
        <v>0</v>
      </c>
      <c r="Z239">
        <f>IF(M239="x",Z238+1,0)</f>
        <v>0</v>
      </c>
    </row>
    <row r="240">
      <c r="B240" s="137">
        <f>IF(B239="","",IF(YEAR(B239+1)=Ano,B239+1,""))</f>
        <v>46246.0</v>
      </c>
      <c r="C240" s="128" t="str">
        <f>IF(B240="","",CHOOSE(WEEKDAY(B240),"Dom","Seg","Ter","Qua","Qui","Sex","Sáb"))</f>
        <v>Qua</v>
      </c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28">
        <f>IF(OR(B240="",B240&gt;Hoje),"",COUNTIF(D240:M240,"x"))</f>
        <v>0</v>
      </c>
      <c r="O240" s="133" t="str">
        <f>IF(OR(N240="",COUNTA($D$16:$M$16)=0),"",N240/COUNTA($D$16:$M$16))</f>
        <v/>
      </c>
      <c r="Q240">
        <f>IF(D240="x",Q239+1,0)</f>
        <v>0</v>
      </c>
      <c r="R240">
        <f>IF(E240="x",R239+1,0)</f>
        <v>0</v>
      </c>
      <c r="S240">
        <f>IF(F240="x",S239+1,0)</f>
        <v>0</v>
      </c>
      <c r="T240">
        <f>IF(G240="x",T239+1,0)</f>
        <v>0</v>
      </c>
      <c r="U240">
        <f>IF(H240="x",U239+1,0)</f>
        <v>0</v>
      </c>
      <c r="V240">
        <f>IF(I240="x",V239+1,0)</f>
        <v>0</v>
      </c>
      <c r="W240">
        <f>IF(J240="x",W239+1,0)</f>
        <v>0</v>
      </c>
      <c r="X240">
        <f>IF(K240="x",X239+1,0)</f>
        <v>0</v>
      </c>
      <c r="Y240">
        <f>IF(L240="x",Y239+1,0)</f>
        <v>0</v>
      </c>
      <c r="Z240">
        <f>IF(M240="x",Z239+1,0)</f>
        <v>0</v>
      </c>
    </row>
    <row r="241">
      <c r="B241" s="137">
        <f>IF(B240="","",IF(YEAR(B240+1)=Ano,B240+1,""))</f>
        <v>46247.0</v>
      </c>
      <c r="C241" s="128" t="str">
        <f>IF(B241="","",CHOOSE(WEEKDAY(B241),"Dom","Seg","Ter","Qua","Qui","Sex","Sáb"))</f>
        <v>Qui</v>
      </c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28">
        <f>IF(OR(B241="",B241&gt;Hoje),"",COUNTIF(D241:M241,"x"))</f>
        <v>0</v>
      </c>
      <c r="O241" s="133" t="str">
        <f>IF(OR(N241="",COUNTA($D$16:$M$16)=0),"",N241/COUNTA($D$16:$M$16))</f>
        <v/>
      </c>
      <c r="Q241">
        <f>IF(D241="x",Q240+1,0)</f>
        <v>0</v>
      </c>
      <c r="R241">
        <f>IF(E241="x",R240+1,0)</f>
        <v>0</v>
      </c>
      <c r="S241">
        <f>IF(F241="x",S240+1,0)</f>
        <v>0</v>
      </c>
      <c r="T241">
        <f>IF(G241="x",T240+1,0)</f>
        <v>0</v>
      </c>
      <c r="U241">
        <f>IF(H241="x",U240+1,0)</f>
        <v>0</v>
      </c>
      <c r="V241">
        <f>IF(I241="x",V240+1,0)</f>
        <v>0</v>
      </c>
      <c r="W241">
        <f>IF(J241="x",W240+1,0)</f>
        <v>0</v>
      </c>
      <c r="X241">
        <f>IF(K241="x",X240+1,0)</f>
        <v>0</v>
      </c>
      <c r="Y241">
        <f>IF(L241="x",Y240+1,0)</f>
        <v>0</v>
      </c>
      <c r="Z241">
        <f>IF(M241="x",Z240+1,0)</f>
        <v>0</v>
      </c>
    </row>
    <row r="242">
      <c r="B242" s="137">
        <f>IF(B241="","",IF(YEAR(B241+1)=Ano,B241+1,""))</f>
        <v>46248.0</v>
      </c>
      <c r="C242" s="128" t="str">
        <f>IF(B242="","",CHOOSE(WEEKDAY(B242),"Dom","Seg","Ter","Qua","Qui","Sex","Sáb"))</f>
        <v>Sex</v>
      </c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28">
        <f>IF(OR(B242="",B242&gt;Hoje),"",COUNTIF(D242:M242,"x"))</f>
        <v>0</v>
      </c>
      <c r="O242" s="133" t="str">
        <f>IF(OR(N242="",COUNTA($D$16:$M$16)=0),"",N242/COUNTA($D$16:$M$16))</f>
        <v/>
      </c>
      <c r="Q242">
        <f>IF(D242="x",Q241+1,0)</f>
        <v>0</v>
      </c>
      <c r="R242">
        <f>IF(E242="x",R241+1,0)</f>
        <v>0</v>
      </c>
      <c r="S242">
        <f>IF(F242="x",S241+1,0)</f>
        <v>0</v>
      </c>
      <c r="T242">
        <f>IF(G242="x",T241+1,0)</f>
        <v>0</v>
      </c>
      <c r="U242">
        <f>IF(H242="x",U241+1,0)</f>
        <v>0</v>
      </c>
      <c r="V242">
        <f>IF(I242="x",V241+1,0)</f>
        <v>0</v>
      </c>
      <c r="W242">
        <f>IF(J242="x",W241+1,0)</f>
        <v>0</v>
      </c>
      <c r="X242">
        <f>IF(K242="x",X241+1,0)</f>
        <v>0</v>
      </c>
      <c r="Y242">
        <f>IF(L242="x",Y241+1,0)</f>
        <v>0</v>
      </c>
      <c r="Z242">
        <f>IF(M242="x",Z241+1,0)</f>
        <v>0</v>
      </c>
    </row>
    <row r="243">
      <c r="B243" s="137">
        <f>IF(B242="","",IF(YEAR(B242+1)=Ano,B242+1,""))</f>
        <v>46249.0</v>
      </c>
      <c r="C243" s="128" t="str">
        <f>IF(B243="","",CHOOSE(WEEKDAY(B243),"Dom","Seg","Ter","Qua","Qui","Sex","Sáb"))</f>
        <v>Sáb</v>
      </c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28">
        <f>IF(OR(B243="",B243&gt;Hoje),"",COUNTIF(D243:M243,"x"))</f>
        <v>0</v>
      </c>
      <c r="O243" s="133" t="str">
        <f>IF(OR(N243="",COUNTA($D$16:$M$16)=0),"",N243/COUNTA($D$16:$M$16))</f>
        <v/>
      </c>
      <c r="Q243">
        <f>IF(D243="x",Q242+1,0)</f>
        <v>0</v>
      </c>
      <c r="R243">
        <f>IF(E243="x",R242+1,0)</f>
        <v>0</v>
      </c>
      <c r="S243">
        <f>IF(F243="x",S242+1,0)</f>
        <v>0</v>
      </c>
      <c r="T243">
        <f>IF(G243="x",T242+1,0)</f>
        <v>0</v>
      </c>
      <c r="U243">
        <f>IF(H243="x",U242+1,0)</f>
        <v>0</v>
      </c>
      <c r="V243">
        <f>IF(I243="x",V242+1,0)</f>
        <v>0</v>
      </c>
      <c r="W243">
        <f>IF(J243="x",W242+1,0)</f>
        <v>0</v>
      </c>
      <c r="X243">
        <f>IF(K243="x",X242+1,0)</f>
        <v>0</v>
      </c>
      <c r="Y243">
        <f>IF(L243="x",Y242+1,0)</f>
        <v>0</v>
      </c>
      <c r="Z243">
        <f>IF(M243="x",Z242+1,0)</f>
        <v>0</v>
      </c>
    </row>
    <row r="244">
      <c r="B244" s="137">
        <f>IF(B243="","",IF(YEAR(B243+1)=Ano,B243+1,""))</f>
        <v>46250.0</v>
      </c>
      <c r="C244" s="128" t="str">
        <f>IF(B244="","",CHOOSE(WEEKDAY(B244),"Dom","Seg","Ter","Qua","Qui","Sex","Sáb"))</f>
        <v>Dom</v>
      </c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28">
        <f>IF(OR(B244="",B244&gt;Hoje),"",COUNTIF(D244:M244,"x"))</f>
        <v>0</v>
      </c>
      <c r="O244" s="133" t="str">
        <f>IF(OR(N244="",COUNTA($D$16:$M$16)=0),"",N244/COUNTA($D$16:$M$16))</f>
        <v/>
      </c>
      <c r="Q244">
        <f>IF(D244="x",Q243+1,0)</f>
        <v>0</v>
      </c>
      <c r="R244">
        <f>IF(E244="x",R243+1,0)</f>
        <v>0</v>
      </c>
      <c r="S244">
        <f>IF(F244="x",S243+1,0)</f>
        <v>0</v>
      </c>
      <c r="T244">
        <f>IF(G244="x",T243+1,0)</f>
        <v>0</v>
      </c>
      <c r="U244">
        <f>IF(H244="x",U243+1,0)</f>
        <v>0</v>
      </c>
      <c r="V244">
        <f>IF(I244="x",V243+1,0)</f>
        <v>0</v>
      </c>
      <c r="W244">
        <f>IF(J244="x",W243+1,0)</f>
        <v>0</v>
      </c>
      <c r="X244">
        <f>IF(K244="x",X243+1,0)</f>
        <v>0</v>
      </c>
      <c r="Y244">
        <f>IF(L244="x",Y243+1,0)</f>
        <v>0</v>
      </c>
      <c r="Z244">
        <f>IF(M244="x",Z243+1,0)</f>
        <v>0</v>
      </c>
    </row>
    <row r="245">
      <c r="B245" s="137">
        <f>IF(B244="","",IF(YEAR(B244+1)=Ano,B244+1,""))</f>
        <v>46251.0</v>
      </c>
      <c r="C245" s="128" t="str">
        <f>IF(B245="","",CHOOSE(WEEKDAY(B245),"Dom","Seg","Ter","Qua","Qui","Sex","Sáb"))</f>
        <v>Seg</v>
      </c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28">
        <f>IF(OR(B245="",B245&gt;Hoje),"",COUNTIF(D245:M245,"x"))</f>
        <v>0</v>
      </c>
      <c r="O245" s="133" t="str">
        <f>IF(OR(N245="",COUNTA($D$16:$M$16)=0),"",N245/COUNTA($D$16:$M$16))</f>
        <v/>
      </c>
      <c r="Q245">
        <f>IF(D245="x",Q244+1,0)</f>
        <v>0</v>
      </c>
      <c r="R245">
        <f>IF(E245="x",R244+1,0)</f>
        <v>0</v>
      </c>
      <c r="S245">
        <f>IF(F245="x",S244+1,0)</f>
        <v>0</v>
      </c>
      <c r="T245">
        <f>IF(G245="x",T244+1,0)</f>
        <v>0</v>
      </c>
      <c r="U245">
        <f>IF(H245="x",U244+1,0)</f>
        <v>0</v>
      </c>
      <c r="V245">
        <f>IF(I245="x",V244+1,0)</f>
        <v>0</v>
      </c>
      <c r="W245">
        <f>IF(J245="x",W244+1,0)</f>
        <v>0</v>
      </c>
      <c r="X245">
        <f>IF(K245="x",X244+1,0)</f>
        <v>0</v>
      </c>
      <c r="Y245">
        <f>IF(L245="x",Y244+1,0)</f>
        <v>0</v>
      </c>
      <c r="Z245">
        <f>IF(M245="x",Z244+1,0)</f>
        <v>0</v>
      </c>
    </row>
    <row r="246">
      <c r="B246" s="137">
        <f>IF(B245="","",IF(YEAR(B245+1)=Ano,B245+1,""))</f>
        <v>46252.0</v>
      </c>
      <c r="C246" s="128" t="str">
        <f>IF(B246="","",CHOOSE(WEEKDAY(B246),"Dom","Seg","Ter","Qua","Qui","Sex","Sáb"))</f>
        <v>Ter</v>
      </c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28">
        <f>IF(OR(B246="",B246&gt;Hoje),"",COUNTIF(D246:M246,"x"))</f>
        <v>0</v>
      </c>
      <c r="O246" s="133" t="str">
        <f>IF(OR(N246="",COUNTA($D$16:$M$16)=0),"",N246/COUNTA($D$16:$M$16))</f>
        <v/>
      </c>
      <c r="Q246">
        <f>IF(D246="x",Q245+1,0)</f>
        <v>0</v>
      </c>
      <c r="R246">
        <f>IF(E246="x",R245+1,0)</f>
        <v>0</v>
      </c>
      <c r="S246">
        <f>IF(F246="x",S245+1,0)</f>
        <v>0</v>
      </c>
      <c r="T246">
        <f>IF(G246="x",T245+1,0)</f>
        <v>0</v>
      </c>
      <c r="U246">
        <f>IF(H246="x",U245+1,0)</f>
        <v>0</v>
      </c>
      <c r="V246">
        <f>IF(I246="x",V245+1,0)</f>
        <v>0</v>
      </c>
      <c r="W246">
        <f>IF(J246="x",W245+1,0)</f>
        <v>0</v>
      </c>
      <c r="X246">
        <f>IF(K246="x",X245+1,0)</f>
        <v>0</v>
      </c>
      <c r="Y246">
        <f>IF(L246="x",Y245+1,0)</f>
        <v>0</v>
      </c>
      <c r="Z246">
        <f>IF(M246="x",Z245+1,0)</f>
        <v>0</v>
      </c>
    </row>
    <row r="247">
      <c r="B247" s="137">
        <f>IF(B246="","",IF(YEAR(B246+1)=Ano,B246+1,""))</f>
        <v>46253.0</v>
      </c>
      <c r="C247" s="128" t="str">
        <f>IF(B247="","",CHOOSE(WEEKDAY(B247),"Dom","Seg","Ter","Qua","Qui","Sex","Sáb"))</f>
        <v>Qua</v>
      </c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28">
        <f>IF(OR(B247="",B247&gt;Hoje),"",COUNTIF(D247:M247,"x"))</f>
        <v>0</v>
      </c>
      <c r="O247" s="133" t="str">
        <f>IF(OR(N247="",COUNTA($D$16:$M$16)=0),"",N247/COUNTA($D$16:$M$16))</f>
        <v/>
      </c>
      <c r="Q247">
        <f>IF(D247="x",Q246+1,0)</f>
        <v>0</v>
      </c>
      <c r="R247">
        <f>IF(E247="x",R246+1,0)</f>
        <v>0</v>
      </c>
      <c r="S247">
        <f>IF(F247="x",S246+1,0)</f>
        <v>0</v>
      </c>
      <c r="T247">
        <f>IF(G247="x",T246+1,0)</f>
        <v>0</v>
      </c>
      <c r="U247">
        <f>IF(H247="x",U246+1,0)</f>
        <v>0</v>
      </c>
      <c r="V247">
        <f>IF(I247="x",V246+1,0)</f>
        <v>0</v>
      </c>
      <c r="W247">
        <f>IF(J247="x",W246+1,0)</f>
        <v>0</v>
      </c>
      <c r="X247">
        <f>IF(K247="x",X246+1,0)</f>
        <v>0</v>
      </c>
      <c r="Y247">
        <f>IF(L247="x",Y246+1,0)</f>
        <v>0</v>
      </c>
      <c r="Z247">
        <f>IF(M247="x",Z246+1,0)</f>
        <v>0</v>
      </c>
    </row>
    <row r="248">
      <c r="B248" s="137">
        <f>IF(B247="","",IF(YEAR(B247+1)=Ano,B247+1,""))</f>
        <v>46254.0</v>
      </c>
      <c r="C248" s="128" t="str">
        <f>IF(B248="","",CHOOSE(WEEKDAY(B248),"Dom","Seg","Ter","Qua","Qui","Sex","Sáb"))</f>
        <v>Qui</v>
      </c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28">
        <f>IF(OR(B248="",B248&gt;Hoje),"",COUNTIF(D248:M248,"x"))</f>
        <v>0</v>
      </c>
      <c r="O248" s="133" t="str">
        <f>IF(OR(N248="",COUNTA($D$16:$M$16)=0),"",N248/COUNTA($D$16:$M$16))</f>
        <v/>
      </c>
      <c r="Q248">
        <f>IF(D248="x",Q247+1,0)</f>
        <v>0</v>
      </c>
      <c r="R248">
        <f>IF(E248="x",R247+1,0)</f>
        <v>0</v>
      </c>
      <c r="S248">
        <f>IF(F248="x",S247+1,0)</f>
        <v>0</v>
      </c>
      <c r="T248">
        <f>IF(G248="x",T247+1,0)</f>
        <v>0</v>
      </c>
      <c r="U248">
        <f>IF(H248="x",U247+1,0)</f>
        <v>0</v>
      </c>
      <c r="V248">
        <f>IF(I248="x",V247+1,0)</f>
        <v>0</v>
      </c>
      <c r="W248">
        <f>IF(J248="x",W247+1,0)</f>
        <v>0</v>
      </c>
      <c r="X248">
        <f>IF(K248="x",X247+1,0)</f>
        <v>0</v>
      </c>
      <c r="Y248">
        <f>IF(L248="x",Y247+1,0)</f>
        <v>0</v>
      </c>
      <c r="Z248">
        <f>IF(M248="x",Z247+1,0)</f>
        <v>0</v>
      </c>
    </row>
    <row r="249">
      <c r="B249" s="137">
        <f>IF(B248="","",IF(YEAR(B248+1)=Ano,B248+1,""))</f>
        <v>46255.0</v>
      </c>
      <c r="C249" s="128" t="str">
        <f>IF(B249="","",CHOOSE(WEEKDAY(B249),"Dom","Seg","Ter","Qua","Qui","Sex","Sáb"))</f>
        <v>Sex</v>
      </c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28">
        <f>IF(OR(B249="",B249&gt;Hoje),"",COUNTIF(D249:M249,"x"))</f>
        <v>0</v>
      </c>
      <c r="O249" s="133" t="str">
        <f>IF(OR(N249="",COUNTA($D$16:$M$16)=0),"",N249/COUNTA($D$16:$M$16))</f>
        <v/>
      </c>
      <c r="Q249">
        <f>IF(D249="x",Q248+1,0)</f>
        <v>0</v>
      </c>
      <c r="R249">
        <f>IF(E249="x",R248+1,0)</f>
        <v>0</v>
      </c>
      <c r="S249">
        <f>IF(F249="x",S248+1,0)</f>
        <v>0</v>
      </c>
      <c r="T249">
        <f>IF(G249="x",T248+1,0)</f>
        <v>0</v>
      </c>
      <c r="U249">
        <f>IF(H249="x",U248+1,0)</f>
        <v>0</v>
      </c>
      <c r="V249">
        <f>IF(I249="x",V248+1,0)</f>
        <v>0</v>
      </c>
      <c r="W249">
        <f>IF(J249="x",W248+1,0)</f>
        <v>0</v>
      </c>
      <c r="X249">
        <f>IF(K249="x",X248+1,0)</f>
        <v>0</v>
      </c>
      <c r="Y249">
        <f>IF(L249="x",Y248+1,0)</f>
        <v>0</v>
      </c>
      <c r="Z249">
        <f>IF(M249="x",Z248+1,0)</f>
        <v>0</v>
      </c>
    </row>
    <row r="250">
      <c r="B250" s="137">
        <f>IF(B249="","",IF(YEAR(B249+1)=Ano,B249+1,""))</f>
        <v>46256.0</v>
      </c>
      <c r="C250" s="128" t="str">
        <f>IF(B250="","",CHOOSE(WEEKDAY(B250),"Dom","Seg","Ter","Qua","Qui","Sex","Sáb"))</f>
        <v>Sáb</v>
      </c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28">
        <f>IF(OR(B250="",B250&gt;Hoje),"",COUNTIF(D250:M250,"x"))</f>
        <v>0</v>
      </c>
      <c r="O250" s="133" t="str">
        <f>IF(OR(N250="",COUNTA($D$16:$M$16)=0),"",N250/COUNTA($D$16:$M$16))</f>
        <v/>
      </c>
      <c r="Q250">
        <f>IF(D250="x",Q249+1,0)</f>
        <v>0</v>
      </c>
      <c r="R250">
        <f>IF(E250="x",R249+1,0)</f>
        <v>0</v>
      </c>
      <c r="S250">
        <f>IF(F250="x",S249+1,0)</f>
        <v>0</v>
      </c>
      <c r="T250">
        <f>IF(G250="x",T249+1,0)</f>
        <v>0</v>
      </c>
      <c r="U250">
        <f>IF(H250="x",U249+1,0)</f>
        <v>0</v>
      </c>
      <c r="V250">
        <f>IF(I250="x",V249+1,0)</f>
        <v>0</v>
      </c>
      <c r="W250">
        <f>IF(J250="x",W249+1,0)</f>
        <v>0</v>
      </c>
      <c r="X250">
        <f>IF(K250="x",X249+1,0)</f>
        <v>0</v>
      </c>
      <c r="Y250">
        <f>IF(L250="x",Y249+1,0)</f>
        <v>0</v>
      </c>
      <c r="Z250">
        <f>IF(M250="x",Z249+1,0)</f>
        <v>0</v>
      </c>
    </row>
    <row r="251">
      <c r="B251" s="137">
        <f>IF(B250="","",IF(YEAR(B250+1)=Ano,B250+1,""))</f>
        <v>46257.0</v>
      </c>
      <c r="C251" s="128" t="str">
        <f>IF(B251="","",CHOOSE(WEEKDAY(B251),"Dom","Seg","Ter","Qua","Qui","Sex","Sáb"))</f>
        <v>Dom</v>
      </c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28">
        <f>IF(OR(B251="",B251&gt;Hoje),"",COUNTIF(D251:M251,"x"))</f>
        <v>0</v>
      </c>
      <c r="O251" s="133" t="str">
        <f>IF(OR(N251="",COUNTA($D$16:$M$16)=0),"",N251/COUNTA($D$16:$M$16))</f>
        <v/>
      </c>
      <c r="Q251">
        <f>IF(D251="x",Q250+1,0)</f>
        <v>0</v>
      </c>
      <c r="R251">
        <f>IF(E251="x",R250+1,0)</f>
        <v>0</v>
      </c>
      <c r="S251">
        <f>IF(F251="x",S250+1,0)</f>
        <v>0</v>
      </c>
      <c r="T251">
        <f>IF(G251="x",T250+1,0)</f>
        <v>0</v>
      </c>
      <c r="U251">
        <f>IF(H251="x",U250+1,0)</f>
        <v>0</v>
      </c>
      <c r="V251">
        <f>IF(I251="x",V250+1,0)</f>
        <v>0</v>
      </c>
      <c r="W251">
        <f>IF(J251="x",W250+1,0)</f>
        <v>0</v>
      </c>
      <c r="X251">
        <f>IF(K251="x",X250+1,0)</f>
        <v>0</v>
      </c>
      <c r="Y251">
        <f>IF(L251="x",Y250+1,0)</f>
        <v>0</v>
      </c>
      <c r="Z251">
        <f>IF(M251="x",Z250+1,0)</f>
        <v>0</v>
      </c>
    </row>
    <row r="252">
      <c r="B252" s="137">
        <f>IF(B251="","",IF(YEAR(B251+1)=Ano,B251+1,""))</f>
        <v>46258.0</v>
      </c>
      <c r="C252" s="128" t="str">
        <f>IF(B252="","",CHOOSE(WEEKDAY(B252),"Dom","Seg","Ter","Qua","Qui","Sex","Sáb"))</f>
        <v>Seg</v>
      </c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28">
        <f>IF(OR(B252="",B252&gt;Hoje),"",COUNTIF(D252:M252,"x"))</f>
        <v>0</v>
      </c>
      <c r="O252" s="133" t="str">
        <f>IF(OR(N252="",COUNTA($D$16:$M$16)=0),"",N252/COUNTA($D$16:$M$16))</f>
        <v/>
      </c>
      <c r="Q252">
        <f>IF(D252="x",Q251+1,0)</f>
        <v>0</v>
      </c>
      <c r="R252">
        <f>IF(E252="x",R251+1,0)</f>
        <v>0</v>
      </c>
      <c r="S252">
        <f>IF(F252="x",S251+1,0)</f>
        <v>0</v>
      </c>
      <c r="T252">
        <f>IF(G252="x",T251+1,0)</f>
        <v>0</v>
      </c>
      <c r="U252">
        <f>IF(H252="x",U251+1,0)</f>
        <v>0</v>
      </c>
      <c r="V252">
        <f>IF(I252="x",V251+1,0)</f>
        <v>0</v>
      </c>
      <c r="W252">
        <f>IF(J252="x",W251+1,0)</f>
        <v>0</v>
      </c>
      <c r="X252">
        <f>IF(K252="x",X251+1,0)</f>
        <v>0</v>
      </c>
      <c r="Y252">
        <f>IF(L252="x",Y251+1,0)</f>
        <v>0</v>
      </c>
      <c r="Z252">
        <f>IF(M252="x",Z251+1,0)</f>
        <v>0</v>
      </c>
    </row>
    <row r="253">
      <c r="B253" s="137">
        <f>IF(B252="","",IF(YEAR(B252+1)=Ano,B252+1,""))</f>
        <v>46259.0</v>
      </c>
      <c r="C253" s="128" t="str">
        <f>IF(B253="","",CHOOSE(WEEKDAY(B253),"Dom","Seg","Ter","Qua","Qui","Sex","Sáb"))</f>
        <v>Ter</v>
      </c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28">
        <f>IF(OR(B253="",B253&gt;Hoje),"",COUNTIF(D253:M253,"x"))</f>
        <v>0</v>
      </c>
      <c r="O253" s="133" t="str">
        <f>IF(OR(N253="",COUNTA($D$16:$M$16)=0),"",N253/COUNTA($D$16:$M$16))</f>
        <v/>
      </c>
      <c r="Q253">
        <f>IF(D253="x",Q252+1,0)</f>
        <v>0</v>
      </c>
      <c r="R253">
        <f>IF(E253="x",R252+1,0)</f>
        <v>0</v>
      </c>
      <c r="S253">
        <f>IF(F253="x",S252+1,0)</f>
        <v>0</v>
      </c>
      <c r="T253">
        <f>IF(G253="x",T252+1,0)</f>
        <v>0</v>
      </c>
      <c r="U253">
        <f>IF(H253="x",U252+1,0)</f>
        <v>0</v>
      </c>
      <c r="V253">
        <f>IF(I253="x",V252+1,0)</f>
        <v>0</v>
      </c>
      <c r="W253">
        <f>IF(J253="x",W252+1,0)</f>
        <v>0</v>
      </c>
      <c r="X253">
        <f>IF(K253="x",X252+1,0)</f>
        <v>0</v>
      </c>
      <c r="Y253">
        <f>IF(L253="x",Y252+1,0)</f>
        <v>0</v>
      </c>
      <c r="Z253">
        <f>IF(M253="x",Z252+1,0)</f>
        <v>0</v>
      </c>
    </row>
    <row r="254">
      <c r="B254" s="137">
        <f>IF(B253="","",IF(YEAR(B253+1)=Ano,B253+1,""))</f>
        <v>46260.0</v>
      </c>
      <c r="C254" s="128" t="str">
        <f>IF(B254="","",CHOOSE(WEEKDAY(B254),"Dom","Seg","Ter","Qua","Qui","Sex","Sáb"))</f>
        <v>Qua</v>
      </c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28">
        <f>IF(OR(B254="",B254&gt;Hoje),"",COUNTIF(D254:M254,"x"))</f>
        <v>0</v>
      </c>
      <c r="O254" s="133" t="str">
        <f>IF(OR(N254="",COUNTA($D$16:$M$16)=0),"",N254/COUNTA($D$16:$M$16))</f>
        <v/>
      </c>
      <c r="Q254">
        <f>IF(D254="x",Q253+1,0)</f>
        <v>0</v>
      </c>
      <c r="R254">
        <f>IF(E254="x",R253+1,0)</f>
        <v>0</v>
      </c>
      <c r="S254">
        <f>IF(F254="x",S253+1,0)</f>
        <v>0</v>
      </c>
      <c r="T254">
        <f>IF(G254="x",T253+1,0)</f>
        <v>0</v>
      </c>
      <c r="U254">
        <f>IF(H254="x",U253+1,0)</f>
        <v>0</v>
      </c>
      <c r="V254">
        <f>IF(I254="x",V253+1,0)</f>
        <v>0</v>
      </c>
      <c r="W254">
        <f>IF(J254="x",W253+1,0)</f>
        <v>0</v>
      </c>
      <c r="X254">
        <f>IF(K254="x",X253+1,0)</f>
        <v>0</v>
      </c>
      <c r="Y254">
        <f>IF(L254="x",Y253+1,0)</f>
        <v>0</v>
      </c>
      <c r="Z254">
        <f>IF(M254="x",Z253+1,0)</f>
        <v>0</v>
      </c>
    </row>
    <row r="255">
      <c r="B255" s="137">
        <f>IF(B254="","",IF(YEAR(B254+1)=Ano,B254+1,""))</f>
        <v>46261.0</v>
      </c>
      <c r="C255" s="128" t="str">
        <f>IF(B255="","",CHOOSE(WEEKDAY(B255),"Dom","Seg","Ter","Qua","Qui","Sex","Sáb"))</f>
        <v>Qui</v>
      </c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28">
        <f>IF(OR(B255="",B255&gt;Hoje),"",COUNTIF(D255:M255,"x"))</f>
        <v>0</v>
      </c>
      <c r="O255" s="133" t="str">
        <f>IF(OR(N255="",COUNTA($D$16:$M$16)=0),"",N255/COUNTA($D$16:$M$16))</f>
        <v/>
      </c>
      <c r="Q255">
        <f>IF(D255="x",Q254+1,0)</f>
        <v>0</v>
      </c>
      <c r="R255">
        <f>IF(E255="x",R254+1,0)</f>
        <v>0</v>
      </c>
      <c r="S255">
        <f>IF(F255="x",S254+1,0)</f>
        <v>0</v>
      </c>
      <c r="T255">
        <f>IF(G255="x",T254+1,0)</f>
        <v>0</v>
      </c>
      <c r="U255">
        <f>IF(H255="x",U254+1,0)</f>
        <v>0</v>
      </c>
      <c r="V255">
        <f>IF(I255="x",V254+1,0)</f>
        <v>0</v>
      </c>
      <c r="W255">
        <f>IF(J255="x",W254+1,0)</f>
        <v>0</v>
      </c>
      <c r="X255">
        <f>IF(K255="x",X254+1,0)</f>
        <v>0</v>
      </c>
      <c r="Y255">
        <f>IF(L255="x",Y254+1,0)</f>
        <v>0</v>
      </c>
      <c r="Z255">
        <f>IF(M255="x",Z254+1,0)</f>
        <v>0</v>
      </c>
    </row>
    <row r="256">
      <c r="B256" s="137">
        <f>IF(B255="","",IF(YEAR(B255+1)=Ano,B255+1,""))</f>
        <v>46262.0</v>
      </c>
      <c r="C256" s="128" t="str">
        <f>IF(B256="","",CHOOSE(WEEKDAY(B256),"Dom","Seg","Ter","Qua","Qui","Sex","Sáb"))</f>
        <v>Sex</v>
      </c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28">
        <f>IF(OR(B256="",B256&gt;Hoje),"",COUNTIF(D256:M256,"x"))</f>
        <v>0</v>
      </c>
      <c r="O256" s="133" t="str">
        <f>IF(OR(N256="",COUNTA($D$16:$M$16)=0),"",N256/COUNTA($D$16:$M$16))</f>
        <v/>
      </c>
      <c r="Q256">
        <f>IF(D256="x",Q255+1,0)</f>
        <v>0</v>
      </c>
      <c r="R256">
        <f>IF(E256="x",R255+1,0)</f>
        <v>0</v>
      </c>
      <c r="S256">
        <f>IF(F256="x",S255+1,0)</f>
        <v>0</v>
      </c>
      <c r="T256">
        <f>IF(G256="x",T255+1,0)</f>
        <v>0</v>
      </c>
      <c r="U256">
        <f>IF(H256="x",U255+1,0)</f>
        <v>0</v>
      </c>
      <c r="V256">
        <f>IF(I256="x",V255+1,0)</f>
        <v>0</v>
      </c>
      <c r="W256">
        <f>IF(J256="x",W255+1,0)</f>
        <v>0</v>
      </c>
      <c r="X256">
        <f>IF(K256="x",X255+1,0)</f>
        <v>0</v>
      </c>
      <c r="Y256">
        <f>IF(L256="x",Y255+1,0)</f>
        <v>0</v>
      </c>
      <c r="Z256">
        <f>IF(M256="x",Z255+1,0)</f>
        <v>0</v>
      </c>
    </row>
    <row r="257">
      <c r="B257" s="137">
        <f>IF(B256="","",IF(YEAR(B256+1)=Ano,B256+1,""))</f>
        <v>46263.0</v>
      </c>
      <c r="C257" s="128" t="str">
        <f>IF(B257="","",CHOOSE(WEEKDAY(B257),"Dom","Seg","Ter","Qua","Qui","Sex","Sáb"))</f>
        <v>Sáb</v>
      </c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28">
        <f>IF(OR(B257="",B257&gt;Hoje),"",COUNTIF(D257:M257,"x"))</f>
        <v>0</v>
      </c>
      <c r="O257" s="133" t="str">
        <f>IF(OR(N257="",COUNTA($D$16:$M$16)=0),"",N257/COUNTA($D$16:$M$16))</f>
        <v/>
      </c>
      <c r="Q257">
        <f>IF(D257="x",Q256+1,0)</f>
        <v>0</v>
      </c>
      <c r="R257">
        <f>IF(E257="x",R256+1,0)</f>
        <v>0</v>
      </c>
      <c r="S257">
        <f>IF(F257="x",S256+1,0)</f>
        <v>0</v>
      </c>
      <c r="T257">
        <f>IF(G257="x",T256+1,0)</f>
        <v>0</v>
      </c>
      <c r="U257">
        <f>IF(H257="x",U256+1,0)</f>
        <v>0</v>
      </c>
      <c r="V257">
        <f>IF(I257="x",V256+1,0)</f>
        <v>0</v>
      </c>
      <c r="W257">
        <f>IF(J257="x",W256+1,0)</f>
        <v>0</v>
      </c>
      <c r="X257">
        <f>IF(K257="x",X256+1,0)</f>
        <v>0</v>
      </c>
      <c r="Y257">
        <f>IF(L257="x",Y256+1,0)</f>
        <v>0</v>
      </c>
      <c r="Z257">
        <f>IF(M257="x",Z256+1,0)</f>
        <v>0</v>
      </c>
    </row>
    <row r="258">
      <c r="B258" s="137">
        <f>IF(B257="","",IF(YEAR(B257+1)=Ano,B257+1,""))</f>
        <v>46264.0</v>
      </c>
      <c r="C258" s="128" t="str">
        <f>IF(B258="","",CHOOSE(WEEKDAY(B258),"Dom","Seg","Ter","Qua","Qui","Sex","Sáb"))</f>
        <v>Dom</v>
      </c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28">
        <f>IF(OR(B258="",B258&gt;Hoje),"",COUNTIF(D258:M258,"x"))</f>
        <v>0</v>
      </c>
      <c r="O258" s="133" t="str">
        <f>IF(OR(N258="",COUNTA($D$16:$M$16)=0),"",N258/COUNTA($D$16:$M$16))</f>
        <v/>
      </c>
      <c r="Q258">
        <f>IF(D258="x",Q257+1,0)</f>
        <v>0</v>
      </c>
      <c r="R258">
        <f>IF(E258="x",R257+1,0)</f>
        <v>0</v>
      </c>
      <c r="S258">
        <f>IF(F258="x",S257+1,0)</f>
        <v>0</v>
      </c>
      <c r="T258">
        <f>IF(G258="x",T257+1,0)</f>
        <v>0</v>
      </c>
      <c r="U258">
        <f>IF(H258="x",U257+1,0)</f>
        <v>0</v>
      </c>
      <c r="V258">
        <f>IF(I258="x",V257+1,0)</f>
        <v>0</v>
      </c>
      <c r="W258">
        <f>IF(J258="x",W257+1,0)</f>
        <v>0</v>
      </c>
      <c r="X258">
        <f>IF(K258="x",X257+1,0)</f>
        <v>0</v>
      </c>
      <c r="Y258">
        <f>IF(L258="x",Y257+1,0)</f>
        <v>0</v>
      </c>
      <c r="Z258">
        <f>IF(M258="x",Z257+1,0)</f>
        <v>0</v>
      </c>
    </row>
    <row r="259">
      <c r="B259" s="137">
        <f>IF(B258="","",IF(YEAR(B258+1)=Ano,B258+1,""))</f>
        <v>46265.0</v>
      </c>
      <c r="C259" s="128" t="str">
        <f>IF(B259="","",CHOOSE(WEEKDAY(B259),"Dom","Seg","Ter","Qua","Qui","Sex","Sáb"))</f>
        <v>Seg</v>
      </c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28">
        <f>IF(OR(B259="",B259&gt;Hoje),"",COUNTIF(D259:M259,"x"))</f>
        <v>0</v>
      </c>
      <c r="O259" s="133" t="str">
        <f>IF(OR(N259="",COUNTA($D$16:$M$16)=0),"",N259/COUNTA($D$16:$M$16))</f>
        <v/>
      </c>
      <c r="Q259">
        <f>IF(D259="x",Q258+1,0)</f>
        <v>0</v>
      </c>
      <c r="R259">
        <f>IF(E259="x",R258+1,0)</f>
        <v>0</v>
      </c>
      <c r="S259">
        <f>IF(F259="x",S258+1,0)</f>
        <v>0</v>
      </c>
      <c r="T259">
        <f>IF(G259="x",T258+1,0)</f>
        <v>0</v>
      </c>
      <c r="U259">
        <f>IF(H259="x",U258+1,0)</f>
        <v>0</v>
      </c>
      <c r="V259">
        <f>IF(I259="x",V258+1,0)</f>
        <v>0</v>
      </c>
      <c r="W259">
        <f>IF(J259="x",W258+1,0)</f>
        <v>0</v>
      </c>
      <c r="X259">
        <f>IF(K259="x",X258+1,0)</f>
        <v>0</v>
      </c>
      <c r="Y259">
        <f>IF(L259="x",Y258+1,0)</f>
        <v>0</v>
      </c>
      <c r="Z259">
        <f>IF(M259="x",Z258+1,0)</f>
        <v>0</v>
      </c>
    </row>
    <row r="260">
      <c r="B260" s="137">
        <f>IF(B259="","",IF(YEAR(B259+1)=Ano,B259+1,""))</f>
        <v>46266.0</v>
      </c>
      <c r="C260" s="128" t="str">
        <f>IF(B260="","",CHOOSE(WEEKDAY(B260),"Dom","Seg","Ter","Qua","Qui","Sex","Sáb"))</f>
        <v>Ter</v>
      </c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28">
        <f>IF(OR(B260="",B260&gt;Hoje),"",COUNTIF(D260:M260,"x"))</f>
        <v>0</v>
      </c>
      <c r="O260" s="133" t="str">
        <f>IF(OR(N260="",COUNTA($D$16:$M$16)=0),"",N260/COUNTA($D$16:$M$16))</f>
        <v/>
      </c>
      <c r="Q260">
        <f>IF(D260="x",Q259+1,0)</f>
        <v>0</v>
      </c>
      <c r="R260">
        <f>IF(E260="x",R259+1,0)</f>
        <v>0</v>
      </c>
      <c r="S260">
        <f>IF(F260="x",S259+1,0)</f>
        <v>0</v>
      </c>
      <c r="T260">
        <f>IF(G260="x",T259+1,0)</f>
        <v>0</v>
      </c>
      <c r="U260">
        <f>IF(H260="x",U259+1,0)</f>
        <v>0</v>
      </c>
      <c r="V260">
        <f>IF(I260="x",V259+1,0)</f>
        <v>0</v>
      </c>
      <c r="W260">
        <f>IF(J260="x",W259+1,0)</f>
        <v>0</v>
      </c>
      <c r="X260">
        <f>IF(K260="x",X259+1,0)</f>
        <v>0</v>
      </c>
      <c r="Y260">
        <f>IF(L260="x",Y259+1,0)</f>
        <v>0</v>
      </c>
      <c r="Z260">
        <f>IF(M260="x",Z259+1,0)</f>
        <v>0</v>
      </c>
    </row>
    <row r="261">
      <c r="B261" s="137">
        <f>IF(B260="","",IF(YEAR(B260+1)=Ano,B260+1,""))</f>
        <v>46267.0</v>
      </c>
      <c r="C261" s="128" t="str">
        <f>IF(B261="","",CHOOSE(WEEKDAY(B261),"Dom","Seg","Ter","Qua","Qui","Sex","Sáb"))</f>
        <v>Qua</v>
      </c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28">
        <f>IF(OR(B261="",B261&gt;Hoje),"",COUNTIF(D261:M261,"x"))</f>
        <v>0</v>
      </c>
      <c r="O261" s="133" t="str">
        <f>IF(OR(N261="",COUNTA($D$16:$M$16)=0),"",N261/COUNTA($D$16:$M$16))</f>
        <v/>
      </c>
      <c r="Q261">
        <f>IF(D261="x",Q260+1,0)</f>
        <v>0</v>
      </c>
      <c r="R261">
        <f>IF(E261="x",R260+1,0)</f>
        <v>0</v>
      </c>
      <c r="S261">
        <f>IF(F261="x",S260+1,0)</f>
        <v>0</v>
      </c>
      <c r="T261">
        <f>IF(G261="x",T260+1,0)</f>
        <v>0</v>
      </c>
      <c r="U261">
        <f>IF(H261="x",U260+1,0)</f>
        <v>0</v>
      </c>
      <c r="V261">
        <f>IF(I261="x",V260+1,0)</f>
        <v>0</v>
      </c>
      <c r="W261">
        <f>IF(J261="x",W260+1,0)</f>
        <v>0</v>
      </c>
      <c r="X261">
        <f>IF(K261="x",X260+1,0)</f>
        <v>0</v>
      </c>
      <c r="Y261">
        <f>IF(L261="x",Y260+1,0)</f>
        <v>0</v>
      </c>
      <c r="Z261">
        <f>IF(M261="x",Z260+1,0)</f>
        <v>0</v>
      </c>
    </row>
    <row r="262">
      <c r="B262" s="137">
        <f>IF(B261="","",IF(YEAR(B261+1)=Ano,B261+1,""))</f>
        <v>46268.0</v>
      </c>
      <c r="C262" s="128" t="str">
        <f>IF(B262="","",CHOOSE(WEEKDAY(B262),"Dom","Seg","Ter","Qua","Qui","Sex","Sáb"))</f>
        <v>Qui</v>
      </c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28">
        <f>IF(OR(B262="",B262&gt;Hoje),"",COUNTIF(D262:M262,"x"))</f>
        <v>0</v>
      </c>
      <c r="O262" s="133" t="str">
        <f>IF(OR(N262="",COUNTA($D$16:$M$16)=0),"",N262/COUNTA($D$16:$M$16))</f>
        <v/>
      </c>
      <c r="Q262">
        <f>IF(D262="x",Q261+1,0)</f>
        <v>0</v>
      </c>
      <c r="R262">
        <f>IF(E262="x",R261+1,0)</f>
        <v>0</v>
      </c>
      <c r="S262">
        <f>IF(F262="x",S261+1,0)</f>
        <v>0</v>
      </c>
      <c r="T262">
        <f>IF(G262="x",T261+1,0)</f>
        <v>0</v>
      </c>
      <c r="U262">
        <f>IF(H262="x",U261+1,0)</f>
        <v>0</v>
      </c>
      <c r="V262">
        <f>IF(I262="x",V261+1,0)</f>
        <v>0</v>
      </c>
      <c r="W262">
        <f>IF(J262="x",W261+1,0)</f>
        <v>0</v>
      </c>
      <c r="X262">
        <f>IF(K262="x",X261+1,0)</f>
        <v>0</v>
      </c>
      <c r="Y262">
        <f>IF(L262="x",Y261+1,0)</f>
        <v>0</v>
      </c>
      <c r="Z262">
        <f>IF(M262="x",Z261+1,0)</f>
        <v>0</v>
      </c>
    </row>
    <row r="263">
      <c r="B263" s="137">
        <f>IF(B262="","",IF(YEAR(B262+1)=Ano,B262+1,""))</f>
        <v>46269.0</v>
      </c>
      <c r="C263" s="128" t="str">
        <f>IF(B263="","",CHOOSE(WEEKDAY(B263),"Dom","Seg","Ter","Qua","Qui","Sex","Sáb"))</f>
        <v>Sex</v>
      </c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28">
        <f>IF(OR(B263="",B263&gt;Hoje),"",COUNTIF(D263:M263,"x"))</f>
        <v>0</v>
      </c>
      <c r="O263" s="133" t="str">
        <f>IF(OR(N263="",COUNTA($D$16:$M$16)=0),"",N263/COUNTA($D$16:$M$16))</f>
        <v/>
      </c>
      <c r="Q263">
        <f>IF(D263="x",Q262+1,0)</f>
        <v>0</v>
      </c>
      <c r="R263">
        <f>IF(E263="x",R262+1,0)</f>
        <v>0</v>
      </c>
      <c r="S263">
        <f>IF(F263="x",S262+1,0)</f>
        <v>0</v>
      </c>
      <c r="T263">
        <f>IF(G263="x",T262+1,0)</f>
        <v>0</v>
      </c>
      <c r="U263">
        <f>IF(H263="x",U262+1,0)</f>
        <v>0</v>
      </c>
      <c r="V263">
        <f>IF(I263="x",V262+1,0)</f>
        <v>0</v>
      </c>
      <c r="W263">
        <f>IF(J263="x",W262+1,0)</f>
        <v>0</v>
      </c>
      <c r="X263">
        <f>IF(K263="x",X262+1,0)</f>
        <v>0</v>
      </c>
      <c r="Y263">
        <f>IF(L263="x",Y262+1,0)</f>
        <v>0</v>
      </c>
      <c r="Z263">
        <f>IF(M263="x",Z262+1,0)</f>
        <v>0</v>
      </c>
    </row>
    <row r="264">
      <c r="B264" s="137">
        <f>IF(B263="","",IF(YEAR(B263+1)=Ano,B263+1,""))</f>
        <v>46270.0</v>
      </c>
      <c r="C264" s="128" t="str">
        <f>IF(B264="","",CHOOSE(WEEKDAY(B264),"Dom","Seg","Ter","Qua","Qui","Sex","Sáb"))</f>
        <v>Sáb</v>
      </c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28">
        <f>IF(OR(B264="",B264&gt;Hoje),"",COUNTIF(D264:M264,"x"))</f>
        <v>0</v>
      </c>
      <c r="O264" s="133" t="str">
        <f>IF(OR(N264="",COUNTA($D$16:$M$16)=0),"",N264/COUNTA($D$16:$M$16))</f>
        <v/>
      </c>
      <c r="Q264">
        <f>IF(D264="x",Q263+1,0)</f>
        <v>0</v>
      </c>
      <c r="R264">
        <f>IF(E264="x",R263+1,0)</f>
        <v>0</v>
      </c>
      <c r="S264">
        <f>IF(F264="x",S263+1,0)</f>
        <v>0</v>
      </c>
      <c r="T264">
        <f>IF(G264="x",T263+1,0)</f>
        <v>0</v>
      </c>
      <c r="U264">
        <f>IF(H264="x",U263+1,0)</f>
        <v>0</v>
      </c>
      <c r="V264">
        <f>IF(I264="x",V263+1,0)</f>
        <v>0</v>
      </c>
      <c r="W264">
        <f>IF(J264="x",W263+1,0)</f>
        <v>0</v>
      </c>
      <c r="X264">
        <f>IF(K264="x",X263+1,0)</f>
        <v>0</v>
      </c>
      <c r="Y264">
        <f>IF(L264="x",Y263+1,0)</f>
        <v>0</v>
      </c>
      <c r="Z264">
        <f>IF(M264="x",Z263+1,0)</f>
        <v>0</v>
      </c>
    </row>
    <row r="265">
      <c r="B265" s="137">
        <f>IF(B264="","",IF(YEAR(B264+1)=Ano,B264+1,""))</f>
        <v>46271.0</v>
      </c>
      <c r="C265" s="128" t="str">
        <f>IF(B265="","",CHOOSE(WEEKDAY(B265),"Dom","Seg","Ter","Qua","Qui","Sex","Sáb"))</f>
        <v>Dom</v>
      </c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28">
        <f>IF(OR(B265="",B265&gt;Hoje),"",COUNTIF(D265:M265,"x"))</f>
        <v>0</v>
      </c>
      <c r="O265" s="133" t="str">
        <f>IF(OR(N265="",COUNTA($D$16:$M$16)=0),"",N265/COUNTA($D$16:$M$16))</f>
        <v/>
      </c>
      <c r="Q265">
        <f>IF(D265="x",Q264+1,0)</f>
        <v>0</v>
      </c>
      <c r="R265">
        <f>IF(E265="x",R264+1,0)</f>
        <v>0</v>
      </c>
      <c r="S265">
        <f>IF(F265="x",S264+1,0)</f>
        <v>0</v>
      </c>
      <c r="T265">
        <f>IF(G265="x",T264+1,0)</f>
        <v>0</v>
      </c>
      <c r="U265">
        <f>IF(H265="x",U264+1,0)</f>
        <v>0</v>
      </c>
      <c r="V265">
        <f>IF(I265="x",V264+1,0)</f>
        <v>0</v>
      </c>
      <c r="W265">
        <f>IF(J265="x",W264+1,0)</f>
        <v>0</v>
      </c>
      <c r="X265">
        <f>IF(K265="x",X264+1,0)</f>
        <v>0</v>
      </c>
      <c r="Y265">
        <f>IF(L265="x",Y264+1,0)</f>
        <v>0</v>
      </c>
      <c r="Z265">
        <f>IF(M265="x",Z264+1,0)</f>
        <v>0</v>
      </c>
    </row>
    <row r="266">
      <c r="B266" s="137">
        <f>IF(B265="","",IF(YEAR(B265+1)=Ano,B265+1,""))</f>
        <v>46272.0</v>
      </c>
      <c r="C266" s="128" t="str">
        <f>IF(B266="","",CHOOSE(WEEKDAY(B266),"Dom","Seg","Ter","Qua","Qui","Sex","Sáb"))</f>
        <v>Seg</v>
      </c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28">
        <f>IF(OR(B266="",B266&gt;Hoje),"",COUNTIF(D266:M266,"x"))</f>
        <v>0</v>
      </c>
      <c r="O266" s="133" t="str">
        <f>IF(OR(N266="",COUNTA($D$16:$M$16)=0),"",N266/COUNTA($D$16:$M$16))</f>
        <v/>
      </c>
      <c r="Q266">
        <f>IF(D266="x",Q265+1,0)</f>
        <v>0</v>
      </c>
      <c r="R266">
        <f>IF(E266="x",R265+1,0)</f>
        <v>0</v>
      </c>
      <c r="S266">
        <f>IF(F266="x",S265+1,0)</f>
        <v>0</v>
      </c>
      <c r="T266">
        <f>IF(G266="x",T265+1,0)</f>
        <v>0</v>
      </c>
      <c r="U266">
        <f>IF(H266="x",U265+1,0)</f>
        <v>0</v>
      </c>
      <c r="V266">
        <f>IF(I266="x",V265+1,0)</f>
        <v>0</v>
      </c>
      <c r="W266">
        <f>IF(J266="x",W265+1,0)</f>
        <v>0</v>
      </c>
      <c r="X266">
        <f>IF(K266="x",X265+1,0)</f>
        <v>0</v>
      </c>
      <c r="Y266">
        <f>IF(L266="x",Y265+1,0)</f>
        <v>0</v>
      </c>
      <c r="Z266">
        <f>IF(M266="x",Z265+1,0)</f>
        <v>0</v>
      </c>
    </row>
    <row r="267">
      <c r="B267" s="137">
        <f>IF(B266="","",IF(YEAR(B266+1)=Ano,B266+1,""))</f>
        <v>46273.0</v>
      </c>
      <c r="C267" s="128" t="str">
        <f>IF(B267="","",CHOOSE(WEEKDAY(B267),"Dom","Seg","Ter","Qua","Qui","Sex","Sáb"))</f>
        <v>Ter</v>
      </c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28">
        <f>IF(OR(B267="",B267&gt;Hoje),"",COUNTIF(D267:M267,"x"))</f>
        <v>0</v>
      </c>
      <c r="O267" s="133" t="str">
        <f>IF(OR(N267="",COUNTA($D$16:$M$16)=0),"",N267/COUNTA($D$16:$M$16))</f>
        <v/>
      </c>
      <c r="Q267">
        <f>IF(D267="x",Q266+1,0)</f>
        <v>0</v>
      </c>
      <c r="R267">
        <f>IF(E267="x",R266+1,0)</f>
        <v>0</v>
      </c>
      <c r="S267">
        <f>IF(F267="x",S266+1,0)</f>
        <v>0</v>
      </c>
      <c r="T267">
        <f>IF(G267="x",T266+1,0)</f>
        <v>0</v>
      </c>
      <c r="U267">
        <f>IF(H267="x",U266+1,0)</f>
        <v>0</v>
      </c>
      <c r="V267">
        <f>IF(I267="x",V266+1,0)</f>
        <v>0</v>
      </c>
      <c r="W267">
        <f>IF(J267="x",W266+1,0)</f>
        <v>0</v>
      </c>
      <c r="X267">
        <f>IF(K267="x",X266+1,0)</f>
        <v>0</v>
      </c>
      <c r="Y267">
        <f>IF(L267="x",Y266+1,0)</f>
        <v>0</v>
      </c>
      <c r="Z267">
        <f>IF(M267="x",Z266+1,0)</f>
        <v>0</v>
      </c>
    </row>
    <row r="268">
      <c r="B268" s="137">
        <f>IF(B267="","",IF(YEAR(B267+1)=Ano,B267+1,""))</f>
        <v>46274.0</v>
      </c>
      <c r="C268" s="128" t="str">
        <f>IF(B268="","",CHOOSE(WEEKDAY(B268),"Dom","Seg","Ter","Qua","Qui","Sex","Sáb"))</f>
        <v>Qua</v>
      </c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28">
        <f>IF(OR(B268="",B268&gt;Hoje),"",COUNTIF(D268:M268,"x"))</f>
        <v>0</v>
      </c>
      <c r="O268" s="133" t="str">
        <f>IF(OR(N268="",COUNTA($D$16:$M$16)=0),"",N268/COUNTA($D$16:$M$16))</f>
        <v/>
      </c>
      <c r="Q268">
        <f>IF(D268="x",Q267+1,0)</f>
        <v>0</v>
      </c>
      <c r="R268">
        <f>IF(E268="x",R267+1,0)</f>
        <v>0</v>
      </c>
      <c r="S268">
        <f>IF(F268="x",S267+1,0)</f>
        <v>0</v>
      </c>
      <c r="T268">
        <f>IF(G268="x",T267+1,0)</f>
        <v>0</v>
      </c>
      <c r="U268">
        <f>IF(H268="x",U267+1,0)</f>
        <v>0</v>
      </c>
      <c r="V268">
        <f>IF(I268="x",V267+1,0)</f>
        <v>0</v>
      </c>
      <c r="W268">
        <f>IF(J268="x",W267+1,0)</f>
        <v>0</v>
      </c>
      <c r="X268">
        <f>IF(K268="x",X267+1,0)</f>
        <v>0</v>
      </c>
      <c r="Y268">
        <f>IF(L268="x",Y267+1,0)</f>
        <v>0</v>
      </c>
      <c r="Z268">
        <f>IF(M268="x",Z267+1,0)</f>
        <v>0</v>
      </c>
    </row>
    <row r="269">
      <c r="B269" s="137">
        <f>IF(B268="","",IF(YEAR(B268+1)=Ano,B268+1,""))</f>
        <v>46275.0</v>
      </c>
      <c r="C269" s="128" t="str">
        <f>IF(B269="","",CHOOSE(WEEKDAY(B269),"Dom","Seg","Ter","Qua","Qui","Sex","Sáb"))</f>
        <v>Qui</v>
      </c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28">
        <f>IF(OR(B269="",B269&gt;Hoje),"",COUNTIF(D269:M269,"x"))</f>
        <v>0</v>
      </c>
      <c r="O269" s="133" t="str">
        <f>IF(OR(N269="",COUNTA($D$16:$M$16)=0),"",N269/COUNTA($D$16:$M$16))</f>
        <v/>
      </c>
      <c r="Q269">
        <f>IF(D269="x",Q268+1,0)</f>
        <v>0</v>
      </c>
      <c r="R269">
        <f>IF(E269="x",R268+1,0)</f>
        <v>0</v>
      </c>
      <c r="S269">
        <f>IF(F269="x",S268+1,0)</f>
        <v>0</v>
      </c>
      <c r="T269">
        <f>IF(G269="x",T268+1,0)</f>
        <v>0</v>
      </c>
      <c r="U269">
        <f>IF(H269="x",U268+1,0)</f>
        <v>0</v>
      </c>
      <c r="V269">
        <f>IF(I269="x",V268+1,0)</f>
        <v>0</v>
      </c>
      <c r="W269">
        <f>IF(J269="x",W268+1,0)</f>
        <v>0</v>
      </c>
      <c r="X269">
        <f>IF(K269="x",X268+1,0)</f>
        <v>0</v>
      </c>
      <c r="Y269">
        <f>IF(L269="x",Y268+1,0)</f>
        <v>0</v>
      </c>
      <c r="Z269">
        <f>IF(M269="x",Z268+1,0)</f>
        <v>0</v>
      </c>
    </row>
    <row r="270">
      <c r="B270" s="137">
        <f>IF(B269="","",IF(YEAR(B269+1)=Ano,B269+1,""))</f>
        <v>46276.0</v>
      </c>
      <c r="C270" s="128" t="str">
        <f>IF(B270="","",CHOOSE(WEEKDAY(B270),"Dom","Seg","Ter","Qua","Qui","Sex","Sáb"))</f>
        <v>Sex</v>
      </c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28">
        <f>IF(OR(B270="",B270&gt;Hoje),"",COUNTIF(D270:M270,"x"))</f>
        <v>0</v>
      </c>
      <c r="O270" s="133" t="str">
        <f>IF(OR(N270="",COUNTA($D$16:$M$16)=0),"",N270/COUNTA($D$16:$M$16))</f>
        <v/>
      </c>
      <c r="Q270">
        <f>IF(D270="x",Q269+1,0)</f>
        <v>0</v>
      </c>
      <c r="R270">
        <f>IF(E270="x",R269+1,0)</f>
        <v>0</v>
      </c>
      <c r="S270">
        <f>IF(F270="x",S269+1,0)</f>
        <v>0</v>
      </c>
      <c r="T270">
        <f>IF(G270="x",T269+1,0)</f>
        <v>0</v>
      </c>
      <c r="U270">
        <f>IF(H270="x",U269+1,0)</f>
        <v>0</v>
      </c>
      <c r="V270">
        <f>IF(I270="x",V269+1,0)</f>
        <v>0</v>
      </c>
      <c r="W270">
        <f>IF(J270="x",W269+1,0)</f>
        <v>0</v>
      </c>
      <c r="X270">
        <f>IF(K270="x",X269+1,0)</f>
        <v>0</v>
      </c>
      <c r="Y270">
        <f>IF(L270="x",Y269+1,0)</f>
        <v>0</v>
      </c>
      <c r="Z270">
        <f>IF(M270="x",Z269+1,0)</f>
        <v>0</v>
      </c>
    </row>
    <row r="271">
      <c r="B271" s="137">
        <f>IF(B270="","",IF(YEAR(B270+1)=Ano,B270+1,""))</f>
        <v>46277.0</v>
      </c>
      <c r="C271" s="128" t="str">
        <f>IF(B271="","",CHOOSE(WEEKDAY(B271),"Dom","Seg","Ter","Qua","Qui","Sex","Sáb"))</f>
        <v>Sáb</v>
      </c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28">
        <f>IF(OR(B271="",B271&gt;Hoje),"",COUNTIF(D271:M271,"x"))</f>
        <v>0</v>
      </c>
      <c r="O271" s="133" t="str">
        <f>IF(OR(N271="",COUNTA($D$16:$M$16)=0),"",N271/COUNTA($D$16:$M$16))</f>
        <v/>
      </c>
      <c r="Q271">
        <f>IF(D271="x",Q270+1,0)</f>
        <v>0</v>
      </c>
      <c r="R271">
        <f>IF(E271="x",R270+1,0)</f>
        <v>0</v>
      </c>
      <c r="S271">
        <f>IF(F271="x",S270+1,0)</f>
        <v>0</v>
      </c>
      <c r="T271">
        <f>IF(G271="x",T270+1,0)</f>
        <v>0</v>
      </c>
      <c r="U271">
        <f>IF(H271="x",U270+1,0)</f>
        <v>0</v>
      </c>
      <c r="V271">
        <f>IF(I271="x",V270+1,0)</f>
        <v>0</v>
      </c>
      <c r="W271">
        <f>IF(J271="x",W270+1,0)</f>
        <v>0</v>
      </c>
      <c r="X271">
        <f>IF(K271="x",X270+1,0)</f>
        <v>0</v>
      </c>
      <c r="Y271">
        <f>IF(L271="x",Y270+1,0)</f>
        <v>0</v>
      </c>
      <c r="Z271">
        <f>IF(M271="x",Z270+1,0)</f>
        <v>0</v>
      </c>
    </row>
    <row r="272">
      <c r="B272" s="137">
        <f>IF(B271="","",IF(YEAR(B271+1)=Ano,B271+1,""))</f>
        <v>46278.0</v>
      </c>
      <c r="C272" s="128" t="str">
        <f>IF(B272="","",CHOOSE(WEEKDAY(B272),"Dom","Seg","Ter","Qua","Qui","Sex","Sáb"))</f>
        <v>Dom</v>
      </c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28">
        <f>IF(OR(B272="",B272&gt;Hoje),"",COUNTIF(D272:M272,"x"))</f>
        <v>0</v>
      </c>
      <c r="O272" s="133" t="str">
        <f>IF(OR(N272="",COUNTA($D$16:$M$16)=0),"",N272/COUNTA($D$16:$M$16))</f>
        <v/>
      </c>
      <c r="Q272">
        <f>IF(D272="x",Q271+1,0)</f>
        <v>0</v>
      </c>
      <c r="R272">
        <f>IF(E272="x",R271+1,0)</f>
        <v>0</v>
      </c>
      <c r="S272">
        <f>IF(F272="x",S271+1,0)</f>
        <v>0</v>
      </c>
      <c r="T272">
        <f>IF(G272="x",T271+1,0)</f>
        <v>0</v>
      </c>
      <c r="U272">
        <f>IF(H272="x",U271+1,0)</f>
        <v>0</v>
      </c>
      <c r="V272">
        <f>IF(I272="x",V271+1,0)</f>
        <v>0</v>
      </c>
      <c r="W272">
        <f>IF(J272="x",W271+1,0)</f>
        <v>0</v>
      </c>
      <c r="X272">
        <f>IF(K272="x",X271+1,0)</f>
        <v>0</v>
      </c>
      <c r="Y272">
        <f>IF(L272="x",Y271+1,0)</f>
        <v>0</v>
      </c>
      <c r="Z272">
        <f>IF(M272="x",Z271+1,0)</f>
        <v>0</v>
      </c>
    </row>
    <row r="273">
      <c r="B273" s="137">
        <f>IF(B272="","",IF(YEAR(B272+1)=Ano,B272+1,""))</f>
        <v>46279.0</v>
      </c>
      <c r="C273" s="128" t="str">
        <f>IF(B273="","",CHOOSE(WEEKDAY(B273),"Dom","Seg","Ter","Qua","Qui","Sex","Sáb"))</f>
        <v>Seg</v>
      </c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28">
        <f>IF(OR(B273="",B273&gt;Hoje),"",COUNTIF(D273:M273,"x"))</f>
        <v>0</v>
      </c>
      <c r="O273" s="133" t="str">
        <f>IF(OR(N273="",COUNTA($D$16:$M$16)=0),"",N273/COUNTA($D$16:$M$16))</f>
        <v/>
      </c>
      <c r="Q273">
        <f>IF(D273="x",Q272+1,0)</f>
        <v>0</v>
      </c>
      <c r="R273">
        <f>IF(E273="x",R272+1,0)</f>
        <v>0</v>
      </c>
      <c r="S273">
        <f>IF(F273="x",S272+1,0)</f>
        <v>0</v>
      </c>
      <c r="T273">
        <f>IF(G273="x",T272+1,0)</f>
        <v>0</v>
      </c>
      <c r="U273">
        <f>IF(H273="x",U272+1,0)</f>
        <v>0</v>
      </c>
      <c r="V273">
        <f>IF(I273="x",V272+1,0)</f>
        <v>0</v>
      </c>
      <c r="W273">
        <f>IF(J273="x",W272+1,0)</f>
        <v>0</v>
      </c>
      <c r="X273">
        <f>IF(K273="x",X272+1,0)</f>
        <v>0</v>
      </c>
      <c r="Y273">
        <f>IF(L273="x",Y272+1,0)</f>
        <v>0</v>
      </c>
      <c r="Z273">
        <f>IF(M273="x",Z272+1,0)</f>
        <v>0</v>
      </c>
    </row>
    <row r="274">
      <c r="B274" s="137">
        <f>IF(B273="","",IF(YEAR(B273+1)=Ano,B273+1,""))</f>
        <v>46280.0</v>
      </c>
      <c r="C274" s="128" t="str">
        <f>IF(B274="","",CHOOSE(WEEKDAY(B274),"Dom","Seg","Ter","Qua","Qui","Sex","Sáb"))</f>
        <v>Ter</v>
      </c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28">
        <f>IF(OR(B274="",B274&gt;Hoje),"",COUNTIF(D274:M274,"x"))</f>
        <v>0</v>
      </c>
      <c r="O274" s="133" t="str">
        <f>IF(OR(N274="",COUNTA($D$16:$M$16)=0),"",N274/COUNTA($D$16:$M$16))</f>
        <v/>
      </c>
      <c r="Q274">
        <f>IF(D274="x",Q273+1,0)</f>
        <v>0</v>
      </c>
      <c r="R274">
        <f>IF(E274="x",R273+1,0)</f>
        <v>0</v>
      </c>
      <c r="S274">
        <f>IF(F274="x",S273+1,0)</f>
        <v>0</v>
      </c>
      <c r="T274">
        <f>IF(G274="x",T273+1,0)</f>
        <v>0</v>
      </c>
      <c r="U274">
        <f>IF(H274="x",U273+1,0)</f>
        <v>0</v>
      </c>
      <c r="V274">
        <f>IF(I274="x",V273+1,0)</f>
        <v>0</v>
      </c>
      <c r="W274">
        <f>IF(J274="x",W273+1,0)</f>
        <v>0</v>
      </c>
      <c r="X274">
        <f>IF(K274="x",X273+1,0)</f>
        <v>0</v>
      </c>
      <c r="Y274">
        <f>IF(L274="x",Y273+1,0)</f>
        <v>0</v>
      </c>
      <c r="Z274">
        <f>IF(M274="x",Z273+1,0)</f>
        <v>0</v>
      </c>
    </row>
    <row r="275">
      <c r="B275" s="137">
        <f>IF(B274="","",IF(YEAR(B274+1)=Ano,B274+1,""))</f>
        <v>46281.0</v>
      </c>
      <c r="C275" s="128" t="str">
        <f>IF(B275="","",CHOOSE(WEEKDAY(B275),"Dom","Seg","Ter","Qua","Qui","Sex","Sáb"))</f>
        <v>Qua</v>
      </c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28">
        <f>IF(OR(B275="",B275&gt;Hoje),"",COUNTIF(D275:M275,"x"))</f>
        <v>0</v>
      </c>
      <c r="O275" s="133" t="str">
        <f>IF(OR(N275="",COUNTA($D$16:$M$16)=0),"",N275/COUNTA($D$16:$M$16))</f>
        <v/>
      </c>
      <c r="Q275">
        <f>IF(D275="x",Q274+1,0)</f>
        <v>0</v>
      </c>
      <c r="R275">
        <f>IF(E275="x",R274+1,0)</f>
        <v>0</v>
      </c>
      <c r="S275">
        <f>IF(F275="x",S274+1,0)</f>
        <v>0</v>
      </c>
      <c r="T275">
        <f>IF(G275="x",T274+1,0)</f>
        <v>0</v>
      </c>
      <c r="U275">
        <f>IF(H275="x",U274+1,0)</f>
        <v>0</v>
      </c>
      <c r="V275">
        <f>IF(I275="x",V274+1,0)</f>
        <v>0</v>
      </c>
      <c r="W275">
        <f>IF(J275="x",W274+1,0)</f>
        <v>0</v>
      </c>
      <c r="X275">
        <f>IF(K275="x",X274+1,0)</f>
        <v>0</v>
      </c>
      <c r="Y275">
        <f>IF(L275="x",Y274+1,0)</f>
        <v>0</v>
      </c>
      <c r="Z275">
        <f>IF(M275="x",Z274+1,0)</f>
        <v>0</v>
      </c>
    </row>
    <row r="276">
      <c r="B276" s="137">
        <f>IF(B275="","",IF(YEAR(B275+1)=Ano,B275+1,""))</f>
        <v>46282.0</v>
      </c>
      <c r="C276" s="128" t="str">
        <f>IF(B276="","",CHOOSE(WEEKDAY(B276),"Dom","Seg","Ter","Qua","Qui","Sex","Sáb"))</f>
        <v>Qui</v>
      </c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28">
        <f>IF(OR(B276="",B276&gt;Hoje),"",COUNTIF(D276:M276,"x"))</f>
        <v>0</v>
      </c>
      <c r="O276" s="133" t="str">
        <f>IF(OR(N276="",COUNTA($D$16:$M$16)=0),"",N276/COUNTA($D$16:$M$16))</f>
        <v/>
      </c>
      <c r="Q276">
        <f>IF(D276="x",Q275+1,0)</f>
        <v>0</v>
      </c>
      <c r="R276">
        <f>IF(E276="x",R275+1,0)</f>
        <v>0</v>
      </c>
      <c r="S276">
        <f>IF(F276="x",S275+1,0)</f>
        <v>0</v>
      </c>
      <c r="T276">
        <f>IF(G276="x",T275+1,0)</f>
        <v>0</v>
      </c>
      <c r="U276">
        <f>IF(H276="x",U275+1,0)</f>
        <v>0</v>
      </c>
      <c r="V276">
        <f>IF(I276="x",V275+1,0)</f>
        <v>0</v>
      </c>
      <c r="W276">
        <f>IF(J276="x",W275+1,0)</f>
        <v>0</v>
      </c>
      <c r="X276">
        <f>IF(K276="x",X275+1,0)</f>
        <v>0</v>
      </c>
      <c r="Y276">
        <f>IF(L276="x",Y275+1,0)</f>
        <v>0</v>
      </c>
      <c r="Z276">
        <f>IF(M276="x",Z275+1,0)</f>
        <v>0</v>
      </c>
    </row>
    <row r="277">
      <c r="B277" s="137">
        <f>IF(B276="","",IF(YEAR(B276+1)=Ano,B276+1,""))</f>
        <v>46283.0</v>
      </c>
      <c r="C277" s="128" t="str">
        <f>IF(B277="","",CHOOSE(WEEKDAY(B277),"Dom","Seg","Ter","Qua","Qui","Sex","Sáb"))</f>
        <v>Sex</v>
      </c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28">
        <f>IF(OR(B277="",B277&gt;Hoje),"",COUNTIF(D277:M277,"x"))</f>
        <v>0</v>
      </c>
      <c r="O277" s="133" t="str">
        <f>IF(OR(N277="",COUNTA($D$16:$M$16)=0),"",N277/COUNTA($D$16:$M$16))</f>
        <v/>
      </c>
      <c r="Q277">
        <f>IF(D277="x",Q276+1,0)</f>
        <v>0</v>
      </c>
      <c r="R277">
        <f>IF(E277="x",R276+1,0)</f>
        <v>0</v>
      </c>
      <c r="S277">
        <f>IF(F277="x",S276+1,0)</f>
        <v>0</v>
      </c>
      <c r="T277">
        <f>IF(G277="x",T276+1,0)</f>
        <v>0</v>
      </c>
      <c r="U277">
        <f>IF(H277="x",U276+1,0)</f>
        <v>0</v>
      </c>
      <c r="V277">
        <f>IF(I277="x",V276+1,0)</f>
        <v>0</v>
      </c>
      <c r="W277">
        <f>IF(J277="x",W276+1,0)</f>
        <v>0</v>
      </c>
      <c r="X277">
        <f>IF(K277="x",X276+1,0)</f>
        <v>0</v>
      </c>
      <c r="Y277">
        <f>IF(L277="x",Y276+1,0)</f>
        <v>0</v>
      </c>
      <c r="Z277">
        <f>IF(M277="x",Z276+1,0)</f>
        <v>0</v>
      </c>
    </row>
    <row r="278">
      <c r="B278" s="137">
        <f>IF(B277="","",IF(YEAR(B277+1)=Ano,B277+1,""))</f>
        <v>46284.0</v>
      </c>
      <c r="C278" s="128" t="str">
        <f>IF(B278="","",CHOOSE(WEEKDAY(B278),"Dom","Seg","Ter","Qua","Qui","Sex","Sáb"))</f>
        <v>Sáb</v>
      </c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28">
        <f>IF(OR(B278="",B278&gt;Hoje),"",COUNTIF(D278:M278,"x"))</f>
        <v>0</v>
      </c>
      <c r="O278" s="133" t="str">
        <f>IF(OR(N278="",COUNTA($D$16:$M$16)=0),"",N278/COUNTA($D$16:$M$16))</f>
        <v/>
      </c>
      <c r="Q278">
        <f>IF(D278="x",Q277+1,0)</f>
        <v>0</v>
      </c>
      <c r="R278">
        <f>IF(E278="x",R277+1,0)</f>
        <v>0</v>
      </c>
      <c r="S278">
        <f>IF(F278="x",S277+1,0)</f>
        <v>0</v>
      </c>
      <c r="T278">
        <f>IF(G278="x",T277+1,0)</f>
        <v>0</v>
      </c>
      <c r="U278">
        <f>IF(H278="x",U277+1,0)</f>
        <v>0</v>
      </c>
      <c r="V278">
        <f>IF(I278="x",V277+1,0)</f>
        <v>0</v>
      </c>
      <c r="W278">
        <f>IF(J278="x",W277+1,0)</f>
        <v>0</v>
      </c>
      <c r="X278">
        <f>IF(K278="x",X277+1,0)</f>
        <v>0</v>
      </c>
      <c r="Y278">
        <f>IF(L278="x",Y277+1,0)</f>
        <v>0</v>
      </c>
      <c r="Z278">
        <f>IF(M278="x",Z277+1,0)</f>
        <v>0</v>
      </c>
    </row>
    <row r="279">
      <c r="B279" s="137">
        <f>IF(B278="","",IF(YEAR(B278+1)=Ano,B278+1,""))</f>
        <v>46285.0</v>
      </c>
      <c r="C279" s="128" t="str">
        <f>IF(B279="","",CHOOSE(WEEKDAY(B279),"Dom","Seg","Ter","Qua","Qui","Sex","Sáb"))</f>
        <v>Dom</v>
      </c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28">
        <f>IF(OR(B279="",B279&gt;Hoje),"",COUNTIF(D279:M279,"x"))</f>
        <v>0</v>
      </c>
      <c r="O279" s="133" t="str">
        <f>IF(OR(N279="",COUNTA($D$16:$M$16)=0),"",N279/COUNTA($D$16:$M$16))</f>
        <v/>
      </c>
      <c r="Q279">
        <f>IF(D279="x",Q278+1,0)</f>
        <v>0</v>
      </c>
      <c r="R279">
        <f>IF(E279="x",R278+1,0)</f>
        <v>0</v>
      </c>
      <c r="S279">
        <f>IF(F279="x",S278+1,0)</f>
        <v>0</v>
      </c>
      <c r="T279">
        <f>IF(G279="x",T278+1,0)</f>
        <v>0</v>
      </c>
      <c r="U279">
        <f>IF(H279="x",U278+1,0)</f>
        <v>0</v>
      </c>
      <c r="V279">
        <f>IF(I279="x",V278+1,0)</f>
        <v>0</v>
      </c>
      <c r="W279">
        <f>IF(J279="x",W278+1,0)</f>
        <v>0</v>
      </c>
      <c r="X279">
        <f>IF(K279="x",X278+1,0)</f>
        <v>0</v>
      </c>
      <c r="Y279">
        <f>IF(L279="x",Y278+1,0)</f>
        <v>0</v>
      </c>
      <c r="Z279">
        <f>IF(M279="x",Z278+1,0)</f>
        <v>0</v>
      </c>
    </row>
    <row r="280">
      <c r="B280" s="137">
        <f>IF(B279="","",IF(YEAR(B279+1)=Ano,B279+1,""))</f>
        <v>46286.0</v>
      </c>
      <c r="C280" s="128" t="str">
        <f>IF(B280="","",CHOOSE(WEEKDAY(B280),"Dom","Seg","Ter","Qua","Qui","Sex","Sáb"))</f>
        <v>Seg</v>
      </c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28">
        <f>IF(OR(B280="",B280&gt;Hoje),"",COUNTIF(D280:M280,"x"))</f>
        <v>0</v>
      </c>
      <c r="O280" s="133" t="str">
        <f>IF(OR(N280="",COUNTA($D$16:$M$16)=0),"",N280/COUNTA($D$16:$M$16))</f>
        <v/>
      </c>
      <c r="Q280">
        <f>IF(D280="x",Q279+1,0)</f>
        <v>0</v>
      </c>
      <c r="R280">
        <f>IF(E280="x",R279+1,0)</f>
        <v>0</v>
      </c>
      <c r="S280">
        <f>IF(F280="x",S279+1,0)</f>
        <v>0</v>
      </c>
      <c r="T280">
        <f>IF(G280="x",T279+1,0)</f>
        <v>0</v>
      </c>
      <c r="U280">
        <f>IF(H280="x",U279+1,0)</f>
        <v>0</v>
      </c>
      <c r="V280">
        <f>IF(I280="x",V279+1,0)</f>
        <v>0</v>
      </c>
      <c r="W280">
        <f>IF(J280="x",W279+1,0)</f>
        <v>0</v>
      </c>
      <c r="X280">
        <f>IF(K280="x",X279+1,0)</f>
        <v>0</v>
      </c>
      <c r="Y280">
        <f>IF(L280="x",Y279+1,0)</f>
        <v>0</v>
      </c>
      <c r="Z280">
        <f>IF(M280="x",Z279+1,0)</f>
        <v>0</v>
      </c>
    </row>
    <row r="281">
      <c r="B281" s="137">
        <f>IF(B280="","",IF(YEAR(B280+1)=Ano,B280+1,""))</f>
        <v>46287.0</v>
      </c>
      <c r="C281" s="128" t="str">
        <f>IF(B281="","",CHOOSE(WEEKDAY(B281),"Dom","Seg","Ter","Qua","Qui","Sex","Sáb"))</f>
        <v>Ter</v>
      </c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28">
        <f>IF(OR(B281="",B281&gt;Hoje),"",COUNTIF(D281:M281,"x"))</f>
        <v>0</v>
      </c>
      <c r="O281" s="133" t="str">
        <f>IF(OR(N281="",COUNTA($D$16:$M$16)=0),"",N281/COUNTA($D$16:$M$16))</f>
        <v/>
      </c>
      <c r="Q281">
        <f>IF(D281="x",Q280+1,0)</f>
        <v>0</v>
      </c>
      <c r="R281">
        <f>IF(E281="x",R280+1,0)</f>
        <v>0</v>
      </c>
      <c r="S281">
        <f>IF(F281="x",S280+1,0)</f>
        <v>0</v>
      </c>
      <c r="T281">
        <f>IF(G281="x",T280+1,0)</f>
        <v>0</v>
      </c>
      <c r="U281">
        <f>IF(H281="x",U280+1,0)</f>
        <v>0</v>
      </c>
      <c r="V281">
        <f>IF(I281="x",V280+1,0)</f>
        <v>0</v>
      </c>
      <c r="W281">
        <f>IF(J281="x",W280+1,0)</f>
        <v>0</v>
      </c>
      <c r="X281">
        <f>IF(K281="x",X280+1,0)</f>
        <v>0</v>
      </c>
      <c r="Y281">
        <f>IF(L281="x",Y280+1,0)</f>
        <v>0</v>
      </c>
      <c r="Z281">
        <f>IF(M281="x",Z280+1,0)</f>
        <v>0</v>
      </c>
    </row>
    <row r="282">
      <c r="B282" s="137">
        <f>IF(B281="","",IF(YEAR(B281+1)=Ano,B281+1,""))</f>
        <v>46288.0</v>
      </c>
      <c r="C282" s="128" t="str">
        <f>IF(B282="","",CHOOSE(WEEKDAY(B282),"Dom","Seg","Ter","Qua","Qui","Sex","Sáb"))</f>
        <v>Qua</v>
      </c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28">
        <f>IF(OR(B282="",B282&gt;Hoje),"",COUNTIF(D282:M282,"x"))</f>
        <v>0</v>
      </c>
      <c r="O282" s="133" t="str">
        <f>IF(OR(N282="",COUNTA($D$16:$M$16)=0),"",N282/COUNTA($D$16:$M$16))</f>
        <v/>
      </c>
      <c r="Q282">
        <f>IF(D282="x",Q281+1,0)</f>
        <v>0</v>
      </c>
      <c r="R282">
        <f>IF(E282="x",R281+1,0)</f>
        <v>0</v>
      </c>
      <c r="S282">
        <f>IF(F282="x",S281+1,0)</f>
        <v>0</v>
      </c>
      <c r="T282">
        <f>IF(G282="x",T281+1,0)</f>
        <v>0</v>
      </c>
      <c r="U282">
        <f>IF(H282="x",U281+1,0)</f>
        <v>0</v>
      </c>
      <c r="V282">
        <f>IF(I282="x",V281+1,0)</f>
        <v>0</v>
      </c>
      <c r="W282">
        <f>IF(J282="x",W281+1,0)</f>
        <v>0</v>
      </c>
      <c r="X282">
        <f>IF(K282="x",X281+1,0)</f>
        <v>0</v>
      </c>
      <c r="Y282">
        <f>IF(L282="x",Y281+1,0)</f>
        <v>0</v>
      </c>
      <c r="Z282">
        <f>IF(M282="x",Z281+1,0)</f>
        <v>0</v>
      </c>
    </row>
    <row r="283">
      <c r="B283" s="137">
        <f>IF(B282="","",IF(YEAR(B282+1)=Ano,B282+1,""))</f>
        <v>46289.0</v>
      </c>
      <c r="C283" s="128" t="str">
        <f>IF(B283="","",CHOOSE(WEEKDAY(B283),"Dom","Seg","Ter","Qua","Qui","Sex","Sáb"))</f>
        <v>Qui</v>
      </c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28">
        <f>IF(OR(B283="",B283&gt;Hoje),"",COUNTIF(D283:M283,"x"))</f>
        <v>0</v>
      </c>
      <c r="O283" s="133" t="str">
        <f>IF(OR(N283="",COUNTA($D$16:$M$16)=0),"",N283/COUNTA($D$16:$M$16))</f>
        <v/>
      </c>
      <c r="Q283">
        <f>IF(D283="x",Q282+1,0)</f>
        <v>0</v>
      </c>
      <c r="R283">
        <f>IF(E283="x",R282+1,0)</f>
        <v>0</v>
      </c>
      <c r="S283">
        <f>IF(F283="x",S282+1,0)</f>
        <v>0</v>
      </c>
      <c r="T283">
        <f>IF(G283="x",T282+1,0)</f>
        <v>0</v>
      </c>
      <c r="U283">
        <f>IF(H283="x",U282+1,0)</f>
        <v>0</v>
      </c>
      <c r="V283">
        <f>IF(I283="x",V282+1,0)</f>
        <v>0</v>
      </c>
      <c r="W283">
        <f>IF(J283="x",W282+1,0)</f>
        <v>0</v>
      </c>
      <c r="X283">
        <f>IF(K283="x",X282+1,0)</f>
        <v>0</v>
      </c>
      <c r="Y283">
        <f>IF(L283="x",Y282+1,0)</f>
        <v>0</v>
      </c>
      <c r="Z283">
        <f>IF(M283="x",Z282+1,0)</f>
        <v>0</v>
      </c>
    </row>
    <row r="284">
      <c r="B284" s="137">
        <f>IF(B283="","",IF(YEAR(B283+1)=Ano,B283+1,""))</f>
        <v>46290.0</v>
      </c>
      <c r="C284" s="128" t="str">
        <f>IF(B284="","",CHOOSE(WEEKDAY(B284),"Dom","Seg","Ter","Qua","Qui","Sex","Sáb"))</f>
        <v>Sex</v>
      </c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28">
        <f>IF(OR(B284="",B284&gt;Hoje),"",COUNTIF(D284:M284,"x"))</f>
        <v>0</v>
      </c>
      <c r="O284" s="133" t="str">
        <f>IF(OR(N284="",COUNTA($D$16:$M$16)=0),"",N284/COUNTA($D$16:$M$16))</f>
        <v/>
      </c>
      <c r="Q284">
        <f>IF(D284="x",Q283+1,0)</f>
        <v>0</v>
      </c>
      <c r="R284">
        <f>IF(E284="x",R283+1,0)</f>
        <v>0</v>
      </c>
      <c r="S284">
        <f>IF(F284="x",S283+1,0)</f>
        <v>0</v>
      </c>
      <c r="T284">
        <f>IF(G284="x",T283+1,0)</f>
        <v>0</v>
      </c>
      <c r="U284">
        <f>IF(H284="x",U283+1,0)</f>
        <v>0</v>
      </c>
      <c r="V284">
        <f>IF(I284="x",V283+1,0)</f>
        <v>0</v>
      </c>
      <c r="W284">
        <f>IF(J284="x",W283+1,0)</f>
        <v>0</v>
      </c>
      <c r="X284">
        <f>IF(K284="x",X283+1,0)</f>
        <v>0</v>
      </c>
      <c r="Y284">
        <f>IF(L284="x",Y283+1,0)</f>
        <v>0</v>
      </c>
      <c r="Z284">
        <f>IF(M284="x",Z283+1,0)</f>
        <v>0</v>
      </c>
    </row>
    <row r="285">
      <c r="B285" s="137">
        <f>IF(B284="","",IF(YEAR(B284+1)=Ano,B284+1,""))</f>
        <v>46291.0</v>
      </c>
      <c r="C285" s="128" t="str">
        <f>IF(B285="","",CHOOSE(WEEKDAY(B285),"Dom","Seg","Ter","Qua","Qui","Sex","Sáb"))</f>
        <v>Sáb</v>
      </c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28">
        <f>IF(OR(B285="",B285&gt;Hoje),"",COUNTIF(D285:M285,"x"))</f>
        <v>0</v>
      </c>
      <c r="O285" s="133" t="str">
        <f>IF(OR(N285="",COUNTA($D$16:$M$16)=0),"",N285/COUNTA($D$16:$M$16))</f>
        <v/>
      </c>
      <c r="Q285">
        <f>IF(D285="x",Q284+1,0)</f>
        <v>0</v>
      </c>
      <c r="R285">
        <f>IF(E285="x",R284+1,0)</f>
        <v>0</v>
      </c>
      <c r="S285">
        <f>IF(F285="x",S284+1,0)</f>
        <v>0</v>
      </c>
      <c r="T285">
        <f>IF(G285="x",T284+1,0)</f>
        <v>0</v>
      </c>
      <c r="U285">
        <f>IF(H285="x",U284+1,0)</f>
        <v>0</v>
      </c>
      <c r="V285">
        <f>IF(I285="x",V284+1,0)</f>
        <v>0</v>
      </c>
      <c r="W285">
        <f>IF(J285="x",W284+1,0)</f>
        <v>0</v>
      </c>
      <c r="X285">
        <f>IF(K285="x",X284+1,0)</f>
        <v>0</v>
      </c>
      <c r="Y285">
        <f>IF(L285="x",Y284+1,0)</f>
        <v>0</v>
      </c>
      <c r="Z285">
        <f>IF(M285="x",Z284+1,0)</f>
        <v>0</v>
      </c>
    </row>
    <row r="286">
      <c r="B286" s="137">
        <f>IF(B285="","",IF(YEAR(B285+1)=Ano,B285+1,""))</f>
        <v>46292.0</v>
      </c>
      <c r="C286" s="128" t="str">
        <f>IF(B286="","",CHOOSE(WEEKDAY(B286),"Dom","Seg","Ter","Qua","Qui","Sex","Sáb"))</f>
        <v>Dom</v>
      </c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28">
        <f>IF(OR(B286="",B286&gt;Hoje),"",COUNTIF(D286:M286,"x"))</f>
        <v>0</v>
      </c>
      <c r="O286" s="133" t="str">
        <f>IF(OR(N286="",COUNTA($D$16:$M$16)=0),"",N286/COUNTA($D$16:$M$16))</f>
        <v/>
      </c>
      <c r="Q286">
        <f>IF(D286="x",Q285+1,0)</f>
        <v>0</v>
      </c>
      <c r="R286">
        <f>IF(E286="x",R285+1,0)</f>
        <v>0</v>
      </c>
      <c r="S286">
        <f>IF(F286="x",S285+1,0)</f>
        <v>0</v>
      </c>
      <c r="T286">
        <f>IF(G286="x",T285+1,0)</f>
        <v>0</v>
      </c>
      <c r="U286">
        <f>IF(H286="x",U285+1,0)</f>
        <v>0</v>
      </c>
      <c r="V286">
        <f>IF(I286="x",V285+1,0)</f>
        <v>0</v>
      </c>
      <c r="W286">
        <f>IF(J286="x",W285+1,0)</f>
        <v>0</v>
      </c>
      <c r="X286">
        <f>IF(K286="x",X285+1,0)</f>
        <v>0</v>
      </c>
      <c r="Y286">
        <f>IF(L286="x",Y285+1,0)</f>
        <v>0</v>
      </c>
      <c r="Z286">
        <f>IF(M286="x",Z285+1,0)</f>
        <v>0</v>
      </c>
    </row>
    <row r="287">
      <c r="B287" s="137">
        <f>IF(B286="","",IF(YEAR(B286+1)=Ano,B286+1,""))</f>
        <v>46293.0</v>
      </c>
      <c r="C287" s="128" t="str">
        <f>IF(B287="","",CHOOSE(WEEKDAY(B287),"Dom","Seg","Ter","Qua","Qui","Sex","Sáb"))</f>
        <v>Seg</v>
      </c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28">
        <f>IF(OR(B287="",B287&gt;Hoje),"",COUNTIF(D287:M287,"x"))</f>
        <v>0</v>
      </c>
      <c r="O287" s="133" t="str">
        <f>IF(OR(N287="",COUNTA($D$16:$M$16)=0),"",N287/COUNTA($D$16:$M$16))</f>
        <v/>
      </c>
      <c r="Q287">
        <f>IF(D287="x",Q286+1,0)</f>
        <v>0</v>
      </c>
      <c r="R287">
        <f>IF(E287="x",R286+1,0)</f>
        <v>0</v>
      </c>
      <c r="S287">
        <f>IF(F287="x",S286+1,0)</f>
        <v>0</v>
      </c>
      <c r="T287">
        <f>IF(G287="x",T286+1,0)</f>
        <v>0</v>
      </c>
      <c r="U287">
        <f>IF(H287="x",U286+1,0)</f>
        <v>0</v>
      </c>
      <c r="V287">
        <f>IF(I287="x",V286+1,0)</f>
        <v>0</v>
      </c>
      <c r="W287">
        <f>IF(J287="x",W286+1,0)</f>
        <v>0</v>
      </c>
      <c r="X287">
        <f>IF(K287="x",X286+1,0)</f>
        <v>0</v>
      </c>
      <c r="Y287">
        <f>IF(L287="x",Y286+1,0)</f>
        <v>0</v>
      </c>
      <c r="Z287">
        <f>IF(M287="x",Z286+1,0)</f>
        <v>0</v>
      </c>
    </row>
    <row r="288">
      <c r="B288" s="137">
        <f>IF(B287="","",IF(YEAR(B287+1)=Ano,B287+1,""))</f>
        <v>46294.0</v>
      </c>
      <c r="C288" s="128" t="str">
        <f>IF(B288="","",CHOOSE(WEEKDAY(B288),"Dom","Seg","Ter","Qua","Qui","Sex","Sáb"))</f>
        <v>Ter</v>
      </c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28">
        <f>IF(OR(B288="",B288&gt;Hoje),"",COUNTIF(D288:M288,"x"))</f>
        <v>0</v>
      </c>
      <c r="O288" s="133" t="str">
        <f>IF(OR(N288="",COUNTA($D$16:$M$16)=0),"",N288/COUNTA($D$16:$M$16))</f>
        <v/>
      </c>
      <c r="Q288">
        <f>IF(D288="x",Q287+1,0)</f>
        <v>0</v>
      </c>
      <c r="R288">
        <f>IF(E288="x",R287+1,0)</f>
        <v>0</v>
      </c>
      <c r="S288">
        <f>IF(F288="x",S287+1,0)</f>
        <v>0</v>
      </c>
      <c r="T288">
        <f>IF(G288="x",T287+1,0)</f>
        <v>0</v>
      </c>
      <c r="U288">
        <f>IF(H288="x",U287+1,0)</f>
        <v>0</v>
      </c>
      <c r="V288">
        <f>IF(I288="x",V287+1,0)</f>
        <v>0</v>
      </c>
      <c r="W288">
        <f>IF(J288="x",W287+1,0)</f>
        <v>0</v>
      </c>
      <c r="X288">
        <f>IF(K288="x",X287+1,0)</f>
        <v>0</v>
      </c>
      <c r="Y288">
        <f>IF(L288="x",Y287+1,0)</f>
        <v>0</v>
      </c>
      <c r="Z288">
        <f>IF(M288="x",Z287+1,0)</f>
        <v>0</v>
      </c>
    </row>
    <row r="289">
      <c r="B289" s="137">
        <f>IF(B288="","",IF(YEAR(B288+1)=Ano,B288+1,""))</f>
        <v>46295.0</v>
      </c>
      <c r="C289" s="128" t="str">
        <f>IF(B289="","",CHOOSE(WEEKDAY(B289),"Dom","Seg","Ter","Qua","Qui","Sex","Sáb"))</f>
        <v>Qua</v>
      </c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28">
        <f>IF(OR(B289="",B289&gt;Hoje),"",COUNTIF(D289:M289,"x"))</f>
        <v>0</v>
      </c>
      <c r="O289" s="133" t="str">
        <f>IF(OR(N289="",COUNTA($D$16:$M$16)=0),"",N289/COUNTA($D$16:$M$16))</f>
        <v/>
      </c>
      <c r="Q289">
        <f>IF(D289="x",Q288+1,0)</f>
        <v>0</v>
      </c>
      <c r="R289">
        <f>IF(E289="x",R288+1,0)</f>
        <v>0</v>
      </c>
      <c r="S289">
        <f>IF(F289="x",S288+1,0)</f>
        <v>0</v>
      </c>
      <c r="T289">
        <f>IF(G289="x",T288+1,0)</f>
        <v>0</v>
      </c>
      <c r="U289">
        <f>IF(H289="x",U288+1,0)</f>
        <v>0</v>
      </c>
      <c r="V289">
        <f>IF(I289="x",V288+1,0)</f>
        <v>0</v>
      </c>
      <c r="W289">
        <f>IF(J289="x",W288+1,0)</f>
        <v>0</v>
      </c>
      <c r="X289">
        <f>IF(K289="x",X288+1,0)</f>
        <v>0</v>
      </c>
      <c r="Y289">
        <f>IF(L289="x",Y288+1,0)</f>
        <v>0</v>
      </c>
      <c r="Z289">
        <f>IF(M289="x",Z288+1,0)</f>
        <v>0</v>
      </c>
    </row>
    <row r="290">
      <c r="B290" s="137">
        <f>IF(B289="","",IF(YEAR(B289+1)=Ano,B289+1,""))</f>
        <v>46296.0</v>
      </c>
      <c r="C290" s="128" t="str">
        <f>IF(B290="","",CHOOSE(WEEKDAY(B290),"Dom","Seg","Ter","Qua","Qui","Sex","Sáb"))</f>
        <v>Qui</v>
      </c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28">
        <f>IF(OR(B290="",B290&gt;Hoje),"",COUNTIF(D290:M290,"x"))</f>
        <v>0</v>
      </c>
      <c r="O290" s="133" t="str">
        <f>IF(OR(N290="",COUNTA($D$16:$M$16)=0),"",N290/COUNTA($D$16:$M$16))</f>
        <v/>
      </c>
      <c r="Q290">
        <f>IF(D290="x",Q289+1,0)</f>
        <v>0</v>
      </c>
      <c r="R290">
        <f>IF(E290="x",R289+1,0)</f>
        <v>0</v>
      </c>
      <c r="S290">
        <f>IF(F290="x",S289+1,0)</f>
        <v>0</v>
      </c>
      <c r="T290">
        <f>IF(G290="x",T289+1,0)</f>
        <v>0</v>
      </c>
      <c r="U290">
        <f>IF(H290="x",U289+1,0)</f>
        <v>0</v>
      </c>
      <c r="V290">
        <f>IF(I290="x",V289+1,0)</f>
        <v>0</v>
      </c>
      <c r="W290">
        <f>IF(J290="x",W289+1,0)</f>
        <v>0</v>
      </c>
      <c r="X290">
        <f>IF(K290="x",X289+1,0)</f>
        <v>0</v>
      </c>
      <c r="Y290">
        <f>IF(L290="x",Y289+1,0)</f>
        <v>0</v>
      </c>
      <c r="Z290">
        <f>IF(M290="x",Z289+1,0)</f>
        <v>0</v>
      </c>
    </row>
    <row r="291">
      <c r="B291" s="137">
        <f>IF(B290="","",IF(YEAR(B290+1)=Ano,B290+1,""))</f>
        <v>46297.0</v>
      </c>
      <c r="C291" s="128" t="str">
        <f>IF(B291="","",CHOOSE(WEEKDAY(B291),"Dom","Seg","Ter","Qua","Qui","Sex","Sáb"))</f>
        <v>Sex</v>
      </c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28">
        <f>IF(OR(B291="",B291&gt;Hoje),"",COUNTIF(D291:M291,"x"))</f>
        <v>0</v>
      </c>
      <c r="O291" s="133" t="str">
        <f>IF(OR(N291="",COUNTA($D$16:$M$16)=0),"",N291/COUNTA($D$16:$M$16))</f>
        <v/>
      </c>
      <c r="Q291">
        <f>IF(D291="x",Q290+1,0)</f>
        <v>0</v>
      </c>
      <c r="R291">
        <f>IF(E291="x",R290+1,0)</f>
        <v>0</v>
      </c>
      <c r="S291">
        <f>IF(F291="x",S290+1,0)</f>
        <v>0</v>
      </c>
      <c r="T291">
        <f>IF(G291="x",T290+1,0)</f>
        <v>0</v>
      </c>
      <c r="U291">
        <f>IF(H291="x",U290+1,0)</f>
        <v>0</v>
      </c>
      <c r="V291">
        <f>IF(I291="x",V290+1,0)</f>
        <v>0</v>
      </c>
      <c r="W291">
        <f>IF(J291="x",W290+1,0)</f>
        <v>0</v>
      </c>
      <c r="X291">
        <f>IF(K291="x",X290+1,0)</f>
        <v>0</v>
      </c>
      <c r="Y291">
        <f>IF(L291="x",Y290+1,0)</f>
        <v>0</v>
      </c>
      <c r="Z291">
        <f>IF(M291="x",Z290+1,0)</f>
        <v>0</v>
      </c>
    </row>
    <row r="292">
      <c r="B292" s="137">
        <f>IF(B291="","",IF(YEAR(B291+1)=Ano,B291+1,""))</f>
        <v>46298.0</v>
      </c>
      <c r="C292" s="128" t="str">
        <f>IF(B292="","",CHOOSE(WEEKDAY(B292),"Dom","Seg","Ter","Qua","Qui","Sex","Sáb"))</f>
        <v>Sáb</v>
      </c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28" t="str">
        <f>IF(OR(B292="",B292&gt;Hoje),"",COUNTIF(D292:M292,"x"))</f>
        <v/>
      </c>
      <c r="O292" s="133" t="str">
        <f>IF(OR(N292="",COUNTA($D$16:$M$16)=0),"",N292/COUNTA($D$16:$M$16))</f>
        <v/>
      </c>
      <c r="Q292">
        <f>IF(D292="x",Q291+1,0)</f>
        <v>0</v>
      </c>
      <c r="R292">
        <f>IF(E292="x",R291+1,0)</f>
        <v>0</v>
      </c>
      <c r="S292">
        <f>IF(F292="x",S291+1,0)</f>
        <v>0</v>
      </c>
      <c r="T292">
        <f>IF(G292="x",T291+1,0)</f>
        <v>0</v>
      </c>
      <c r="U292">
        <f>IF(H292="x",U291+1,0)</f>
        <v>0</v>
      </c>
      <c r="V292">
        <f>IF(I292="x",V291+1,0)</f>
        <v>0</v>
      </c>
      <c r="W292">
        <f>IF(J292="x",W291+1,0)</f>
        <v>0</v>
      </c>
      <c r="X292">
        <f>IF(K292="x",X291+1,0)</f>
        <v>0</v>
      </c>
      <c r="Y292">
        <f>IF(L292="x",Y291+1,0)</f>
        <v>0</v>
      </c>
      <c r="Z292">
        <f>IF(M292="x",Z291+1,0)</f>
        <v>0</v>
      </c>
    </row>
    <row r="293">
      <c r="B293" s="137">
        <f>IF(B292="","",IF(YEAR(B292+1)=Ano,B292+1,""))</f>
        <v>46299.0</v>
      </c>
      <c r="C293" s="128" t="str">
        <f>IF(B293="","",CHOOSE(WEEKDAY(B293),"Dom","Seg","Ter","Qua","Qui","Sex","Sáb"))</f>
        <v>Dom</v>
      </c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28" t="str">
        <f>IF(OR(B293="",B293&gt;Hoje),"",COUNTIF(D293:M293,"x"))</f>
        <v/>
      </c>
      <c r="O293" s="133" t="str">
        <f>IF(OR(N293="",COUNTA($D$16:$M$16)=0),"",N293/COUNTA($D$16:$M$16))</f>
        <v/>
      </c>
      <c r="Q293">
        <f>IF(D293="x",Q292+1,0)</f>
        <v>0</v>
      </c>
      <c r="R293">
        <f>IF(E293="x",R292+1,0)</f>
        <v>0</v>
      </c>
      <c r="S293">
        <f>IF(F293="x",S292+1,0)</f>
        <v>0</v>
      </c>
      <c r="T293">
        <f>IF(G293="x",T292+1,0)</f>
        <v>0</v>
      </c>
      <c r="U293">
        <f>IF(H293="x",U292+1,0)</f>
        <v>0</v>
      </c>
      <c r="V293">
        <f>IF(I293="x",V292+1,0)</f>
        <v>0</v>
      </c>
      <c r="W293">
        <f>IF(J293="x",W292+1,0)</f>
        <v>0</v>
      </c>
      <c r="X293">
        <f>IF(K293="x",X292+1,0)</f>
        <v>0</v>
      </c>
      <c r="Y293">
        <f>IF(L293="x",Y292+1,0)</f>
        <v>0</v>
      </c>
      <c r="Z293">
        <f>IF(M293="x",Z292+1,0)</f>
        <v>0</v>
      </c>
    </row>
    <row r="294">
      <c r="B294" s="137">
        <f>IF(B293="","",IF(YEAR(B293+1)=Ano,B293+1,""))</f>
        <v>46300.0</v>
      </c>
      <c r="C294" s="128" t="str">
        <f>IF(B294="","",CHOOSE(WEEKDAY(B294),"Dom","Seg","Ter","Qua","Qui","Sex","Sáb"))</f>
        <v>Seg</v>
      </c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28" t="str">
        <f>IF(OR(B294="",B294&gt;Hoje),"",COUNTIF(D294:M294,"x"))</f>
        <v/>
      </c>
      <c r="O294" s="133" t="str">
        <f>IF(OR(N294="",COUNTA($D$16:$M$16)=0),"",N294/COUNTA($D$16:$M$16))</f>
        <v/>
      </c>
      <c r="Q294">
        <f>IF(D294="x",Q293+1,0)</f>
        <v>0</v>
      </c>
      <c r="R294">
        <f>IF(E294="x",R293+1,0)</f>
        <v>0</v>
      </c>
      <c r="S294">
        <f>IF(F294="x",S293+1,0)</f>
        <v>0</v>
      </c>
      <c r="T294">
        <f>IF(G294="x",T293+1,0)</f>
        <v>0</v>
      </c>
      <c r="U294">
        <f>IF(H294="x",U293+1,0)</f>
        <v>0</v>
      </c>
      <c r="V294">
        <f>IF(I294="x",V293+1,0)</f>
        <v>0</v>
      </c>
      <c r="W294">
        <f>IF(J294="x",W293+1,0)</f>
        <v>0</v>
      </c>
      <c r="X294">
        <f>IF(K294="x",X293+1,0)</f>
        <v>0</v>
      </c>
      <c r="Y294">
        <f>IF(L294="x",Y293+1,0)</f>
        <v>0</v>
      </c>
      <c r="Z294">
        <f>IF(M294="x",Z293+1,0)</f>
        <v>0</v>
      </c>
    </row>
    <row r="295">
      <c r="B295" s="137">
        <f>IF(B294="","",IF(YEAR(B294+1)=Ano,B294+1,""))</f>
        <v>46301.0</v>
      </c>
      <c r="C295" s="128" t="str">
        <f>IF(B295="","",CHOOSE(WEEKDAY(B295),"Dom","Seg","Ter","Qua","Qui","Sex","Sáb"))</f>
        <v>Ter</v>
      </c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28" t="str">
        <f>IF(OR(B295="",B295&gt;Hoje),"",COUNTIF(D295:M295,"x"))</f>
        <v/>
      </c>
      <c r="O295" s="133" t="str">
        <f>IF(OR(N295="",COUNTA($D$16:$M$16)=0),"",N295/COUNTA($D$16:$M$16))</f>
        <v/>
      </c>
      <c r="Q295">
        <f>IF(D295="x",Q294+1,0)</f>
        <v>0</v>
      </c>
      <c r="R295">
        <f>IF(E295="x",R294+1,0)</f>
        <v>0</v>
      </c>
      <c r="S295">
        <f>IF(F295="x",S294+1,0)</f>
        <v>0</v>
      </c>
      <c r="T295">
        <f>IF(G295="x",T294+1,0)</f>
        <v>0</v>
      </c>
      <c r="U295">
        <f>IF(H295="x",U294+1,0)</f>
        <v>0</v>
      </c>
      <c r="V295">
        <f>IF(I295="x",V294+1,0)</f>
        <v>0</v>
      </c>
      <c r="W295">
        <f>IF(J295="x",W294+1,0)</f>
        <v>0</v>
      </c>
      <c r="X295">
        <f>IF(K295="x",X294+1,0)</f>
        <v>0</v>
      </c>
      <c r="Y295">
        <f>IF(L295="x",Y294+1,0)</f>
        <v>0</v>
      </c>
      <c r="Z295">
        <f>IF(M295="x",Z294+1,0)</f>
        <v>0</v>
      </c>
    </row>
    <row r="296">
      <c r="B296" s="137">
        <f>IF(B295="","",IF(YEAR(B295+1)=Ano,B295+1,""))</f>
        <v>46302.0</v>
      </c>
      <c r="C296" s="128" t="str">
        <f>IF(B296="","",CHOOSE(WEEKDAY(B296),"Dom","Seg","Ter","Qua","Qui","Sex","Sáb"))</f>
        <v>Qua</v>
      </c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28" t="str">
        <f>IF(OR(B296="",B296&gt;Hoje),"",COUNTIF(D296:M296,"x"))</f>
        <v/>
      </c>
      <c r="O296" s="133" t="str">
        <f>IF(OR(N296="",COUNTA($D$16:$M$16)=0),"",N296/COUNTA($D$16:$M$16))</f>
        <v/>
      </c>
      <c r="Q296">
        <f>IF(D296="x",Q295+1,0)</f>
        <v>0</v>
      </c>
      <c r="R296">
        <f>IF(E296="x",R295+1,0)</f>
        <v>0</v>
      </c>
      <c r="S296">
        <f>IF(F296="x",S295+1,0)</f>
        <v>0</v>
      </c>
      <c r="T296">
        <f>IF(G296="x",T295+1,0)</f>
        <v>0</v>
      </c>
      <c r="U296">
        <f>IF(H296="x",U295+1,0)</f>
        <v>0</v>
      </c>
      <c r="V296">
        <f>IF(I296="x",V295+1,0)</f>
        <v>0</v>
      </c>
      <c r="W296">
        <f>IF(J296="x",W295+1,0)</f>
        <v>0</v>
      </c>
      <c r="X296">
        <f>IF(K296="x",X295+1,0)</f>
        <v>0</v>
      </c>
      <c r="Y296">
        <f>IF(L296="x",Y295+1,0)</f>
        <v>0</v>
      </c>
      <c r="Z296">
        <f>IF(M296="x",Z295+1,0)</f>
        <v>0</v>
      </c>
    </row>
    <row r="297">
      <c r="B297" s="137">
        <f>IF(B296="","",IF(YEAR(B296+1)=Ano,B296+1,""))</f>
        <v>46303.0</v>
      </c>
      <c r="C297" s="128" t="str">
        <f>IF(B297="","",CHOOSE(WEEKDAY(B297),"Dom","Seg","Ter","Qua","Qui","Sex","Sáb"))</f>
        <v>Qui</v>
      </c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28" t="str">
        <f>IF(OR(B297="",B297&gt;Hoje),"",COUNTIF(D297:M297,"x"))</f>
        <v/>
      </c>
      <c r="O297" s="133" t="str">
        <f>IF(OR(N297="",COUNTA($D$16:$M$16)=0),"",N297/COUNTA($D$16:$M$16))</f>
        <v/>
      </c>
      <c r="Q297">
        <f>IF(D297="x",Q296+1,0)</f>
        <v>0</v>
      </c>
      <c r="R297">
        <f>IF(E297="x",R296+1,0)</f>
        <v>0</v>
      </c>
      <c r="S297">
        <f>IF(F297="x",S296+1,0)</f>
        <v>0</v>
      </c>
      <c r="T297">
        <f>IF(G297="x",T296+1,0)</f>
        <v>0</v>
      </c>
      <c r="U297">
        <f>IF(H297="x",U296+1,0)</f>
        <v>0</v>
      </c>
      <c r="V297">
        <f>IF(I297="x",V296+1,0)</f>
        <v>0</v>
      </c>
      <c r="W297">
        <f>IF(J297="x",W296+1,0)</f>
        <v>0</v>
      </c>
      <c r="X297">
        <f>IF(K297="x",X296+1,0)</f>
        <v>0</v>
      </c>
      <c r="Y297">
        <f>IF(L297="x",Y296+1,0)</f>
        <v>0</v>
      </c>
      <c r="Z297">
        <f>IF(M297="x",Z296+1,0)</f>
        <v>0</v>
      </c>
    </row>
    <row r="298">
      <c r="B298" s="137">
        <f>IF(B297="","",IF(YEAR(B297+1)=Ano,B297+1,""))</f>
        <v>46304.0</v>
      </c>
      <c r="C298" s="128" t="str">
        <f>IF(B298="","",CHOOSE(WEEKDAY(B298),"Dom","Seg","Ter","Qua","Qui","Sex","Sáb"))</f>
        <v>Sex</v>
      </c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28" t="str">
        <f>IF(OR(B298="",B298&gt;Hoje),"",COUNTIF(D298:M298,"x"))</f>
        <v/>
      </c>
      <c r="O298" s="133" t="str">
        <f>IF(OR(N298="",COUNTA($D$16:$M$16)=0),"",N298/COUNTA($D$16:$M$16))</f>
        <v/>
      </c>
      <c r="Q298">
        <f>IF(D298="x",Q297+1,0)</f>
        <v>0</v>
      </c>
      <c r="R298">
        <f>IF(E298="x",R297+1,0)</f>
        <v>0</v>
      </c>
      <c r="S298">
        <f>IF(F298="x",S297+1,0)</f>
        <v>0</v>
      </c>
      <c r="T298">
        <f>IF(G298="x",T297+1,0)</f>
        <v>0</v>
      </c>
      <c r="U298">
        <f>IF(H298="x",U297+1,0)</f>
        <v>0</v>
      </c>
      <c r="V298">
        <f>IF(I298="x",V297+1,0)</f>
        <v>0</v>
      </c>
      <c r="W298">
        <f>IF(J298="x",W297+1,0)</f>
        <v>0</v>
      </c>
      <c r="X298">
        <f>IF(K298="x",X297+1,0)</f>
        <v>0</v>
      </c>
      <c r="Y298">
        <f>IF(L298="x",Y297+1,0)</f>
        <v>0</v>
      </c>
      <c r="Z298">
        <f>IF(M298="x",Z297+1,0)</f>
        <v>0</v>
      </c>
    </row>
    <row r="299">
      <c r="B299" s="137">
        <f>IF(B298="","",IF(YEAR(B298+1)=Ano,B298+1,""))</f>
        <v>46305.0</v>
      </c>
      <c r="C299" s="128" t="str">
        <f>IF(B299="","",CHOOSE(WEEKDAY(B299),"Dom","Seg","Ter","Qua","Qui","Sex","Sáb"))</f>
        <v>Sáb</v>
      </c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28" t="str">
        <f>IF(OR(B299="",B299&gt;Hoje),"",COUNTIF(D299:M299,"x"))</f>
        <v/>
      </c>
      <c r="O299" s="133" t="str">
        <f>IF(OR(N299="",COUNTA($D$16:$M$16)=0),"",N299/COUNTA($D$16:$M$16))</f>
        <v/>
      </c>
      <c r="Q299">
        <f>IF(D299="x",Q298+1,0)</f>
        <v>0</v>
      </c>
      <c r="R299">
        <f>IF(E299="x",R298+1,0)</f>
        <v>0</v>
      </c>
      <c r="S299">
        <f>IF(F299="x",S298+1,0)</f>
        <v>0</v>
      </c>
      <c r="T299">
        <f>IF(G299="x",T298+1,0)</f>
        <v>0</v>
      </c>
      <c r="U299">
        <f>IF(H299="x",U298+1,0)</f>
        <v>0</v>
      </c>
      <c r="V299">
        <f>IF(I299="x",V298+1,0)</f>
        <v>0</v>
      </c>
      <c r="W299">
        <f>IF(J299="x",W298+1,0)</f>
        <v>0</v>
      </c>
      <c r="X299">
        <f>IF(K299="x",X298+1,0)</f>
        <v>0</v>
      </c>
      <c r="Y299">
        <f>IF(L299="x",Y298+1,0)</f>
        <v>0</v>
      </c>
      <c r="Z299">
        <f>IF(M299="x",Z298+1,0)</f>
        <v>0</v>
      </c>
    </row>
    <row r="300">
      <c r="B300" s="137">
        <f>IF(B299="","",IF(YEAR(B299+1)=Ano,B299+1,""))</f>
        <v>46306.0</v>
      </c>
      <c r="C300" s="128" t="str">
        <f>IF(B300="","",CHOOSE(WEEKDAY(B300),"Dom","Seg","Ter","Qua","Qui","Sex","Sáb"))</f>
        <v>Dom</v>
      </c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28" t="str">
        <f>IF(OR(B300="",B300&gt;Hoje),"",COUNTIF(D300:M300,"x"))</f>
        <v/>
      </c>
      <c r="O300" s="133" t="str">
        <f>IF(OR(N300="",COUNTA($D$16:$M$16)=0),"",N300/COUNTA($D$16:$M$16))</f>
        <v/>
      </c>
      <c r="Q300">
        <f>IF(D300="x",Q299+1,0)</f>
        <v>0</v>
      </c>
      <c r="R300">
        <f>IF(E300="x",R299+1,0)</f>
        <v>0</v>
      </c>
      <c r="S300">
        <f>IF(F300="x",S299+1,0)</f>
        <v>0</v>
      </c>
      <c r="T300">
        <f>IF(G300="x",T299+1,0)</f>
        <v>0</v>
      </c>
      <c r="U300">
        <f>IF(H300="x",U299+1,0)</f>
        <v>0</v>
      </c>
      <c r="V300">
        <f>IF(I300="x",V299+1,0)</f>
        <v>0</v>
      </c>
      <c r="W300">
        <f>IF(J300="x",W299+1,0)</f>
        <v>0</v>
      </c>
      <c r="X300">
        <f>IF(K300="x",X299+1,0)</f>
        <v>0</v>
      </c>
      <c r="Y300">
        <f>IF(L300="x",Y299+1,0)</f>
        <v>0</v>
      </c>
      <c r="Z300">
        <f>IF(M300="x",Z299+1,0)</f>
        <v>0</v>
      </c>
    </row>
    <row r="301">
      <c r="B301" s="137">
        <f>IF(B300="","",IF(YEAR(B300+1)=Ano,B300+1,""))</f>
        <v>46307.0</v>
      </c>
      <c r="C301" s="128" t="str">
        <f>IF(B301="","",CHOOSE(WEEKDAY(B301),"Dom","Seg","Ter","Qua","Qui","Sex","Sáb"))</f>
        <v>Seg</v>
      </c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28" t="str">
        <f>IF(OR(B301="",B301&gt;Hoje),"",COUNTIF(D301:M301,"x"))</f>
        <v/>
      </c>
      <c r="O301" s="133" t="str">
        <f>IF(OR(N301="",COUNTA($D$16:$M$16)=0),"",N301/COUNTA($D$16:$M$16))</f>
        <v/>
      </c>
      <c r="Q301">
        <f>IF(D301="x",Q300+1,0)</f>
        <v>0</v>
      </c>
      <c r="R301">
        <f>IF(E301="x",R300+1,0)</f>
        <v>0</v>
      </c>
      <c r="S301">
        <f>IF(F301="x",S300+1,0)</f>
        <v>0</v>
      </c>
      <c r="T301">
        <f>IF(G301="x",T300+1,0)</f>
        <v>0</v>
      </c>
      <c r="U301">
        <f>IF(H301="x",U300+1,0)</f>
        <v>0</v>
      </c>
      <c r="V301">
        <f>IF(I301="x",V300+1,0)</f>
        <v>0</v>
      </c>
      <c r="W301">
        <f>IF(J301="x",W300+1,0)</f>
        <v>0</v>
      </c>
      <c r="X301">
        <f>IF(K301="x",X300+1,0)</f>
        <v>0</v>
      </c>
      <c r="Y301">
        <f>IF(L301="x",Y300+1,0)</f>
        <v>0</v>
      </c>
      <c r="Z301">
        <f>IF(M301="x",Z300+1,0)</f>
        <v>0</v>
      </c>
    </row>
    <row r="302">
      <c r="B302" s="137">
        <f>IF(B301="","",IF(YEAR(B301+1)=Ano,B301+1,""))</f>
        <v>46308.0</v>
      </c>
      <c r="C302" s="128" t="str">
        <f>IF(B302="","",CHOOSE(WEEKDAY(B302),"Dom","Seg","Ter","Qua","Qui","Sex","Sáb"))</f>
        <v>Ter</v>
      </c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28" t="str">
        <f>IF(OR(B302="",B302&gt;Hoje),"",COUNTIF(D302:M302,"x"))</f>
        <v/>
      </c>
      <c r="O302" s="133" t="str">
        <f>IF(OR(N302="",COUNTA($D$16:$M$16)=0),"",N302/COUNTA($D$16:$M$16))</f>
        <v/>
      </c>
      <c r="Q302">
        <f>IF(D302="x",Q301+1,0)</f>
        <v>0</v>
      </c>
      <c r="R302">
        <f>IF(E302="x",R301+1,0)</f>
        <v>0</v>
      </c>
      <c r="S302">
        <f>IF(F302="x",S301+1,0)</f>
        <v>0</v>
      </c>
      <c r="T302">
        <f>IF(G302="x",T301+1,0)</f>
        <v>0</v>
      </c>
      <c r="U302">
        <f>IF(H302="x",U301+1,0)</f>
        <v>0</v>
      </c>
      <c r="V302">
        <f>IF(I302="x",V301+1,0)</f>
        <v>0</v>
      </c>
      <c r="W302">
        <f>IF(J302="x",W301+1,0)</f>
        <v>0</v>
      </c>
      <c r="X302">
        <f>IF(K302="x",X301+1,0)</f>
        <v>0</v>
      </c>
      <c r="Y302">
        <f>IF(L302="x",Y301+1,0)</f>
        <v>0</v>
      </c>
      <c r="Z302">
        <f>IF(M302="x",Z301+1,0)</f>
        <v>0</v>
      </c>
    </row>
    <row r="303">
      <c r="B303" s="137">
        <f>IF(B302="","",IF(YEAR(B302+1)=Ano,B302+1,""))</f>
        <v>46309.0</v>
      </c>
      <c r="C303" s="128" t="str">
        <f>IF(B303="","",CHOOSE(WEEKDAY(B303),"Dom","Seg","Ter","Qua","Qui","Sex","Sáb"))</f>
        <v>Qua</v>
      </c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28" t="str">
        <f>IF(OR(B303="",B303&gt;Hoje),"",COUNTIF(D303:M303,"x"))</f>
        <v/>
      </c>
      <c r="O303" s="133" t="str">
        <f>IF(OR(N303="",COUNTA($D$16:$M$16)=0),"",N303/COUNTA($D$16:$M$16))</f>
        <v/>
      </c>
      <c r="Q303">
        <f>IF(D303="x",Q302+1,0)</f>
        <v>0</v>
      </c>
      <c r="R303">
        <f>IF(E303="x",R302+1,0)</f>
        <v>0</v>
      </c>
      <c r="S303">
        <f>IF(F303="x",S302+1,0)</f>
        <v>0</v>
      </c>
      <c r="T303">
        <f>IF(G303="x",T302+1,0)</f>
        <v>0</v>
      </c>
      <c r="U303">
        <f>IF(H303="x",U302+1,0)</f>
        <v>0</v>
      </c>
      <c r="V303">
        <f>IF(I303="x",V302+1,0)</f>
        <v>0</v>
      </c>
      <c r="W303">
        <f>IF(J303="x",W302+1,0)</f>
        <v>0</v>
      </c>
      <c r="X303">
        <f>IF(K303="x",X302+1,0)</f>
        <v>0</v>
      </c>
      <c r="Y303">
        <f>IF(L303="x",Y302+1,0)</f>
        <v>0</v>
      </c>
      <c r="Z303">
        <f>IF(M303="x",Z302+1,0)</f>
        <v>0</v>
      </c>
    </row>
    <row r="304">
      <c r="B304" s="137">
        <f>IF(B303="","",IF(YEAR(B303+1)=Ano,B303+1,""))</f>
        <v>46310.0</v>
      </c>
      <c r="C304" s="128" t="str">
        <f>IF(B304="","",CHOOSE(WEEKDAY(B304),"Dom","Seg","Ter","Qua","Qui","Sex","Sáb"))</f>
        <v>Qui</v>
      </c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28" t="str">
        <f>IF(OR(B304="",B304&gt;Hoje),"",COUNTIF(D304:M304,"x"))</f>
        <v/>
      </c>
      <c r="O304" s="133" t="str">
        <f>IF(OR(N304="",COUNTA($D$16:$M$16)=0),"",N304/COUNTA($D$16:$M$16))</f>
        <v/>
      </c>
      <c r="Q304">
        <f>IF(D304="x",Q303+1,0)</f>
        <v>0</v>
      </c>
      <c r="R304">
        <f>IF(E304="x",R303+1,0)</f>
        <v>0</v>
      </c>
      <c r="S304">
        <f>IF(F304="x",S303+1,0)</f>
        <v>0</v>
      </c>
      <c r="T304">
        <f>IF(G304="x",T303+1,0)</f>
        <v>0</v>
      </c>
      <c r="U304">
        <f>IF(H304="x",U303+1,0)</f>
        <v>0</v>
      </c>
      <c r="V304">
        <f>IF(I304="x",V303+1,0)</f>
        <v>0</v>
      </c>
      <c r="W304">
        <f>IF(J304="x",W303+1,0)</f>
        <v>0</v>
      </c>
      <c r="X304">
        <f>IF(K304="x",X303+1,0)</f>
        <v>0</v>
      </c>
      <c r="Y304">
        <f>IF(L304="x",Y303+1,0)</f>
        <v>0</v>
      </c>
      <c r="Z304">
        <f>IF(M304="x",Z303+1,0)</f>
        <v>0</v>
      </c>
    </row>
    <row r="305">
      <c r="B305" s="137">
        <f>IF(B304="","",IF(YEAR(B304+1)=Ano,B304+1,""))</f>
        <v>46311.0</v>
      </c>
      <c r="C305" s="128" t="str">
        <f>IF(B305="","",CHOOSE(WEEKDAY(B305),"Dom","Seg","Ter","Qua","Qui","Sex","Sáb"))</f>
        <v>Sex</v>
      </c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28" t="str">
        <f>IF(OR(B305="",B305&gt;Hoje),"",COUNTIF(D305:M305,"x"))</f>
        <v/>
      </c>
      <c r="O305" s="133" t="str">
        <f>IF(OR(N305="",COUNTA($D$16:$M$16)=0),"",N305/COUNTA($D$16:$M$16))</f>
        <v/>
      </c>
      <c r="Q305">
        <f>IF(D305="x",Q304+1,0)</f>
        <v>0</v>
      </c>
      <c r="R305">
        <f>IF(E305="x",R304+1,0)</f>
        <v>0</v>
      </c>
      <c r="S305">
        <f>IF(F305="x",S304+1,0)</f>
        <v>0</v>
      </c>
      <c r="T305">
        <f>IF(G305="x",T304+1,0)</f>
        <v>0</v>
      </c>
      <c r="U305">
        <f>IF(H305="x",U304+1,0)</f>
        <v>0</v>
      </c>
      <c r="V305">
        <f>IF(I305="x",V304+1,0)</f>
        <v>0</v>
      </c>
      <c r="W305">
        <f>IF(J305="x",W304+1,0)</f>
        <v>0</v>
      </c>
      <c r="X305">
        <f>IF(K305="x",X304+1,0)</f>
        <v>0</v>
      </c>
      <c r="Y305">
        <f>IF(L305="x",Y304+1,0)</f>
        <v>0</v>
      </c>
      <c r="Z305">
        <f>IF(M305="x",Z304+1,0)</f>
        <v>0</v>
      </c>
    </row>
    <row r="306">
      <c r="B306" s="137">
        <f>IF(B305="","",IF(YEAR(B305+1)=Ano,B305+1,""))</f>
        <v>46312.0</v>
      </c>
      <c r="C306" s="128" t="str">
        <f>IF(B306="","",CHOOSE(WEEKDAY(B306),"Dom","Seg","Ter","Qua","Qui","Sex","Sáb"))</f>
        <v>Sáb</v>
      </c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28" t="str">
        <f>IF(OR(B306="",B306&gt;Hoje),"",COUNTIF(D306:M306,"x"))</f>
        <v/>
      </c>
      <c r="O306" s="133" t="str">
        <f>IF(OR(N306="",COUNTA($D$16:$M$16)=0),"",N306/COUNTA($D$16:$M$16))</f>
        <v/>
      </c>
      <c r="Q306">
        <f>IF(D306="x",Q305+1,0)</f>
        <v>0</v>
      </c>
      <c r="R306">
        <f>IF(E306="x",R305+1,0)</f>
        <v>0</v>
      </c>
      <c r="S306">
        <f>IF(F306="x",S305+1,0)</f>
        <v>0</v>
      </c>
      <c r="T306">
        <f>IF(G306="x",T305+1,0)</f>
        <v>0</v>
      </c>
      <c r="U306">
        <f>IF(H306="x",U305+1,0)</f>
        <v>0</v>
      </c>
      <c r="V306">
        <f>IF(I306="x",V305+1,0)</f>
        <v>0</v>
      </c>
      <c r="W306">
        <f>IF(J306="x",W305+1,0)</f>
        <v>0</v>
      </c>
      <c r="X306">
        <f>IF(K306="x",X305+1,0)</f>
        <v>0</v>
      </c>
      <c r="Y306">
        <f>IF(L306="x",Y305+1,0)</f>
        <v>0</v>
      </c>
      <c r="Z306">
        <f>IF(M306="x",Z305+1,0)</f>
        <v>0</v>
      </c>
    </row>
    <row r="307">
      <c r="B307" s="137">
        <f>IF(B306="","",IF(YEAR(B306+1)=Ano,B306+1,""))</f>
        <v>46313.0</v>
      </c>
      <c r="C307" s="128" t="str">
        <f>IF(B307="","",CHOOSE(WEEKDAY(B307),"Dom","Seg","Ter","Qua","Qui","Sex","Sáb"))</f>
        <v>Dom</v>
      </c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28" t="str">
        <f>IF(OR(B307="",B307&gt;Hoje),"",COUNTIF(D307:M307,"x"))</f>
        <v/>
      </c>
      <c r="O307" s="133" t="str">
        <f>IF(OR(N307="",COUNTA($D$16:$M$16)=0),"",N307/COUNTA($D$16:$M$16))</f>
        <v/>
      </c>
      <c r="Q307">
        <f>IF(D307="x",Q306+1,0)</f>
        <v>0</v>
      </c>
      <c r="R307">
        <f>IF(E307="x",R306+1,0)</f>
        <v>0</v>
      </c>
      <c r="S307">
        <f>IF(F307="x",S306+1,0)</f>
        <v>0</v>
      </c>
      <c r="T307">
        <f>IF(G307="x",T306+1,0)</f>
        <v>0</v>
      </c>
      <c r="U307">
        <f>IF(H307="x",U306+1,0)</f>
        <v>0</v>
      </c>
      <c r="V307">
        <f>IF(I307="x",V306+1,0)</f>
        <v>0</v>
      </c>
      <c r="W307">
        <f>IF(J307="x",W306+1,0)</f>
        <v>0</v>
      </c>
      <c r="X307">
        <f>IF(K307="x",X306+1,0)</f>
        <v>0</v>
      </c>
      <c r="Y307">
        <f>IF(L307="x",Y306+1,0)</f>
        <v>0</v>
      </c>
      <c r="Z307">
        <f>IF(M307="x",Z306+1,0)</f>
        <v>0</v>
      </c>
    </row>
    <row r="308">
      <c r="B308" s="137">
        <f>IF(B307="","",IF(YEAR(B307+1)=Ano,B307+1,""))</f>
        <v>46314.0</v>
      </c>
      <c r="C308" s="128" t="str">
        <f>IF(B308="","",CHOOSE(WEEKDAY(B308),"Dom","Seg","Ter","Qua","Qui","Sex","Sáb"))</f>
        <v>Seg</v>
      </c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28" t="str">
        <f>IF(OR(B308="",B308&gt;Hoje),"",COUNTIF(D308:M308,"x"))</f>
        <v/>
      </c>
      <c r="O308" s="133" t="str">
        <f>IF(OR(N308="",COUNTA($D$16:$M$16)=0),"",N308/COUNTA($D$16:$M$16))</f>
        <v/>
      </c>
      <c r="Q308">
        <f>IF(D308="x",Q307+1,0)</f>
        <v>0</v>
      </c>
      <c r="R308">
        <f>IF(E308="x",R307+1,0)</f>
        <v>0</v>
      </c>
      <c r="S308">
        <f>IF(F308="x",S307+1,0)</f>
        <v>0</v>
      </c>
      <c r="T308">
        <f>IF(G308="x",T307+1,0)</f>
        <v>0</v>
      </c>
      <c r="U308">
        <f>IF(H308="x",U307+1,0)</f>
        <v>0</v>
      </c>
      <c r="V308">
        <f>IF(I308="x",V307+1,0)</f>
        <v>0</v>
      </c>
      <c r="W308">
        <f>IF(J308="x",W307+1,0)</f>
        <v>0</v>
      </c>
      <c r="X308">
        <f>IF(K308="x",X307+1,0)</f>
        <v>0</v>
      </c>
      <c r="Y308">
        <f>IF(L308="x",Y307+1,0)</f>
        <v>0</v>
      </c>
      <c r="Z308">
        <f>IF(M308="x",Z307+1,0)</f>
        <v>0</v>
      </c>
    </row>
    <row r="309">
      <c r="B309" s="137">
        <f>IF(B308="","",IF(YEAR(B308+1)=Ano,B308+1,""))</f>
        <v>46315.0</v>
      </c>
      <c r="C309" s="128" t="str">
        <f>IF(B309="","",CHOOSE(WEEKDAY(B309),"Dom","Seg","Ter","Qua","Qui","Sex","Sáb"))</f>
        <v>Ter</v>
      </c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28" t="str">
        <f>IF(OR(B309="",B309&gt;Hoje),"",COUNTIF(D309:M309,"x"))</f>
        <v/>
      </c>
      <c r="O309" s="133" t="str">
        <f>IF(OR(N309="",COUNTA($D$16:$M$16)=0),"",N309/COUNTA($D$16:$M$16))</f>
        <v/>
      </c>
      <c r="Q309">
        <f>IF(D309="x",Q308+1,0)</f>
        <v>0</v>
      </c>
      <c r="R309">
        <f>IF(E309="x",R308+1,0)</f>
        <v>0</v>
      </c>
      <c r="S309">
        <f>IF(F309="x",S308+1,0)</f>
        <v>0</v>
      </c>
      <c r="T309">
        <f>IF(G309="x",T308+1,0)</f>
        <v>0</v>
      </c>
      <c r="U309">
        <f>IF(H309="x",U308+1,0)</f>
        <v>0</v>
      </c>
      <c r="V309">
        <f>IF(I309="x",V308+1,0)</f>
        <v>0</v>
      </c>
      <c r="W309">
        <f>IF(J309="x",W308+1,0)</f>
        <v>0</v>
      </c>
      <c r="X309">
        <f>IF(K309="x",X308+1,0)</f>
        <v>0</v>
      </c>
      <c r="Y309">
        <f>IF(L309="x",Y308+1,0)</f>
        <v>0</v>
      </c>
      <c r="Z309">
        <f>IF(M309="x",Z308+1,0)</f>
        <v>0</v>
      </c>
    </row>
    <row r="310">
      <c r="B310" s="137">
        <f>IF(B309="","",IF(YEAR(B309+1)=Ano,B309+1,""))</f>
        <v>46316.0</v>
      </c>
      <c r="C310" s="128" t="str">
        <f>IF(B310="","",CHOOSE(WEEKDAY(B310),"Dom","Seg","Ter","Qua","Qui","Sex","Sáb"))</f>
        <v>Qua</v>
      </c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28" t="str">
        <f>IF(OR(B310="",B310&gt;Hoje),"",COUNTIF(D310:M310,"x"))</f>
        <v/>
      </c>
      <c r="O310" s="133" t="str">
        <f>IF(OR(N310="",COUNTA($D$16:$M$16)=0),"",N310/COUNTA($D$16:$M$16))</f>
        <v/>
      </c>
      <c r="Q310">
        <f>IF(D310="x",Q309+1,0)</f>
        <v>0</v>
      </c>
      <c r="R310">
        <f>IF(E310="x",R309+1,0)</f>
        <v>0</v>
      </c>
      <c r="S310">
        <f>IF(F310="x",S309+1,0)</f>
        <v>0</v>
      </c>
      <c r="T310">
        <f>IF(G310="x",T309+1,0)</f>
        <v>0</v>
      </c>
      <c r="U310">
        <f>IF(H310="x",U309+1,0)</f>
        <v>0</v>
      </c>
      <c r="V310">
        <f>IF(I310="x",V309+1,0)</f>
        <v>0</v>
      </c>
      <c r="W310">
        <f>IF(J310="x",W309+1,0)</f>
        <v>0</v>
      </c>
      <c r="X310">
        <f>IF(K310="x",X309+1,0)</f>
        <v>0</v>
      </c>
      <c r="Y310">
        <f>IF(L310="x",Y309+1,0)</f>
        <v>0</v>
      </c>
      <c r="Z310">
        <f>IF(M310="x",Z309+1,0)</f>
        <v>0</v>
      </c>
    </row>
    <row r="311">
      <c r="B311" s="137">
        <f>IF(B310="","",IF(YEAR(B310+1)=Ano,B310+1,""))</f>
        <v>46317.0</v>
      </c>
      <c r="C311" s="128" t="str">
        <f>IF(B311="","",CHOOSE(WEEKDAY(B311),"Dom","Seg","Ter","Qua","Qui","Sex","Sáb"))</f>
        <v>Qui</v>
      </c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28" t="str">
        <f>IF(OR(B311="",B311&gt;Hoje),"",COUNTIF(D311:M311,"x"))</f>
        <v/>
      </c>
      <c r="O311" s="133" t="str">
        <f>IF(OR(N311="",COUNTA($D$16:$M$16)=0),"",N311/COUNTA($D$16:$M$16))</f>
        <v/>
      </c>
      <c r="Q311">
        <f>IF(D311="x",Q310+1,0)</f>
        <v>0</v>
      </c>
      <c r="R311">
        <f>IF(E311="x",R310+1,0)</f>
        <v>0</v>
      </c>
      <c r="S311">
        <f>IF(F311="x",S310+1,0)</f>
        <v>0</v>
      </c>
      <c r="T311">
        <f>IF(G311="x",T310+1,0)</f>
        <v>0</v>
      </c>
      <c r="U311">
        <f>IF(H311="x",U310+1,0)</f>
        <v>0</v>
      </c>
      <c r="V311">
        <f>IF(I311="x",V310+1,0)</f>
        <v>0</v>
      </c>
      <c r="W311">
        <f>IF(J311="x",W310+1,0)</f>
        <v>0</v>
      </c>
      <c r="X311">
        <f>IF(K311="x",X310+1,0)</f>
        <v>0</v>
      </c>
      <c r="Y311">
        <f>IF(L311="x",Y310+1,0)</f>
        <v>0</v>
      </c>
      <c r="Z311">
        <f>IF(M311="x",Z310+1,0)</f>
        <v>0</v>
      </c>
    </row>
    <row r="312">
      <c r="B312" s="137">
        <f>IF(B311="","",IF(YEAR(B311+1)=Ano,B311+1,""))</f>
        <v>46318.0</v>
      </c>
      <c r="C312" s="128" t="str">
        <f>IF(B312="","",CHOOSE(WEEKDAY(B312),"Dom","Seg","Ter","Qua","Qui","Sex","Sáb"))</f>
        <v>Sex</v>
      </c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28" t="str">
        <f>IF(OR(B312="",B312&gt;Hoje),"",COUNTIF(D312:M312,"x"))</f>
        <v/>
      </c>
      <c r="O312" s="133" t="str">
        <f>IF(OR(N312="",COUNTA($D$16:$M$16)=0),"",N312/COUNTA($D$16:$M$16))</f>
        <v/>
      </c>
      <c r="Q312">
        <f>IF(D312="x",Q311+1,0)</f>
        <v>0</v>
      </c>
      <c r="R312">
        <f>IF(E312="x",R311+1,0)</f>
        <v>0</v>
      </c>
      <c r="S312">
        <f>IF(F312="x",S311+1,0)</f>
        <v>0</v>
      </c>
      <c r="T312">
        <f>IF(G312="x",T311+1,0)</f>
        <v>0</v>
      </c>
      <c r="U312">
        <f>IF(H312="x",U311+1,0)</f>
        <v>0</v>
      </c>
      <c r="V312">
        <f>IF(I312="x",V311+1,0)</f>
        <v>0</v>
      </c>
      <c r="W312">
        <f>IF(J312="x",W311+1,0)</f>
        <v>0</v>
      </c>
      <c r="X312">
        <f>IF(K312="x",X311+1,0)</f>
        <v>0</v>
      </c>
      <c r="Y312">
        <f>IF(L312="x",Y311+1,0)</f>
        <v>0</v>
      </c>
      <c r="Z312">
        <f>IF(M312="x",Z311+1,0)</f>
        <v>0</v>
      </c>
    </row>
    <row r="313">
      <c r="B313" s="137">
        <f>IF(B312="","",IF(YEAR(B312+1)=Ano,B312+1,""))</f>
        <v>46319.0</v>
      </c>
      <c r="C313" s="128" t="str">
        <f>IF(B313="","",CHOOSE(WEEKDAY(B313),"Dom","Seg","Ter","Qua","Qui","Sex","Sáb"))</f>
        <v>Sáb</v>
      </c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28" t="str">
        <f>IF(OR(B313="",B313&gt;Hoje),"",COUNTIF(D313:M313,"x"))</f>
        <v/>
      </c>
      <c r="O313" s="133" t="str">
        <f>IF(OR(N313="",COUNTA($D$16:$M$16)=0),"",N313/COUNTA($D$16:$M$16))</f>
        <v/>
      </c>
      <c r="Q313">
        <f>IF(D313="x",Q312+1,0)</f>
        <v>0</v>
      </c>
      <c r="R313">
        <f>IF(E313="x",R312+1,0)</f>
        <v>0</v>
      </c>
      <c r="S313">
        <f>IF(F313="x",S312+1,0)</f>
        <v>0</v>
      </c>
      <c r="T313">
        <f>IF(G313="x",T312+1,0)</f>
        <v>0</v>
      </c>
      <c r="U313">
        <f>IF(H313="x",U312+1,0)</f>
        <v>0</v>
      </c>
      <c r="V313">
        <f>IF(I313="x",V312+1,0)</f>
        <v>0</v>
      </c>
      <c r="W313">
        <f>IF(J313="x",W312+1,0)</f>
        <v>0</v>
      </c>
      <c r="X313">
        <f>IF(K313="x",X312+1,0)</f>
        <v>0</v>
      </c>
      <c r="Y313">
        <f>IF(L313="x",Y312+1,0)</f>
        <v>0</v>
      </c>
      <c r="Z313">
        <f>IF(M313="x",Z312+1,0)</f>
        <v>0</v>
      </c>
    </row>
    <row r="314">
      <c r="B314" s="137">
        <f>IF(B313="","",IF(YEAR(B313+1)=Ano,B313+1,""))</f>
        <v>46320.0</v>
      </c>
      <c r="C314" s="128" t="str">
        <f>IF(B314="","",CHOOSE(WEEKDAY(B314),"Dom","Seg","Ter","Qua","Qui","Sex","Sáb"))</f>
        <v>Dom</v>
      </c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28" t="str">
        <f>IF(OR(B314="",B314&gt;Hoje),"",COUNTIF(D314:M314,"x"))</f>
        <v/>
      </c>
      <c r="O314" s="133" t="str">
        <f>IF(OR(N314="",COUNTA($D$16:$M$16)=0),"",N314/COUNTA($D$16:$M$16))</f>
        <v/>
      </c>
      <c r="Q314">
        <f>IF(D314="x",Q313+1,0)</f>
        <v>0</v>
      </c>
      <c r="R314">
        <f>IF(E314="x",R313+1,0)</f>
        <v>0</v>
      </c>
      <c r="S314">
        <f>IF(F314="x",S313+1,0)</f>
        <v>0</v>
      </c>
      <c r="T314">
        <f>IF(G314="x",T313+1,0)</f>
        <v>0</v>
      </c>
      <c r="U314">
        <f>IF(H314="x",U313+1,0)</f>
        <v>0</v>
      </c>
      <c r="V314">
        <f>IF(I314="x",V313+1,0)</f>
        <v>0</v>
      </c>
      <c r="W314">
        <f>IF(J314="x",W313+1,0)</f>
        <v>0</v>
      </c>
      <c r="X314">
        <f>IF(K314="x",X313+1,0)</f>
        <v>0</v>
      </c>
      <c r="Y314">
        <f>IF(L314="x",Y313+1,0)</f>
        <v>0</v>
      </c>
      <c r="Z314">
        <f>IF(M314="x",Z313+1,0)</f>
        <v>0</v>
      </c>
    </row>
    <row r="315">
      <c r="B315" s="137">
        <f>IF(B314="","",IF(YEAR(B314+1)=Ano,B314+1,""))</f>
        <v>46321.0</v>
      </c>
      <c r="C315" s="128" t="str">
        <f>IF(B315="","",CHOOSE(WEEKDAY(B315),"Dom","Seg","Ter","Qua","Qui","Sex","Sáb"))</f>
        <v>Seg</v>
      </c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28" t="str">
        <f>IF(OR(B315="",B315&gt;Hoje),"",COUNTIF(D315:M315,"x"))</f>
        <v/>
      </c>
      <c r="O315" s="133" t="str">
        <f>IF(OR(N315="",COUNTA($D$16:$M$16)=0),"",N315/COUNTA($D$16:$M$16))</f>
        <v/>
      </c>
      <c r="Q315">
        <f>IF(D315="x",Q314+1,0)</f>
        <v>0</v>
      </c>
      <c r="R315">
        <f>IF(E315="x",R314+1,0)</f>
        <v>0</v>
      </c>
      <c r="S315">
        <f>IF(F315="x",S314+1,0)</f>
        <v>0</v>
      </c>
      <c r="T315">
        <f>IF(G315="x",T314+1,0)</f>
        <v>0</v>
      </c>
      <c r="U315">
        <f>IF(H315="x",U314+1,0)</f>
        <v>0</v>
      </c>
      <c r="V315">
        <f>IF(I315="x",V314+1,0)</f>
        <v>0</v>
      </c>
      <c r="W315">
        <f>IF(J315="x",W314+1,0)</f>
        <v>0</v>
      </c>
      <c r="X315">
        <f>IF(K315="x",X314+1,0)</f>
        <v>0</v>
      </c>
      <c r="Y315">
        <f>IF(L315="x",Y314+1,0)</f>
        <v>0</v>
      </c>
      <c r="Z315">
        <f>IF(M315="x",Z314+1,0)</f>
        <v>0</v>
      </c>
    </row>
    <row r="316">
      <c r="B316" s="137">
        <f>IF(B315="","",IF(YEAR(B315+1)=Ano,B315+1,""))</f>
        <v>46322.0</v>
      </c>
      <c r="C316" s="128" t="str">
        <f>IF(B316="","",CHOOSE(WEEKDAY(B316),"Dom","Seg","Ter","Qua","Qui","Sex","Sáb"))</f>
        <v>Ter</v>
      </c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28" t="str">
        <f>IF(OR(B316="",B316&gt;Hoje),"",COUNTIF(D316:M316,"x"))</f>
        <v/>
      </c>
      <c r="O316" s="133" t="str">
        <f>IF(OR(N316="",COUNTA($D$16:$M$16)=0),"",N316/COUNTA($D$16:$M$16))</f>
        <v/>
      </c>
      <c r="Q316">
        <f>IF(D316="x",Q315+1,0)</f>
        <v>0</v>
      </c>
      <c r="R316">
        <f>IF(E316="x",R315+1,0)</f>
        <v>0</v>
      </c>
      <c r="S316">
        <f>IF(F316="x",S315+1,0)</f>
        <v>0</v>
      </c>
      <c r="T316">
        <f>IF(G316="x",T315+1,0)</f>
        <v>0</v>
      </c>
      <c r="U316">
        <f>IF(H316="x",U315+1,0)</f>
        <v>0</v>
      </c>
      <c r="V316">
        <f>IF(I316="x",V315+1,0)</f>
        <v>0</v>
      </c>
      <c r="W316">
        <f>IF(J316="x",W315+1,0)</f>
        <v>0</v>
      </c>
      <c r="X316">
        <f>IF(K316="x",X315+1,0)</f>
        <v>0</v>
      </c>
      <c r="Y316">
        <f>IF(L316="x",Y315+1,0)</f>
        <v>0</v>
      </c>
      <c r="Z316">
        <f>IF(M316="x",Z315+1,0)</f>
        <v>0</v>
      </c>
    </row>
    <row r="317">
      <c r="B317" s="137">
        <f>IF(B316="","",IF(YEAR(B316+1)=Ano,B316+1,""))</f>
        <v>46323.0</v>
      </c>
      <c r="C317" s="128" t="str">
        <f>IF(B317="","",CHOOSE(WEEKDAY(B317),"Dom","Seg","Ter","Qua","Qui","Sex","Sáb"))</f>
        <v>Qua</v>
      </c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28" t="str">
        <f>IF(OR(B317="",B317&gt;Hoje),"",COUNTIF(D317:M317,"x"))</f>
        <v/>
      </c>
      <c r="O317" s="133" t="str">
        <f>IF(OR(N317="",COUNTA($D$16:$M$16)=0),"",N317/COUNTA($D$16:$M$16))</f>
        <v/>
      </c>
      <c r="Q317">
        <f>IF(D317="x",Q316+1,0)</f>
        <v>0</v>
      </c>
      <c r="R317">
        <f>IF(E317="x",R316+1,0)</f>
        <v>0</v>
      </c>
      <c r="S317">
        <f>IF(F317="x",S316+1,0)</f>
        <v>0</v>
      </c>
      <c r="T317">
        <f>IF(G317="x",T316+1,0)</f>
        <v>0</v>
      </c>
      <c r="U317">
        <f>IF(H317="x",U316+1,0)</f>
        <v>0</v>
      </c>
      <c r="V317">
        <f>IF(I317="x",V316+1,0)</f>
        <v>0</v>
      </c>
      <c r="W317">
        <f>IF(J317="x",W316+1,0)</f>
        <v>0</v>
      </c>
      <c r="X317">
        <f>IF(K317="x",X316+1,0)</f>
        <v>0</v>
      </c>
      <c r="Y317">
        <f>IF(L317="x",Y316+1,0)</f>
        <v>0</v>
      </c>
      <c r="Z317">
        <f>IF(M317="x",Z316+1,0)</f>
        <v>0</v>
      </c>
    </row>
    <row r="318">
      <c r="B318" s="137">
        <f>IF(B317="","",IF(YEAR(B317+1)=Ano,B317+1,""))</f>
        <v>46324.0</v>
      </c>
      <c r="C318" s="128" t="str">
        <f>IF(B318="","",CHOOSE(WEEKDAY(B318),"Dom","Seg","Ter","Qua","Qui","Sex","Sáb"))</f>
        <v>Qui</v>
      </c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28" t="str">
        <f>IF(OR(B318="",B318&gt;Hoje),"",COUNTIF(D318:M318,"x"))</f>
        <v/>
      </c>
      <c r="O318" s="133" t="str">
        <f>IF(OR(N318="",COUNTA($D$16:$M$16)=0),"",N318/COUNTA($D$16:$M$16))</f>
        <v/>
      </c>
      <c r="Q318">
        <f>IF(D318="x",Q317+1,0)</f>
        <v>0</v>
      </c>
      <c r="R318">
        <f>IF(E318="x",R317+1,0)</f>
        <v>0</v>
      </c>
      <c r="S318">
        <f>IF(F318="x",S317+1,0)</f>
        <v>0</v>
      </c>
      <c r="T318">
        <f>IF(G318="x",T317+1,0)</f>
        <v>0</v>
      </c>
      <c r="U318">
        <f>IF(H318="x",U317+1,0)</f>
        <v>0</v>
      </c>
      <c r="V318">
        <f>IF(I318="x",V317+1,0)</f>
        <v>0</v>
      </c>
      <c r="W318">
        <f>IF(J318="x",W317+1,0)</f>
        <v>0</v>
      </c>
      <c r="X318">
        <f>IF(K318="x",X317+1,0)</f>
        <v>0</v>
      </c>
      <c r="Y318">
        <f>IF(L318="x",Y317+1,0)</f>
        <v>0</v>
      </c>
      <c r="Z318">
        <f>IF(M318="x",Z317+1,0)</f>
        <v>0</v>
      </c>
    </row>
    <row r="319">
      <c r="B319" s="137">
        <f>IF(B318="","",IF(YEAR(B318+1)=Ano,B318+1,""))</f>
        <v>46325.0</v>
      </c>
      <c r="C319" s="128" t="str">
        <f>IF(B319="","",CHOOSE(WEEKDAY(B319),"Dom","Seg","Ter","Qua","Qui","Sex","Sáb"))</f>
        <v>Sex</v>
      </c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28" t="str">
        <f>IF(OR(B319="",B319&gt;Hoje),"",COUNTIF(D319:M319,"x"))</f>
        <v/>
      </c>
      <c r="O319" s="133" t="str">
        <f>IF(OR(N319="",COUNTA($D$16:$M$16)=0),"",N319/COUNTA($D$16:$M$16))</f>
        <v/>
      </c>
      <c r="Q319">
        <f>IF(D319="x",Q318+1,0)</f>
        <v>0</v>
      </c>
      <c r="R319">
        <f>IF(E319="x",R318+1,0)</f>
        <v>0</v>
      </c>
      <c r="S319">
        <f>IF(F319="x",S318+1,0)</f>
        <v>0</v>
      </c>
      <c r="T319">
        <f>IF(G319="x",T318+1,0)</f>
        <v>0</v>
      </c>
      <c r="U319">
        <f>IF(H319="x",U318+1,0)</f>
        <v>0</v>
      </c>
      <c r="V319">
        <f>IF(I319="x",V318+1,0)</f>
        <v>0</v>
      </c>
      <c r="W319">
        <f>IF(J319="x",W318+1,0)</f>
        <v>0</v>
      </c>
      <c r="X319">
        <f>IF(K319="x",X318+1,0)</f>
        <v>0</v>
      </c>
      <c r="Y319">
        <f>IF(L319="x",Y318+1,0)</f>
        <v>0</v>
      </c>
      <c r="Z319">
        <f>IF(M319="x",Z318+1,0)</f>
        <v>0</v>
      </c>
    </row>
    <row r="320">
      <c r="B320" s="137">
        <f>IF(B319="","",IF(YEAR(B319+1)=Ano,B319+1,""))</f>
        <v>46326.0</v>
      </c>
      <c r="C320" s="128" t="str">
        <f>IF(B320="","",CHOOSE(WEEKDAY(B320),"Dom","Seg","Ter","Qua","Qui","Sex","Sáb"))</f>
        <v>Sáb</v>
      </c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28" t="str">
        <f>IF(OR(B320="",B320&gt;Hoje),"",COUNTIF(D320:M320,"x"))</f>
        <v/>
      </c>
      <c r="O320" s="133" t="str">
        <f>IF(OR(N320="",COUNTA($D$16:$M$16)=0),"",N320/COUNTA($D$16:$M$16))</f>
        <v/>
      </c>
      <c r="Q320">
        <f>IF(D320="x",Q319+1,0)</f>
        <v>0</v>
      </c>
      <c r="R320">
        <f>IF(E320="x",R319+1,0)</f>
        <v>0</v>
      </c>
      <c r="S320">
        <f>IF(F320="x",S319+1,0)</f>
        <v>0</v>
      </c>
      <c r="T320">
        <f>IF(G320="x",T319+1,0)</f>
        <v>0</v>
      </c>
      <c r="U320">
        <f>IF(H320="x",U319+1,0)</f>
        <v>0</v>
      </c>
      <c r="V320">
        <f>IF(I320="x",V319+1,0)</f>
        <v>0</v>
      </c>
      <c r="W320">
        <f>IF(J320="x",W319+1,0)</f>
        <v>0</v>
      </c>
      <c r="X320">
        <f>IF(K320="x",X319+1,0)</f>
        <v>0</v>
      </c>
      <c r="Y320">
        <f>IF(L320="x",Y319+1,0)</f>
        <v>0</v>
      </c>
      <c r="Z320">
        <f>IF(M320="x",Z319+1,0)</f>
        <v>0</v>
      </c>
    </row>
    <row r="321">
      <c r="B321" s="137">
        <f>IF(B320="","",IF(YEAR(B320+1)=Ano,B320+1,""))</f>
        <v>46327.0</v>
      </c>
      <c r="C321" s="128" t="str">
        <f>IF(B321="","",CHOOSE(WEEKDAY(B321),"Dom","Seg","Ter","Qua","Qui","Sex","Sáb"))</f>
        <v>Dom</v>
      </c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28" t="str">
        <f>IF(OR(B321="",B321&gt;Hoje),"",COUNTIF(D321:M321,"x"))</f>
        <v/>
      </c>
      <c r="O321" s="133" t="str">
        <f>IF(OR(N321="",COUNTA($D$16:$M$16)=0),"",N321/COUNTA($D$16:$M$16))</f>
        <v/>
      </c>
      <c r="Q321">
        <f>IF(D321="x",Q320+1,0)</f>
        <v>0</v>
      </c>
      <c r="R321">
        <f>IF(E321="x",R320+1,0)</f>
        <v>0</v>
      </c>
      <c r="S321">
        <f>IF(F321="x",S320+1,0)</f>
        <v>0</v>
      </c>
      <c r="T321">
        <f>IF(G321="x",T320+1,0)</f>
        <v>0</v>
      </c>
      <c r="U321">
        <f>IF(H321="x",U320+1,0)</f>
        <v>0</v>
      </c>
      <c r="V321">
        <f>IF(I321="x",V320+1,0)</f>
        <v>0</v>
      </c>
      <c r="W321">
        <f>IF(J321="x",W320+1,0)</f>
        <v>0</v>
      </c>
      <c r="X321">
        <f>IF(K321="x",X320+1,0)</f>
        <v>0</v>
      </c>
      <c r="Y321">
        <f>IF(L321="x",Y320+1,0)</f>
        <v>0</v>
      </c>
      <c r="Z321">
        <f>IF(M321="x",Z320+1,0)</f>
        <v>0</v>
      </c>
    </row>
    <row r="322">
      <c r="B322" s="137">
        <f>IF(B321="","",IF(YEAR(B321+1)=Ano,B321+1,""))</f>
        <v>46328.0</v>
      </c>
      <c r="C322" s="128" t="str">
        <f>IF(B322="","",CHOOSE(WEEKDAY(B322),"Dom","Seg","Ter","Qua","Qui","Sex","Sáb"))</f>
        <v>Seg</v>
      </c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28" t="str">
        <f>IF(OR(B322="",B322&gt;Hoje),"",COUNTIF(D322:M322,"x"))</f>
        <v/>
      </c>
      <c r="O322" s="133" t="str">
        <f>IF(OR(N322="",COUNTA($D$16:$M$16)=0),"",N322/COUNTA($D$16:$M$16))</f>
        <v/>
      </c>
      <c r="Q322">
        <f>IF(D322="x",Q321+1,0)</f>
        <v>0</v>
      </c>
      <c r="R322">
        <f>IF(E322="x",R321+1,0)</f>
        <v>0</v>
      </c>
      <c r="S322">
        <f>IF(F322="x",S321+1,0)</f>
        <v>0</v>
      </c>
      <c r="T322">
        <f>IF(G322="x",T321+1,0)</f>
        <v>0</v>
      </c>
      <c r="U322">
        <f>IF(H322="x",U321+1,0)</f>
        <v>0</v>
      </c>
      <c r="V322">
        <f>IF(I322="x",V321+1,0)</f>
        <v>0</v>
      </c>
      <c r="W322">
        <f>IF(J322="x",W321+1,0)</f>
        <v>0</v>
      </c>
      <c r="X322">
        <f>IF(K322="x",X321+1,0)</f>
        <v>0</v>
      </c>
      <c r="Y322">
        <f>IF(L322="x",Y321+1,0)</f>
        <v>0</v>
      </c>
      <c r="Z322">
        <f>IF(M322="x",Z321+1,0)</f>
        <v>0</v>
      </c>
    </row>
    <row r="323">
      <c r="B323" s="137">
        <f>IF(B322="","",IF(YEAR(B322+1)=Ano,B322+1,""))</f>
        <v>46329.0</v>
      </c>
      <c r="C323" s="128" t="str">
        <f>IF(B323="","",CHOOSE(WEEKDAY(B323),"Dom","Seg","Ter","Qua","Qui","Sex","Sáb"))</f>
        <v>Ter</v>
      </c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28" t="str">
        <f>IF(OR(B323="",B323&gt;Hoje),"",COUNTIF(D323:M323,"x"))</f>
        <v/>
      </c>
      <c r="O323" s="133" t="str">
        <f>IF(OR(N323="",COUNTA($D$16:$M$16)=0),"",N323/COUNTA($D$16:$M$16))</f>
        <v/>
      </c>
      <c r="Q323">
        <f>IF(D323="x",Q322+1,0)</f>
        <v>0</v>
      </c>
      <c r="R323">
        <f>IF(E323="x",R322+1,0)</f>
        <v>0</v>
      </c>
      <c r="S323">
        <f>IF(F323="x",S322+1,0)</f>
        <v>0</v>
      </c>
      <c r="T323">
        <f>IF(G323="x",T322+1,0)</f>
        <v>0</v>
      </c>
      <c r="U323">
        <f>IF(H323="x",U322+1,0)</f>
        <v>0</v>
      </c>
      <c r="V323">
        <f>IF(I323="x",V322+1,0)</f>
        <v>0</v>
      </c>
      <c r="W323">
        <f>IF(J323="x",W322+1,0)</f>
        <v>0</v>
      </c>
      <c r="X323">
        <f>IF(K323="x",X322+1,0)</f>
        <v>0</v>
      </c>
      <c r="Y323">
        <f>IF(L323="x",Y322+1,0)</f>
        <v>0</v>
      </c>
      <c r="Z323">
        <f>IF(M323="x",Z322+1,0)</f>
        <v>0</v>
      </c>
    </row>
    <row r="324">
      <c r="B324" s="137">
        <f>IF(B323="","",IF(YEAR(B323+1)=Ano,B323+1,""))</f>
        <v>46330.0</v>
      </c>
      <c r="C324" s="128" t="str">
        <f>IF(B324="","",CHOOSE(WEEKDAY(B324),"Dom","Seg","Ter","Qua","Qui","Sex","Sáb"))</f>
        <v>Qua</v>
      </c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28" t="str">
        <f>IF(OR(B324="",B324&gt;Hoje),"",COUNTIF(D324:M324,"x"))</f>
        <v/>
      </c>
      <c r="O324" s="133" t="str">
        <f>IF(OR(N324="",COUNTA($D$16:$M$16)=0),"",N324/COUNTA($D$16:$M$16))</f>
        <v/>
      </c>
      <c r="Q324">
        <f>IF(D324="x",Q323+1,0)</f>
        <v>0</v>
      </c>
      <c r="R324">
        <f>IF(E324="x",R323+1,0)</f>
        <v>0</v>
      </c>
      <c r="S324">
        <f>IF(F324="x",S323+1,0)</f>
        <v>0</v>
      </c>
      <c r="T324">
        <f>IF(G324="x",T323+1,0)</f>
        <v>0</v>
      </c>
      <c r="U324">
        <f>IF(H324="x",U323+1,0)</f>
        <v>0</v>
      </c>
      <c r="V324">
        <f>IF(I324="x",V323+1,0)</f>
        <v>0</v>
      </c>
      <c r="W324">
        <f>IF(J324="x",W323+1,0)</f>
        <v>0</v>
      </c>
      <c r="X324">
        <f>IF(K324="x",X323+1,0)</f>
        <v>0</v>
      </c>
      <c r="Y324">
        <f>IF(L324="x",Y323+1,0)</f>
        <v>0</v>
      </c>
      <c r="Z324">
        <f>IF(M324="x",Z323+1,0)</f>
        <v>0</v>
      </c>
    </row>
    <row r="325">
      <c r="B325" s="137">
        <f>IF(B324="","",IF(YEAR(B324+1)=Ano,B324+1,""))</f>
        <v>46331.0</v>
      </c>
      <c r="C325" s="128" t="str">
        <f>IF(B325="","",CHOOSE(WEEKDAY(B325),"Dom","Seg","Ter","Qua","Qui","Sex","Sáb"))</f>
        <v>Qui</v>
      </c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28" t="str">
        <f>IF(OR(B325="",B325&gt;Hoje),"",COUNTIF(D325:M325,"x"))</f>
        <v/>
      </c>
      <c r="O325" s="133" t="str">
        <f>IF(OR(N325="",COUNTA($D$16:$M$16)=0),"",N325/COUNTA($D$16:$M$16))</f>
        <v/>
      </c>
      <c r="Q325">
        <f>IF(D325="x",Q324+1,0)</f>
        <v>0</v>
      </c>
      <c r="R325">
        <f>IF(E325="x",R324+1,0)</f>
        <v>0</v>
      </c>
      <c r="S325">
        <f>IF(F325="x",S324+1,0)</f>
        <v>0</v>
      </c>
      <c r="T325">
        <f>IF(G325="x",T324+1,0)</f>
        <v>0</v>
      </c>
      <c r="U325">
        <f>IF(H325="x",U324+1,0)</f>
        <v>0</v>
      </c>
      <c r="V325">
        <f>IF(I325="x",V324+1,0)</f>
        <v>0</v>
      </c>
      <c r="W325">
        <f>IF(J325="x",W324+1,0)</f>
        <v>0</v>
      </c>
      <c r="X325">
        <f>IF(K325="x",X324+1,0)</f>
        <v>0</v>
      </c>
      <c r="Y325">
        <f>IF(L325="x",Y324+1,0)</f>
        <v>0</v>
      </c>
      <c r="Z325">
        <f>IF(M325="x",Z324+1,0)</f>
        <v>0</v>
      </c>
    </row>
    <row r="326">
      <c r="B326" s="137">
        <f>IF(B325="","",IF(YEAR(B325+1)=Ano,B325+1,""))</f>
        <v>46332.0</v>
      </c>
      <c r="C326" s="128" t="str">
        <f>IF(B326="","",CHOOSE(WEEKDAY(B326),"Dom","Seg","Ter","Qua","Qui","Sex","Sáb"))</f>
        <v>Sex</v>
      </c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28" t="str">
        <f>IF(OR(B326="",B326&gt;Hoje),"",COUNTIF(D326:M326,"x"))</f>
        <v/>
      </c>
      <c r="O326" s="133" t="str">
        <f>IF(OR(N326="",COUNTA($D$16:$M$16)=0),"",N326/COUNTA($D$16:$M$16))</f>
        <v/>
      </c>
      <c r="Q326">
        <f>IF(D326="x",Q325+1,0)</f>
        <v>0</v>
      </c>
      <c r="R326">
        <f>IF(E326="x",R325+1,0)</f>
        <v>0</v>
      </c>
      <c r="S326">
        <f>IF(F326="x",S325+1,0)</f>
        <v>0</v>
      </c>
      <c r="T326">
        <f>IF(G326="x",T325+1,0)</f>
        <v>0</v>
      </c>
      <c r="U326">
        <f>IF(H326="x",U325+1,0)</f>
        <v>0</v>
      </c>
      <c r="V326">
        <f>IF(I326="x",V325+1,0)</f>
        <v>0</v>
      </c>
      <c r="W326">
        <f>IF(J326="x",W325+1,0)</f>
        <v>0</v>
      </c>
      <c r="X326">
        <f>IF(K326="x",X325+1,0)</f>
        <v>0</v>
      </c>
      <c r="Y326">
        <f>IF(L326="x",Y325+1,0)</f>
        <v>0</v>
      </c>
      <c r="Z326">
        <f>IF(M326="x",Z325+1,0)</f>
        <v>0</v>
      </c>
    </row>
    <row r="327">
      <c r="B327" s="137">
        <f>IF(B326="","",IF(YEAR(B326+1)=Ano,B326+1,""))</f>
        <v>46333.0</v>
      </c>
      <c r="C327" s="128" t="str">
        <f>IF(B327="","",CHOOSE(WEEKDAY(B327),"Dom","Seg","Ter","Qua","Qui","Sex","Sáb"))</f>
        <v>Sáb</v>
      </c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28" t="str">
        <f>IF(OR(B327="",B327&gt;Hoje),"",COUNTIF(D327:M327,"x"))</f>
        <v/>
      </c>
      <c r="O327" s="133" t="str">
        <f>IF(OR(N327="",COUNTA($D$16:$M$16)=0),"",N327/COUNTA($D$16:$M$16))</f>
        <v/>
      </c>
      <c r="Q327">
        <f>IF(D327="x",Q326+1,0)</f>
        <v>0</v>
      </c>
      <c r="R327">
        <f>IF(E327="x",R326+1,0)</f>
        <v>0</v>
      </c>
      <c r="S327">
        <f>IF(F327="x",S326+1,0)</f>
        <v>0</v>
      </c>
      <c r="T327">
        <f>IF(G327="x",T326+1,0)</f>
        <v>0</v>
      </c>
      <c r="U327">
        <f>IF(H327="x",U326+1,0)</f>
        <v>0</v>
      </c>
      <c r="V327">
        <f>IF(I327="x",V326+1,0)</f>
        <v>0</v>
      </c>
      <c r="W327">
        <f>IF(J327="x",W326+1,0)</f>
        <v>0</v>
      </c>
      <c r="X327">
        <f>IF(K327="x",X326+1,0)</f>
        <v>0</v>
      </c>
      <c r="Y327">
        <f>IF(L327="x",Y326+1,0)</f>
        <v>0</v>
      </c>
      <c r="Z327">
        <f>IF(M327="x",Z326+1,0)</f>
        <v>0</v>
      </c>
    </row>
    <row r="328">
      <c r="B328" s="137">
        <f>IF(B327="","",IF(YEAR(B327+1)=Ano,B327+1,""))</f>
        <v>46334.0</v>
      </c>
      <c r="C328" s="128" t="str">
        <f>IF(B328="","",CHOOSE(WEEKDAY(B328),"Dom","Seg","Ter","Qua","Qui","Sex","Sáb"))</f>
        <v>Dom</v>
      </c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28" t="str">
        <f>IF(OR(B328="",B328&gt;Hoje),"",COUNTIF(D328:M328,"x"))</f>
        <v/>
      </c>
      <c r="O328" s="133" t="str">
        <f>IF(OR(N328="",COUNTA($D$16:$M$16)=0),"",N328/COUNTA($D$16:$M$16))</f>
        <v/>
      </c>
      <c r="Q328">
        <f>IF(D328="x",Q327+1,0)</f>
        <v>0</v>
      </c>
      <c r="R328">
        <f>IF(E328="x",R327+1,0)</f>
        <v>0</v>
      </c>
      <c r="S328">
        <f>IF(F328="x",S327+1,0)</f>
        <v>0</v>
      </c>
      <c r="T328">
        <f>IF(G328="x",T327+1,0)</f>
        <v>0</v>
      </c>
      <c r="U328">
        <f>IF(H328="x",U327+1,0)</f>
        <v>0</v>
      </c>
      <c r="V328">
        <f>IF(I328="x",V327+1,0)</f>
        <v>0</v>
      </c>
      <c r="W328">
        <f>IF(J328="x",W327+1,0)</f>
        <v>0</v>
      </c>
      <c r="X328">
        <f>IF(K328="x",X327+1,0)</f>
        <v>0</v>
      </c>
      <c r="Y328">
        <f>IF(L328="x",Y327+1,0)</f>
        <v>0</v>
      </c>
      <c r="Z328">
        <f>IF(M328="x",Z327+1,0)</f>
        <v>0</v>
      </c>
    </row>
    <row r="329">
      <c r="B329" s="137">
        <f>IF(B328="","",IF(YEAR(B328+1)=Ano,B328+1,""))</f>
        <v>46335.0</v>
      </c>
      <c r="C329" s="128" t="str">
        <f>IF(B329="","",CHOOSE(WEEKDAY(B329),"Dom","Seg","Ter","Qua","Qui","Sex","Sáb"))</f>
        <v>Seg</v>
      </c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28" t="str">
        <f>IF(OR(B329="",B329&gt;Hoje),"",COUNTIF(D329:M329,"x"))</f>
        <v/>
      </c>
      <c r="O329" s="133" t="str">
        <f>IF(OR(N329="",COUNTA($D$16:$M$16)=0),"",N329/COUNTA($D$16:$M$16))</f>
        <v/>
      </c>
      <c r="Q329">
        <f>IF(D329="x",Q328+1,0)</f>
        <v>0</v>
      </c>
      <c r="R329">
        <f>IF(E329="x",R328+1,0)</f>
        <v>0</v>
      </c>
      <c r="S329">
        <f>IF(F329="x",S328+1,0)</f>
        <v>0</v>
      </c>
      <c r="T329">
        <f>IF(G329="x",T328+1,0)</f>
        <v>0</v>
      </c>
      <c r="U329">
        <f>IF(H329="x",U328+1,0)</f>
        <v>0</v>
      </c>
      <c r="V329">
        <f>IF(I329="x",V328+1,0)</f>
        <v>0</v>
      </c>
      <c r="W329">
        <f>IF(J329="x",W328+1,0)</f>
        <v>0</v>
      </c>
      <c r="X329">
        <f>IF(K329="x",X328+1,0)</f>
        <v>0</v>
      </c>
      <c r="Y329">
        <f>IF(L329="x",Y328+1,0)</f>
        <v>0</v>
      </c>
      <c r="Z329">
        <f>IF(M329="x",Z328+1,0)</f>
        <v>0</v>
      </c>
    </row>
    <row r="330">
      <c r="B330" s="137">
        <f>IF(B329="","",IF(YEAR(B329+1)=Ano,B329+1,""))</f>
        <v>46336.0</v>
      </c>
      <c r="C330" s="128" t="str">
        <f>IF(B330="","",CHOOSE(WEEKDAY(B330),"Dom","Seg","Ter","Qua","Qui","Sex","Sáb"))</f>
        <v>Ter</v>
      </c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28" t="str">
        <f>IF(OR(B330="",B330&gt;Hoje),"",COUNTIF(D330:M330,"x"))</f>
        <v/>
      </c>
      <c r="O330" s="133" t="str">
        <f>IF(OR(N330="",COUNTA($D$16:$M$16)=0),"",N330/COUNTA($D$16:$M$16))</f>
        <v/>
      </c>
      <c r="Q330">
        <f>IF(D330="x",Q329+1,0)</f>
        <v>0</v>
      </c>
      <c r="R330">
        <f>IF(E330="x",R329+1,0)</f>
        <v>0</v>
      </c>
      <c r="S330">
        <f>IF(F330="x",S329+1,0)</f>
        <v>0</v>
      </c>
      <c r="T330">
        <f>IF(G330="x",T329+1,0)</f>
        <v>0</v>
      </c>
      <c r="U330">
        <f>IF(H330="x",U329+1,0)</f>
        <v>0</v>
      </c>
      <c r="V330">
        <f>IF(I330="x",V329+1,0)</f>
        <v>0</v>
      </c>
      <c r="W330">
        <f>IF(J330="x",W329+1,0)</f>
        <v>0</v>
      </c>
      <c r="X330">
        <f>IF(K330="x",X329+1,0)</f>
        <v>0</v>
      </c>
      <c r="Y330">
        <f>IF(L330="x",Y329+1,0)</f>
        <v>0</v>
      </c>
      <c r="Z330">
        <f>IF(M330="x",Z329+1,0)</f>
        <v>0</v>
      </c>
    </row>
    <row r="331">
      <c r="B331" s="137">
        <f>IF(B330="","",IF(YEAR(B330+1)=Ano,B330+1,""))</f>
        <v>46337.0</v>
      </c>
      <c r="C331" s="128" t="str">
        <f>IF(B331="","",CHOOSE(WEEKDAY(B331),"Dom","Seg","Ter","Qua","Qui","Sex","Sáb"))</f>
        <v>Qua</v>
      </c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28" t="str">
        <f>IF(OR(B331="",B331&gt;Hoje),"",COUNTIF(D331:M331,"x"))</f>
        <v/>
      </c>
      <c r="O331" s="133" t="str">
        <f>IF(OR(N331="",COUNTA($D$16:$M$16)=0),"",N331/COUNTA($D$16:$M$16))</f>
        <v/>
      </c>
      <c r="Q331">
        <f>IF(D331="x",Q330+1,0)</f>
        <v>0</v>
      </c>
      <c r="R331">
        <f>IF(E331="x",R330+1,0)</f>
        <v>0</v>
      </c>
      <c r="S331">
        <f>IF(F331="x",S330+1,0)</f>
        <v>0</v>
      </c>
      <c r="T331">
        <f>IF(G331="x",T330+1,0)</f>
        <v>0</v>
      </c>
      <c r="U331">
        <f>IF(H331="x",U330+1,0)</f>
        <v>0</v>
      </c>
      <c r="V331">
        <f>IF(I331="x",V330+1,0)</f>
        <v>0</v>
      </c>
      <c r="W331">
        <f>IF(J331="x",W330+1,0)</f>
        <v>0</v>
      </c>
      <c r="X331">
        <f>IF(K331="x",X330+1,0)</f>
        <v>0</v>
      </c>
      <c r="Y331">
        <f>IF(L331="x",Y330+1,0)</f>
        <v>0</v>
      </c>
      <c r="Z331">
        <f>IF(M331="x",Z330+1,0)</f>
        <v>0</v>
      </c>
    </row>
    <row r="332">
      <c r="B332" s="137">
        <f>IF(B331="","",IF(YEAR(B331+1)=Ano,B331+1,""))</f>
        <v>46338.0</v>
      </c>
      <c r="C332" s="128" t="str">
        <f>IF(B332="","",CHOOSE(WEEKDAY(B332),"Dom","Seg","Ter","Qua","Qui","Sex","Sáb"))</f>
        <v>Qui</v>
      </c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28" t="str">
        <f>IF(OR(B332="",B332&gt;Hoje),"",COUNTIF(D332:M332,"x"))</f>
        <v/>
      </c>
      <c r="O332" s="133" t="str">
        <f>IF(OR(N332="",COUNTA($D$16:$M$16)=0),"",N332/COUNTA($D$16:$M$16))</f>
        <v/>
      </c>
      <c r="Q332">
        <f>IF(D332="x",Q331+1,0)</f>
        <v>0</v>
      </c>
      <c r="R332">
        <f>IF(E332="x",R331+1,0)</f>
        <v>0</v>
      </c>
      <c r="S332">
        <f>IF(F332="x",S331+1,0)</f>
        <v>0</v>
      </c>
      <c r="T332">
        <f>IF(G332="x",T331+1,0)</f>
        <v>0</v>
      </c>
      <c r="U332">
        <f>IF(H332="x",U331+1,0)</f>
        <v>0</v>
      </c>
      <c r="V332">
        <f>IF(I332="x",V331+1,0)</f>
        <v>0</v>
      </c>
      <c r="W332">
        <f>IF(J332="x",W331+1,0)</f>
        <v>0</v>
      </c>
      <c r="X332">
        <f>IF(K332="x",X331+1,0)</f>
        <v>0</v>
      </c>
      <c r="Y332">
        <f>IF(L332="x",Y331+1,0)</f>
        <v>0</v>
      </c>
      <c r="Z332">
        <f>IF(M332="x",Z331+1,0)</f>
        <v>0</v>
      </c>
    </row>
    <row r="333">
      <c r="B333" s="137">
        <f>IF(B332="","",IF(YEAR(B332+1)=Ano,B332+1,""))</f>
        <v>46339.0</v>
      </c>
      <c r="C333" s="128" t="str">
        <f>IF(B333="","",CHOOSE(WEEKDAY(B333),"Dom","Seg","Ter","Qua","Qui","Sex","Sáb"))</f>
        <v>Sex</v>
      </c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28" t="str">
        <f>IF(OR(B333="",B333&gt;Hoje),"",COUNTIF(D333:M333,"x"))</f>
        <v/>
      </c>
      <c r="O333" s="133" t="str">
        <f>IF(OR(N333="",COUNTA($D$16:$M$16)=0),"",N333/COUNTA($D$16:$M$16))</f>
        <v/>
      </c>
      <c r="Q333">
        <f>IF(D333="x",Q332+1,0)</f>
        <v>0</v>
      </c>
      <c r="R333">
        <f>IF(E333="x",R332+1,0)</f>
        <v>0</v>
      </c>
      <c r="S333">
        <f>IF(F333="x",S332+1,0)</f>
        <v>0</v>
      </c>
      <c r="T333">
        <f>IF(G333="x",T332+1,0)</f>
        <v>0</v>
      </c>
      <c r="U333">
        <f>IF(H333="x",U332+1,0)</f>
        <v>0</v>
      </c>
      <c r="V333">
        <f>IF(I333="x",V332+1,0)</f>
        <v>0</v>
      </c>
      <c r="W333">
        <f>IF(J333="x",W332+1,0)</f>
        <v>0</v>
      </c>
      <c r="X333">
        <f>IF(K333="x",X332+1,0)</f>
        <v>0</v>
      </c>
      <c r="Y333">
        <f>IF(L333="x",Y332+1,0)</f>
        <v>0</v>
      </c>
      <c r="Z333">
        <f>IF(M333="x",Z332+1,0)</f>
        <v>0</v>
      </c>
    </row>
    <row r="334">
      <c r="B334" s="137">
        <f>IF(B333="","",IF(YEAR(B333+1)=Ano,B333+1,""))</f>
        <v>46340.0</v>
      </c>
      <c r="C334" s="128" t="str">
        <f>IF(B334="","",CHOOSE(WEEKDAY(B334),"Dom","Seg","Ter","Qua","Qui","Sex","Sáb"))</f>
        <v>Sáb</v>
      </c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28" t="str">
        <f>IF(OR(B334="",B334&gt;Hoje),"",COUNTIF(D334:M334,"x"))</f>
        <v/>
      </c>
      <c r="O334" s="133" t="str">
        <f>IF(OR(N334="",COUNTA($D$16:$M$16)=0),"",N334/COUNTA($D$16:$M$16))</f>
        <v/>
      </c>
      <c r="Q334">
        <f>IF(D334="x",Q333+1,0)</f>
        <v>0</v>
      </c>
      <c r="R334">
        <f>IF(E334="x",R333+1,0)</f>
        <v>0</v>
      </c>
      <c r="S334">
        <f>IF(F334="x",S333+1,0)</f>
        <v>0</v>
      </c>
      <c r="T334">
        <f>IF(G334="x",T333+1,0)</f>
        <v>0</v>
      </c>
      <c r="U334">
        <f>IF(H334="x",U333+1,0)</f>
        <v>0</v>
      </c>
      <c r="V334">
        <f>IF(I334="x",V333+1,0)</f>
        <v>0</v>
      </c>
      <c r="W334">
        <f>IF(J334="x",W333+1,0)</f>
        <v>0</v>
      </c>
      <c r="X334">
        <f>IF(K334="x",X333+1,0)</f>
        <v>0</v>
      </c>
      <c r="Y334">
        <f>IF(L334="x",Y333+1,0)</f>
        <v>0</v>
      </c>
      <c r="Z334">
        <f>IF(M334="x",Z333+1,0)</f>
        <v>0</v>
      </c>
    </row>
    <row r="335">
      <c r="B335" s="137">
        <f>IF(B334="","",IF(YEAR(B334+1)=Ano,B334+1,""))</f>
        <v>46341.0</v>
      </c>
      <c r="C335" s="128" t="str">
        <f>IF(B335="","",CHOOSE(WEEKDAY(B335),"Dom","Seg","Ter","Qua","Qui","Sex","Sáb"))</f>
        <v>Dom</v>
      </c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28" t="str">
        <f>IF(OR(B335="",B335&gt;Hoje),"",COUNTIF(D335:M335,"x"))</f>
        <v/>
      </c>
      <c r="O335" s="133" t="str">
        <f>IF(OR(N335="",COUNTA($D$16:$M$16)=0),"",N335/COUNTA($D$16:$M$16))</f>
        <v/>
      </c>
      <c r="Q335">
        <f>IF(D335="x",Q334+1,0)</f>
        <v>0</v>
      </c>
      <c r="R335">
        <f>IF(E335="x",R334+1,0)</f>
        <v>0</v>
      </c>
      <c r="S335">
        <f>IF(F335="x",S334+1,0)</f>
        <v>0</v>
      </c>
      <c r="T335">
        <f>IF(G335="x",T334+1,0)</f>
        <v>0</v>
      </c>
      <c r="U335">
        <f>IF(H335="x",U334+1,0)</f>
        <v>0</v>
      </c>
      <c r="V335">
        <f>IF(I335="x",V334+1,0)</f>
        <v>0</v>
      </c>
      <c r="W335">
        <f>IF(J335="x",W334+1,0)</f>
        <v>0</v>
      </c>
      <c r="X335">
        <f>IF(K335="x",X334+1,0)</f>
        <v>0</v>
      </c>
      <c r="Y335">
        <f>IF(L335="x",Y334+1,0)</f>
        <v>0</v>
      </c>
      <c r="Z335">
        <f>IF(M335="x",Z334+1,0)</f>
        <v>0</v>
      </c>
    </row>
    <row r="336">
      <c r="B336" s="137">
        <f>IF(B335="","",IF(YEAR(B335+1)=Ano,B335+1,""))</f>
        <v>46342.0</v>
      </c>
      <c r="C336" s="128" t="str">
        <f>IF(B336="","",CHOOSE(WEEKDAY(B336),"Dom","Seg","Ter","Qua","Qui","Sex","Sáb"))</f>
        <v>Seg</v>
      </c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28" t="str">
        <f>IF(OR(B336="",B336&gt;Hoje),"",COUNTIF(D336:M336,"x"))</f>
        <v/>
      </c>
      <c r="O336" s="133" t="str">
        <f>IF(OR(N336="",COUNTA($D$16:$M$16)=0),"",N336/COUNTA($D$16:$M$16))</f>
        <v/>
      </c>
      <c r="Q336">
        <f>IF(D336="x",Q335+1,0)</f>
        <v>0</v>
      </c>
      <c r="R336">
        <f>IF(E336="x",R335+1,0)</f>
        <v>0</v>
      </c>
      <c r="S336">
        <f>IF(F336="x",S335+1,0)</f>
        <v>0</v>
      </c>
      <c r="T336">
        <f>IF(G336="x",T335+1,0)</f>
        <v>0</v>
      </c>
      <c r="U336">
        <f>IF(H336="x",U335+1,0)</f>
        <v>0</v>
      </c>
      <c r="V336">
        <f>IF(I336="x",V335+1,0)</f>
        <v>0</v>
      </c>
      <c r="W336">
        <f>IF(J336="x",W335+1,0)</f>
        <v>0</v>
      </c>
      <c r="X336">
        <f>IF(K336="x",X335+1,0)</f>
        <v>0</v>
      </c>
      <c r="Y336">
        <f>IF(L336="x",Y335+1,0)</f>
        <v>0</v>
      </c>
      <c r="Z336">
        <f>IF(M336="x",Z335+1,0)</f>
        <v>0</v>
      </c>
    </row>
    <row r="337">
      <c r="B337" s="137">
        <f>IF(B336="","",IF(YEAR(B336+1)=Ano,B336+1,""))</f>
        <v>46343.0</v>
      </c>
      <c r="C337" s="128" t="str">
        <f>IF(B337="","",CHOOSE(WEEKDAY(B337),"Dom","Seg","Ter","Qua","Qui","Sex","Sáb"))</f>
        <v>Ter</v>
      </c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28" t="str">
        <f>IF(OR(B337="",B337&gt;Hoje),"",COUNTIF(D337:M337,"x"))</f>
        <v/>
      </c>
      <c r="O337" s="133" t="str">
        <f>IF(OR(N337="",COUNTA($D$16:$M$16)=0),"",N337/COUNTA($D$16:$M$16))</f>
        <v/>
      </c>
      <c r="Q337">
        <f>IF(D337="x",Q336+1,0)</f>
        <v>0</v>
      </c>
      <c r="R337">
        <f>IF(E337="x",R336+1,0)</f>
        <v>0</v>
      </c>
      <c r="S337">
        <f>IF(F337="x",S336+1,0)</f>
        <v>0</v>
      </c>
      <c r="T337">
        <f>IF(G337="x",T336+1,0)</f>
        <v>0</v>
      </c>
      <c r="U337">
        <f>IF(H337="x",U336+1,0)</f>
        <v>0</v>
      </c>
      <c r="V337">
        <f>IF(I337="x",V336+1,0)</f>
        <v>0</v>
      </c>
      <c r="W337">
        <f>IF(J337="x",W336+1,0)</f>
        <v>0</v>
      </c>
      <c r="X337">
        <f>IF(K337="x",X336+1,0)</f>
        <v>0</v>
      </c>
      <c r="Y337">
        <f>IF(L337="x",Y336+1,0)</f>
        <v>0</v>
      </c>
      <c r="Z337">
        <f>IF(M337="x",Z336+1,0)</f>
        <v>0</v>
      </c>
    </row>
    <row r="338">
      <c r="B338" s="137">
        <f>IF(B337="","",IF(YEAR(B337+1)=Ano,B337+1,""))</f>
        <v>46344.0</v>
      </c>
      <c r="C338" s="128" t="str">
        <f>IF(B338="","",CHOOSE(WEEKDAY(B338),"Dom","Seg","Ter","Qua","Qui","Sex","Sáb"))</f>
        <v>Qua</v>
      </c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28" t="str">
        <f>IF(OR(B338="",B338&gt;Hoje),"",COUNTIF(D338:M338,"x"))</f>
        <v/>
      </c>
      <c r="O338" s="133" t="str">
        <f>IF(OR(N338="",COUNTA($D$16:$M$16)=0),"",N338/COUNTA($D$16:$M$16))</f>
        <v/>
      </c>
      <c r="Q338">
        <f>IF(D338="x",Q337+1,0)</f>
        <v>0</v>
      </c>
      <c r="R338">
        <f>IF(E338="x",R337+1,0)</f>
        <v>0</v>
      </c>
      <c r="S338">
        <f>IF(F338="x",S337+1,0)</f>
        <v>0</v>
      </c>
      <c r="T338">
        <f>IF(G338="x",T337+1,0)</f>
        <v>0</v>
      </c>
      <c r="U338">
        <f>IF(H338="x",U337+1,0)</f>
        <v>0</v>
      </c>
      <c r="V338">
        <f>IF(I338="x",V337+1,0)</f>
        <v>0</v>
      </c>
      <c r="W338">
        <f>IF(J338="x",W337+1,0)</f>
        <v>0</v>
      </c>
      <c r="X338">
        <f>IF(K338="x",X337+1,0)</f>
        <v>0</v>
      </c>
      <c r="Y338">
        <f>IF(L338="x",Y337+1,0)</f>
        <v>0</v>
      </c>
      <c r="Z338">
        <f>IF(M338="x",Z337+1,0)</f>
        <v>0</v>
      </c>
    </row>
    <row r="339">
      <c r="B339" s="137">
        <f>IF(B338="","",IF(YEAR(B338+1)=Ano,B338+1,""))</f>
        <v>46345.0</v>
      </c>
      <c r="C339" s="128" t="str">
        <f>IF(B339="","",CHOOSE(WEEKDAY(B339),"Dom","Seg","Ter","Qua","Qui","Sex","Sáb"))</f>
        <v>Qui</v>
      </c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28" t="str">
        <f>IF(OR(B339="",B339&gt;Hoje),"",COUNTIF(D339:M339,"x"))</f>
        <v/>
      </c>
      <c r="O339" s="133" t="str">
        <f>IF(OR(N339="",COUNTA($D$16:$M$16)=0),"",N339/COUNTA($D$16:$M$16))</f>
        <v/>
      </c>
      <c r="Q339">
        <f>IF(D339="x",Q338+1,0)</f>
        <v>0</v>
      </c>
      <c r="R339">
        <f>IF(E339="x",R338+1,0)</f>
        <v>0</v>
      </c>
      <c r="S339">
        <f>IF(F339="x",S338+1,0)</f>
        <v>0</v>
      </c>
      <c r="T339">
        <f>IF(G339="x",T338+1,0)</f>
        <v>0</v>
      </c>
      <c r="U339">
        <f>IF(H339="x",U338+1,0)</f>
        <v>0</v>
      </c>
      <c r="V339">
        <f>IF(I339="x",V338+1,0)</f>
        <v>0</v>
      </c>
      <c r="W339">
        <f>IF(J339="x",W338+1,0)</f>
        <v>0</v>
      </c>
      <c r="X339">
        <f>IF(K339="x",X338+1,0)</f>
        <v>0</v>
      </c>
      <c r="Y339">
        <f>IF(L339="x",Y338+1,0)</f>
        <v>0</v>
      </c>
      <c r="Z339">
        <f>IF(M339="x",Z338+1,0)</f>
        <v>0</v>
      </c>
    </row>
    <row r="340">
      <c r="B340" s="137">
        <f>IF(B339="","",IF(YEAR(B339+1)=Ano,B339+1,""))</f>
        <v>46346.0</v>
      </c>
      <c r="C340" s="128" t="str">
        <f>IF(B340="","",CHOOSE(WEEKDAY(B340),"Dom","Seg","Ter","Qua","Qui","Sex","Sáb"))</f>
        <v>Sex</v>
      </c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28" t="str">
        <f>IF(OR(B340="",B340&gt;Hoje),"",COUNTIF(D340:M340,"x"))</f>
        <v/>
      </c>
      <c r="O340" s="133" t="str">
        <f>IF(OR(N340="",COUNTA($D$16:$M$16)=0),"",N340/COUNTA($D$16:$M$16))</f>
        <v/>
      </c>
      <c r="Q340">
        <f>IF(D340="x",Q339+1,0)</f>
        <v>0</v>
      </c>
      <c r="R340">
        <f>IF(E340="x",R339+1,0)</f>
        <v>0</v>
      </c>
      <c r="S340">
        <f>IF(F340="x",S339+1,0)</f>
        <v>0</v>
      </c>
      <c r="T340">
        <f>IF(G340="x",T339+1,0)</f>
        <v>0</v>
      </c>
      <c r="U340">
        <f>IF(H340="x",U339+1,0)</f>
        <v>0</v>
      </c>
      <c r="V340">
        <f>IF(I340="x",V339+1,0)</f>
        <v>0</v>
      </c>
      <c r="W340">
        <f>IF(J340="x",W339+1,0)</f>
        <v>0</v>
      </c>
      <c r="X340">
        <f>IF(K340="x",X339+1,0)</f>
        <v>0</v>
      </c>
      <c r="Y340">
        <f>IF(L340="x",Y339+1,0)</f>
        <v>0</v>
      </c>
      <c r="Z340">
        <f>IF(M340="x",Z339+1,0)</f>
        <v>0</v>
      </c>
    </row>
    <row r="341">
      <c r="B341" s="137">
        <f>IF(B340="","",IF(YEAR(B340+1)=Ano,B340+1,""))</f>
        <v>46347.0</v>
      </c>
      <c r="C341" s="128" t="str">
        <f>IF(B341="","",CHOOSE(WEEKDAY(B341),"Dom","Seg","Ter","Qua","Qui","Sex","Sáb"))</f>
        <v>Sáb</v>
      </c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28" t="str">
        <f>IF(OR(B341="",B341&gt;Hoje),"",COUNTIF(D341:M341,"x"))</f>
        <v/>
      </c>
      <c r="O341" s="133" t="str">
        <f>IF(OR(N341="",COUNTA($D$16:$M$16)=0),"",N341/COUNTA($D$16:$M$16))</f>
        <v/>
      </c>
      <c r="Q341">
        <f>IF(D341="x",Q340+1,0)</f>
        <v>0</v>
      </c>
      <c r="R341">
        <f>IF(E341="x",R340+1,0)</f>
        <v>0</v>
      </c>
      <c r="S341">
        <f>IF(F341="x",S340+1,0)</f>
        <v>0</v>
      </c>
      <c r="T341">
        <f>IF(G341="x",T340+1,0)</f>
        <v>0</v>
      </c>
      <c r="U341">
        <f>IF(H341="x",U340+1,0)</f>
        <v>0</v>
      </c>
      <c r="V341">
        <f>IF(I341="x",V340+1,0)</f>
        <v>0</v>
      </c>
      <c r="W341">
        <f>IF(J341="x",W340+1,0)</f>
        <v>0</v>
      </c>
      <c r="X341">
        <f>IF(K341="x",X340+1,0)</f>
        <v>0</v>
      </c>
      <c r="Y341">
        <f>IF(L341="x",Y340+1,0)</f>
        <v>0</v>
      </c>
      <c r="Z341">
        <f>IF(M341="x",Z340+1,0)</f>
        <v>0</v>
      </c>
    </row>
    <row r="342">
      <c r="B342" s="137">
        <f>IF(B341="","",IF(YEAR(B341+1)=Ano,B341+1,""))</f>
        <v>46348.0</v>
      </c>
      <c r="C342" s="128" t="str">
        <f>IF(B342="","",CHOOSE(WEEKDAY(B342),"Dom","Seg","Ter","Qua","Qui","Sex","Sáb"))</f>
        <v>Dom</v>
      </c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28" t="str">
        <f>IF(OR(B342="",B342&gt;Hoje),"",COUNTIF(D342:M342,"x"))</f>
        <v/>
      </c>
      <c r="O342" s="133" t="str">
        <f>IF(OR(N342="",COUNTA($D$16:$M$16)=0),"",N342/COUNTA($D$16:$M$16))</f>
        <v/>
      </c>
      <c r="Q342">
        <f>IF(D342="x",Q341+1,0)</f>
        <v>0</v>
      </c>
      <c r="R342">
        <f>IF(E342="x",R341+1,0)</f>
        <v>0</v>
      </c>
      <c r="S342">
        <f>IF(F342="x",S341+1,0)</f>
        <v>0</v>
      </c>
      <c r="T342">
        <f>IF(G342="x",T341+1,0)</f>
        <v>0</v>
      </c>
      <c r="U342">
        <f>IF(H342="x",U341+1,0)</f>
        <v>0</v>
      </c>
      <c r="V342">
        <f>IF(I342="x",V341+1,0)</f>
        <v>0</v>
      </c>
      <c r="W342">
        <f>IF(J342="x",W341+1,0)</f>
        <v>0</v>
      </c>
      <c r="X342">
        <f>IF(K342="x",X341+1,0)</f>
        <v>0</v>
      </c>
      <c r="Y342">
        <f>IF(L342="x",Y341+1,0)</f>
        <v>0</v>
      </c>
      <c r="Z342">
        <f>IF(M342="x",Z341+1,0)</f>
        <v>0</v>
      </c>
    </row>
    <row r="343">
      <c r="B343" s="137">
        <f>IF(B342="","",IF(YEAR(B342+1)=Ano,B342+1,""))</f>
        <v>46349.0</v>
      </c>
      <c r="C343" s="128" t="str">
        <f>IF(B343="","",CHOOSE(WEEKDAY(B343),"Dom","Seg","Ter","Qua","Qui","Sex","Sáb"))</f>
        <v>Seg</v>
      </c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28" t="str">
        <f>IF(OR(B343="",B343&gt;Hoje),"",COUNTIF(D343:M343,"x"))</f>
        <v/>
      </c>
      <c r="O343" s="133" t="str">
        <f>IF(OR(N343="",COUNTA($D$16:$M$16)=0),"",N343/COUNTA($D$16:$M$16))</f>
        <v/>
      </c>
      <c r="Q343">
        <f>IF(D343="x",Q342+1,0)</f>
        <v>0</v>
      </c>
      <c r="R343">
        <f>IF(E343="x",R342+1,0)</f>
        <v>0</v>
      </c>
      <c r="S343">
        <f>IF(F343="x",S342+1,0)</f>
        <v>0</v>
      </c>
      <c r="T343">
        <f>IF(G343="x",T342+1,0)</f>
        <v>0</v>
      </c>
      <c r="U343">
        <f>IF(H343="x",U342+1,0)</f>
        <v>0</v>
      </c>
      <c r="V343">
        <f>IF(I343="x",V342+1,0)</f>
        <v>0</v>
      </c>
      <c r="W343">
        <f>IF(J343="x",W342+1,0)</f>
        <v>0</v>
      </c>
      <c r="X343">
        <f>IF(K343="x",X342+1,0)</f>
        <v>0</v>
      </c>
      <c r="Y343">
        <f>IF(L343="x",Y342+1,0)</f>
        <v>0</v>
      </c>
      <c r="Z343">
        <f>IF(M343="x",Z342+1,0)</f>
        <v>0</v>
      </c>
    </row>
    <row r="344">
      <c r="B344" s="137">
        <f>IF(B343="","",IF(YEAR(B343+1)=Ano,B343+1,""))</f>
        <v>46350.0</v>
      </c>
      <c r="C344" s="128" t="str">
        <f>IF(B344="","",CHOOSE(WEEKDAY(B344),"Dom","Seg","Ter","Qua","Qui","Sex","Sáb"))</f>
        <v>Ter</v>
      </c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28" t="str">
        <f>IF(OR(B344="",B344&gt;Hoje),"",COUNTIF(D344:M344,"x"))</f>
        <v/>
      </c>
      <c r="O344" s="133" t="str">
        <f>IF(OR(N344="",COUNTA($D$16:$M$16)=0),"",N344/COUNTA($D$16:$M$16))</f>
        <v/>
      </c>
      <c r="Q344">
        <f>IF(D344="x",Q343+1,0)</f>
        <v>0</v>
      </c>
      <c r="R344">
        <f>IF(E344="x",R343+1,0)</f>
        <v>0</v>
      </c>
      <c r="S344">
        <f>IF(F344="x",S343+1,0)</f>
        <v>0</v>
      </c>
      <c r="T344">
        <f>IF(G344="x",T343+1,0)</f>
        <v>0</v>
      </c>
      <c r="U344">
        <f>IF(H344="x",U343+1,0)</f>
        <v>0</v>
      </c>
      <c r="V344">
        <f>IF(I344="x",V343+1,0)</f>
        <v>0</v>
      </c>
      <c r="W344">
        <f>IF(J344="x",W343+1,0)</f>
        <v>0</v>
      </c>
      <c r="X344">
        <f>IF(K344="x",X343+1,0)</f>
        <v>0</v>
      </c>
      <c r="Y344">
        <f>IF(L344="x",Y343+1,0)</f>
        <v>0</v>
      </c>
      <c r="Z344">
        <f>IF(M344="x",Z343+1,0)</f>
        <v>0</v>
      </c>
    </row>
    <row r="345">
      <c r="B345" s="137">
        <f>IF(B344="","",IF(YEAR(B344+1)=Ano,B344+1,""))</f>
        <v>46351.0</v>
      </c>
      <c r="C345" s="128" t="str">
        <f>IF(B345="","",CHOOSE(WEEKDAY(B345),"Dom","Seg","Ter","Qua","Qui","Sex","Sáb"))</f>
        <v>Qua</v>
      </c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28" t="str">
        <f>IF(OR(B345="",B345&gt;Hoje),"",COUNTIF(D345:M345,"x"))</f>
        <v/>
      </c>
      <c r="O345" s="133" t="str">
        <f>IF(OR(N345="",COUNTA($D$16:$M$16)=0),"",N345/COUNTA($D$16:$M$16))</f>
        <v/>
      </c>
      <c r="Q345">
        <f>IF(D345="x",Q344+1,0)</f>
        <v>0</v>
      </c>
      <c r="R345">
        <f>IF(E345="x",R344+1,0)</f>
        <v>0</v>
      </c>
      <c r="S345">
        <f>IF(F345="x",S344+1,0)</f>
        <v>0</v>
      </c>
      <c r="T345">
        <f>IF(G345="x",T344+1,0)</f>
        <v>0</v>
      </c>
      <c r="U345">
        <f>IF(H345="x",U344+1,0)</f>
        <v>0</v>
      </c>
      <c r="V345">
        <f>IF(I345="x",V344+1,0)</f>
        <v>0</v>
      </c>
      <c r="W345">
        <f>IF(J345="x",W344+1,0)</f>
        <v>0</v>
      </c>
      <c r="X345">
        <f>IF(K345="x",X344+1,0)</f>
        <v>0</v>
      </c>
      <c r="Y345">
        <f>IF(L345="x",Y344+1,0)</f>
        <v>0</v>
      </c>
      <c r="Z345">
        <f>IF(M345="x",Z344+1,0)</f>
        <v>0</v>
      </c>
    </row>
    <row r="346">
      <c r="B346" s="137">
        <f>IF(B345="","",IF(YEAR(B345+1)=Ano,B345+1,""))</f>
        <v>46352.0</v>
      </c>
      <c r="C346" s="128" t="str">
        <f>IF(B346="","",CHOOSE(WEEKDAY(B346),"Dom","Seg","Ter","Qua","Qui","Sex","Sáb"))</f>
        <v>Qui</v>
      </c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28" t="str">
        <f>IF(OR(B346="",B346&gt;Hoje),"",COUNTIF(D346:M346,"x"))</f>
        <v/>
      </c>
      <c r="O346" s="133" t="str">
        <f>IF(OR(N346="",COUNTA($D$16:$M$16)=0),"",N346/COUNTA($D$16:$M$16))</f>
        <v/>
      </c>
      <c r="Q346">
        <f>IF(D346="x",Q345+1,0)</f>
        <v>0</v>
      </c>
      <c r="R346">
        <f>IF(E346="x",R345+1,0)</f>
        <v>0</v>
      </c>
      <c r="S346">
        <f>IF(F346="x",S345+1,0)</f>
        <v>0</v>
      </c>
      <c r="T346">
        <f>IF(G346="x",T345+1,0)</f>
        <v>0</v>
      </c>
      <c r="U346">
        <f>IF(H346="x",U345+1,0)</f>
        <v>0</v>
      </c>
      <c r="V346">
        <f>IF(I346="x",V345+1,0)</f>
        <v>0</v>
      </c>
      <c r="W346">
        <f>IF(J346="x",W345+1,0)</f>
        <v>0</v>
      </c>
      <c r="X346">
        <f>IF(K346="x",X345+1,0)</f>
        <v>0</v>
      </c>
      <c r="Y346">
        <f>IF(L346="x",Y345+1,0)</f>
        <v>0</v>
      </c>
      <c r="Z346">
        <f>IF(M346="x",Z345+1,0)</f>
        <v>0</v>
      </c>
    </row>
    <row r="347">
      <c r="B347" s="137">
        <f>IF(B346="","",IF(YEAR(B346+1)=Ano,B346+1,""))</f>
        <v>46353.0</v>
      </c>
      <c r="C347" s="128" t="str">
        <f>IF(B347="","",CHOOSE(WEEKDAY(B347),"Dom","Seg","Ter","Qua","Qui","Sex","Sáb"))</f>
        <v>Sex</v>
      </c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28" t="str">
        <f>IF(OR(B347="",B347&gt;Hoje),"",COUNTIF(D347:M347,"x"))</f>
        <v/>
      </c>
      <c r="O347" s="133" t="str">
        <f>IF(OR(N347="",COUNTA($D$16:$M$16)=0),"",N347/COUNTA($D$16:$M$16))</f>
        <v/>
      </c>
      <c r="Q347">
        <f>IF(D347="x",Q346+1,0)</f>
        <v>0</v>
      </c>
      <c r="R347">
        <f>IF(E347="x",R346+1,0)</f>
        <v>0</v>
      </c>
      <c r="S347">
        <f>IF(F347="x",S346+1,0)</f>
        <v>0</v>
      </c>
      <c r="T347">
        <f>IF(G347="x",T346+1,0)</f>
        <v>0</v>
      </c>
      <c r="U347">
        <f>IF(H347="x",U346+1,0)</f>
        <v>0</v>
      </c>
      <c r="V347">
        <f>IF(I347="x",V346+1,0)</f>
        <v>0</v>
      </c>
      <c r="W347">
        <f>IF(J347="x",W346+1,0)</f>
        <v>0</v>
      </c>
      <c r="X347">
        <f>IF(K347="x",X346+1,0)</f>
        <v>0</v>
      </c>
      <c r="Y347">
        <f>IF(L347="x",Y346+1,0)</f>
        <v>0</v>
      </c>
      <c r="Z347">
        <f>IF(M347="x",Z346+1,0)</f>
        <v>0</v>
      </c>
    </row>
    <row r="348">
      <c r="B348" s="137">
        <f>IF(B347="","",IF(YEAR(B347+1)=Ano,B347+1,""))</f>
        <v>46354.0</v>
      </c>
      <c r="C348" s="128" t="str">
        <f>IF(B348="","",CHOOSE(WEEKDAY(B348),"Dom","Seg","Ter","Qua","Qui","Sex","Sáb"))</f>
        <v>Sáb</v>
      </c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28" t="str">
        <f>IF(OR(B348="",B348&gt;Hoje),"",COUNTIF(D348:M348,"x"))</f>
        <v/>
      </c>
      <c r="O348" s="133" t="str">
        <f>IF(OR(N348="",COUNTA($D$16:$M$16)=0),"",N348/COUNTA($D$16:$M$16))</f>
        <v/>
      </c>
      <c r="Q348">
        <f>IF(D348="x",Q347+1,0)</f>
        <v>0</v>
      </c>
      <c r="R348">
        <f>IF(E348="x",R347+1,0)</f>
        <v>0</v>
      </c>
      <c r="S348">
        <f>IF(F348="x",S347+1,0)</f>
        <v>0</v>
      </c>
      <c r="T348">
        <f>IF(G348="x",T347+1,0)</f>
        <v>0</v>
      </c>
      <c r="U348">
        <f>IF(H348="x",U347+1,0)</f>
        <v>0</v>
      </c>
      <c r="V348">
        <f>IF(I348="x",V347+1,0)</f>
        <v>0</v>
      </c>
      <c r="W348">
        <f>IF(J348="x",W347+1,0)</f>
        <v>0</v>
      </c>
      <c r="X348">
        <f>IF(K348="x",X347+1,0)</f>
        <v>0</v>
      </c>
      <c r="Y348">
        <f>IF(L348="x",Y347+1,0)</f>
        <v>0</v>
      </c>
      <c r="Z348">
        <f>IF(M348="x",Z347+1,0)</f>
        <v>0</v>
      </c>
    </row>
    <row r="349">
      <c r="B349" s="137">
        <f>IF(B348="","",IF(YEAR(B348+1)=Ano,B348+1,""))</f>
        <v>46355.0</v>
      </c>
      <c r="C349" s="128" t="str">
        <f>IF(B349="","",CHOOSE(WEEKDAY(B349),"Dom","Seg","Ter","Qua","Qui","Sex","Sáb"))</f>
        <v>Dom</v>
      </c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28" t="str">
        <f>IF(OR(B349="",B349&gt;Hoje),"",COUNTIF(D349:M349,"x"))</f>
        <v/>
      </c>
      <c r="O349" s="133" t="str">
        <f>IF(OR(N349="",COUNTA($D$16:$M$16)=0),"",N349/COUNTA($D$16:$M$16))</f>
        <v/>
      </c>
      <c r="Q349">
        <f>IF(D349="x",Q348+1,0)</f>
        <v>0</v>
      </c>
      <c r="R349">
        <f>IF(E349="x",R348+1,0)</f>
        <v>0</v>
      </c>
      <c r="S349">
        <f>IF(F349="x",S348+1,0)</f>
        <v>0</v>
      </c>
      <c r="T349">
        <f>IF(G349="x",T348+1,0)</f>
        <v>0</v>
      </c>
      <c r="U349">
        <f>IF(H349="x",U348+1,0)</f>
        <v>0</v>
      </c>
      <c r="V349">
        <f>IF(I349="x",V348+1,0)</f>
        <v>0</v>
      </c>
      <c r="W349">
        <f>IF(J349="x",W348+1,0)</f>
        <v>0</v>
      </c>
      <c r="X349">
        <f>IF(K349="x",X348+1,0)</f>
        <v>0</v>
      </c>
      <c r="Y349">
        <f>IF(L349="x",Y348+1,0)</f>
        <v>0</v>
      </c>
      <c r="Z349">
        <f>IF(M349="x",Z348+1,0)</f>
        <v>0</v>
      </c>
    </row>
    <row r="350">
      <c r="B350" s="137">
        <f>IF(B349="","",IF(YEAR(B349+1)=Ano,B349+1,""))</f>
        <v>46356.0</v>
      </c>
      <c r="C350" s="128" t="str">
        <f>IF(B350="","",CHOOSE(WEEKDAY(B350),"Dom","Seg","Ter","Qua","Qui","Sex","Sáb"))</f>
        <v>Seg</v>
      </c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28" t="str">
        <f>IF(OR(B350="",B350&gt;Hoje),"",COUNTIF(D350:M350,"x"))</f>
        <v/>
      </c>
      <c r="O350" s="133" t="str">
        <f>IF(OR(N350="",COUNTA($D$16:$M$16)=0),"",N350/COUNTA($D$16:$M$16))</f>
        <v/>
      </c>
      <c r="Q350">
        <f>IF(D350="x",Q349+1,0)</f>
        <v>0</v>
      </c>
      <c r="R350">
        <f>IF(E350="x",R349+1,0)</f>
        <v>0</v>
      </c>
      <c r="S350">
        <f>IF(F350="x",S349+1,0)</f>
        <v>0</v>
      </c>
      <c r="T350">
        <f>IF(G350="x",T349+1,0)</f>
        <v>0</v>
      </c>
      <c r="U350">
        <f>IF(H350="x",U349+1,0)</f>
        <v>0</v>
      </c>
      <c r="V350">
        <f>IF(I350="x",V349+1,0)</f>
        <v>0</v>
      </c>
      <c r="W350">
        <f>IF(J350="x",W349+1,0)</f>
        <v>0</v>
      </c>
      <c r="X350">
        <f>IF(K350="x",X349+1,0)</f>
        <v>0</v>
      </c>
      <c r="Y350">
        <f>IF(L350="x",Y349+1,0)</f>
        <v>0</v>
      </c>
      <c r="Z350">
        <f>IF(M350="x",Z349+1,0)</f>
        <v>0</v>
      </c>
    </row>
    <row r="351">
      <c r="B351" s="137">
        <f>IF(B350="","",IF(YEAR(B350+1)=Ano,B350+1,""))</f>
        <v>46357.0</v>
      </c>
      <c r="C351" s="128" t="str">
        <f>IF(B351="","",CHOOSE(WEEKDAY(B351),"Dom","Seg","Ter","Qua","Qui","Sex","Sáb"))</f>
        <v>Ter</v>
      </c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28" t="str">
        <f>IF(OR(B351="",B351&gt;Hoje),"",COUNTIF(D351:M351,"x"))</f>
        <v/>
      </c>
      <c r="O351" s="133" t="str">
        <f>IF(OR(N351="",COUNTA($D$16:$M$16)=0),"",N351/COUNTA($D$16:$M$16))</f>
        <v/>
      </c>
      <c r="Q351">
        <f>IF(D351="x",Q350+1,0)</f>
        <v>0</v>
      </c>
      <c r="R351">
        <f>IF(E351="x",R350+1,0)</f>
        <v>0</v>
      </c>
      <c r="S351">
        <f>IF(F351="x",S350+1,0)</f>
        <v>0</v>
      </c>
      <c r="T351">
        <f>IF(G351="x",T350+1,0)</f>
        <v>0</v>
      </c>
      <c r="U351">
        <f>IF(H351="x",U350+1,0)</f>
        <v>0</v>
      </c>
      <c r="V351">
        <f>IF(I351="x",V350+1,0)</f>
        <v>0</v>
      </c>
      <c r="W351">
        <f>IF(J351="x",W350+1,0)</f>
        <v>0</v>
      </c>
      <c r="X351">
        <f>IF(K351="x",X350+1,0)</f>
        <v>0</v>
      </c>
      <c r="Y351">
        <f>IF(L351="x",Y350+1,0)</f>
        <v>0</v>
      </c>
      <c r="Z351">
        <f>IF(M351="x",Z350+1,0)</f>
        <v>0</v>
      </c>
    </row>
    <row r="352">
      <c r="B352" s="137">
        <f>IF(B351="","",IF(YEAR(B351+1)=Ano,B351+1,""))</f>
        <v>46358.0</v>
      </c>
      <c r="C352" s="128" t="str">
        <f>IF(B352="","",CHOOSE(WEEKDAY(B352),"Dom","Seg","Ter","Qua","Qui","Sex","Sáb"))</f>
        <v>Qua</v>
      </c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28" t="str">
        <f>IF(OR(B352="",B352&gt;Hoje),"",COUNTIF(D352:M352,"x"))</f>
        <v/>
      </c>
      <c r="O352" s="133" t="str">
        <f>IF(OR(N352="",COUNTA($D$16:$M$16)=0),"",N352/COUNTA($D$16:$M$16))</f>
        <v/>
      </c>
      <c r="Q352">
        <f>IF(D352="x",Q351+1,0)</f>
        <v>0</v>
      </c>
      <c r="R352">
        <f>IF(E352="x",R351+1,0)</f>
        <v>0</v>
      </c>
      <c r="S352">
        <f>IF(F352="x",S351+1,0)</f>
        <v>0</v>
      </c>
      <c r="T352">
        <f>IF(G352="x",T351+1,0)</f>
        <v>0</v>
      </c>
      <c r="U352">
        <f>IF(H352="x",U351+1,0)</f>
        <v>0</v>
      </c>
      <c r="V352">
        <f>IF(I352="x",V351+1,0)</f>
        <v>0</v>
      </c>
      <c r="W352">
        <f>IF(J352="x",W351+1,0)</f>
        <v>0</v>
      </c>
      <c r="X352">
        <f>IF(K352="x",X351+1,0)</f>
        <v>0</v>
      </c>
      <c r="Y352">
        <f>IF(L352="x",Y351+1,0)</f>
        <v>0</v>
      </c>
      <c r="Z352">
        <f>IF(M352="x",Z351+1,0)</f>
        <v>0</v>
      </c>
    </row>
    <row r="353">
      <c r="B353" s="137">
        <f>IF(B352="","",IF(YEAR(B352+1)=Ano,B352+1,""))</f>
        <v>46359.0</v>
      </c>
      <c r="C353" s="128" t="str">
        <f>IF(B353="","",CHOOSE(WEEKDAY(B353),"Dom","Seg","Ter","Qua","Qui","Sex","Sáb"))</f>
        <v>Qui</v>
      </c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28" t="str">
        <f>IF(OR(B353="",B353&gt;Hoje),"",COUNTIF(D353:M353,"x"))</f>
        <v/>
      </c>
      <c r="O353" s="133" t="str">
        <f>IF(OR(N353="",COUNTA($D$16:$M$16)=0),"",N353/COUNTA($D$16:$M$16))</f>
        <v/>
      </c>
      <c r="Q353">
        <f>IF(D353="x",Q352+1,0)</f>
        <v>0</v>
      </c>
      <c r="R353">
        <f>IF(E353="x",R352+1,0)</f>
        <v>0</v>
      </c>
      <c r="S353">
        <f>IF(F353="x",S352+1,0)</f>
        <v>0</v>
      </c>
      <c r="T353">
        <f>IF(G353="x",T352+1,0)</f>
        <v>0</v>
      </c>
      <c r="U353">
        <f>IF(H353="x",U352+1,0)</f>
        <v>0</v>
      </c>
      <c r="V353">
        <f>IF(I353="x",V352+1,0)</f>
        <v>0</v>
      </c>
      <c r="W353">
        <f>IF(J353="x",W352+1,0)</f>
        <v>0</v>
      </c>
      <c r="X353">
        <f>IF(K353="x",X352+1,0)</f>
        <v>0</v>
      </c>
      <c r="Y353">
        <f>IF(L353="x",Y352+1,0)</f>
        <v>0</v>
      </c>
      <c r="Z353">
        <f>IF(M353="x",Z352+1,0)</f>
        <v>0</v>
      </c>
    </row>
    <row r="354">
      <c r="B354" s="137">
        <f>IF(B353="","",IF(YEAR(B353+1)=Ano,B353+1,""))</f>
        <v>46360.0</v>
      </c>
      <c r="C354" s="128" t="str">
        <f>IF(B354="","",CHOOSE(WEEKDAY(B354),"Dom","Seg","Ter","Qua","Qui","Sex","Sáb"))</f>
        <v>Sex</v>
      </c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28" t="str">
        <f>IF(OR(B354="",B354&gt;Hoje),"",COUNTIF(D354:M354,"x"))</f>
        <v/>
      </c>
      <c r="O354" s="133" t="str">
        <f>IF(OR(N354="",COUNTA($D$16:$M$16)=0),"",N354/COUNTA($D$16:$M$16))</f>
        <v/>
      </c>
      <c r="Q354">
        <f>IF(D354="x",Q353+1,0)</f>
        <v>0</v>
      </c>
      <c r="R354">
        <f>IF(E354="x",R353+1,0)</f>
        <v>0</v>
      </c>
      <c r="S354">
        <f>IF(F354="x",S353+1,0)</f>
        <v>0</v>
      </c>
      <c r="T354">
        <f>IF(G354="x",T353+1,0)</f>
        <v>0</v>
      </c>
      <c r="U354">
        <f>IF(H354="x",U353+1,0)</f>
        <v>0</v>
      </c>
      <c r="V354">
        <f>IF(I354="x",V353+1,0)</f>
        <v>0</v>
      </c>
      <c r="W354">
        <f>IF(J354="x",W353+1,0)</f>
        <v>0</v>
      </c>
      <c r="X354">
        <f>IF(K354="x",X353+1,0)</f>
        <v>0</v>
      </c>
      <c r="Y354">
        <f>IF(L354="x",Y353+1,0)</f>
        <v>0</v>
      </c>
      <c r="Z354">
        <f>IF(M354="x",Z353+1,0)</f>
        <v>0</v>
      </c>
    </row>
    <row r="355">
      <c r="B355" s="137">
        <f>IF(B354="","",IF(YEAR(B354+1)=Ano,B354+1,""))</f>
        <v>46361.0</v>
      </c>
      <c r="C355" s="128" t="str">
        <f>IF(B355="","",CHOOSE(WEEKDAY(B355),"Dom","Seg","Ter","Qua","Qui","Sex","Sáb"))</f>
        <v>Sáb</v>
      </c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28" t="str">
        <f>IF(OR(B355="",B355&gt;Hoje),"",COUNTIF(D355:M355,"x"))</f>
        <v/>
      </c>
      <c r="O355" s="133" t="str">
        <f>IF(OR(N355="",COUNTA($D$16:$M$16)=0),"",N355/COUNTA($D$16:$M$16))</f>
        <v/>
      </c>
      <c r="Q355">
        <f>IF(D355="x",Q354+1,0)</f>
        <v>0</v>
      </c>
      <c r="R355">
        <f>IF(E355="x",R354+1,0)</f>
        <v>0</v>
      </c>
      <c r="S355">
        <f>IF(F355="x",S354+1,0)</f>
        <v>0</v>
      </c>
      <c r="T355">
        <f>IF(G355="x",T354+1,0)</f>
        <v>0</v>
      </c>
      <c r="U355">
        <f>IF(H355="x",U354+1,0)</f>
        <v>0</v>
      </c>
      <c r="V355">
        <f>IF(I355="x",V354+1,0)</f>
        <v>0</v>
      </c>
      <c r="W355">
        <f>IF(J355="x",W354+1,0)</f>
        <v>0</v>
      </c>
      <c r="X355">
        <f>IF(K355="x",X354+1,0)</f>
        <v>0</v>
      </c>
      <c r="Y355">
        <f>IF(L355="x",Y354+1,0)</f>
        <v>0</v>
      </c>
      <c r="Z355">
        <f>IF(M355="x",Z354+1,0)</f>
        <v>0</v>
      </c>
    </row>
    <row r="356">
      <c r="B356" s="137">
        <f>IF(B355="","",IF(YEAR(B355+1)=Ano,B355+1,""))</f>
        <v>46362.0</v>
      </c>
      <c r="C356" s="128" t="str">
        <f>IF(B356="","",CHOOSE(WEEKDAY(B356),"Dom","Seg","Ter","Qua","Qui","Sex","Sáb"))</f>
        <v>Dom</v>
      </c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28" t="str">
        <f>IF(OR(B356="",B356&gt;Hoje),"",COUNTIF(D356:M356,"x"))</f>
        <v/>
      </c>
      <c r="O356" s="133" t="str">
        <f>IF(OR(N356="",COUNTA($D$16:$M$16)=0),"",N356/COUNTA($D$16:$M$16))</f>
        <v/>
      </c>
      <c r="Q356">
        <f>IF(D356="x",Q355+1,0)</f>
        <v>0</v>
      </c>
      <c r="R356">
        <f>IF(E356="x",R355+1,0)</f>
        <v>0</v>
      </c>
      <c r="S356">
        <f>IF(F356="x",S355+1,0)</f>
        <v>0</v>
      </c>
      <c r="T356">
        <f>IF(G356="x",T355+1,0)</f>
        <v>0</v>
      </c>
      <c r="U356">
        <f>IF(H356="x",U355+1,0)</f>
        <v>0</v>
      </c>
      <c r="V356">
        <f>IF(I356="x",V355+1,0)</f>
        <v>0</v>
      </c>
      <c r="W356">
        <f>IF(J356="x",W355+1,0)</f>
        <v>0</v>
      </c>
      <c r="X356">
        <f>IF(K356="x",X355+1,0)</f>
        <v>0</v>
      </c>
      <c r="Y356">
        <f>IF(L356="x",Y355+1,0)</f>
        <v>0</v>
      </c>
      <c r="Z356">
        <f>IF(M356="x",Z355+1,0)</f>
        <v>0</v>
      </c>
    </row>
    <row r="357">
      <c r="B357" s="137">
        <f>IF(B356="","",IF(YEAR(B356+1)=Ano,B356+1,""))</f>
        <v>46363.0</v>
      </c>
      <c r="C357" s="128" t="str">
        <f>IF(B357="","",CHOOSE(WEEKDAY(B357),"Dom","Seg","Ter","Qua","Qui","Sex","Sáb"))</f>
        <v>Seg</v>
      </c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28" t="str">
        <f>IF(OR(B357="",B357&gt;Hoje),"",COUNTIF(D357:M357,"x"))</f>
        <v/>
      </c>
      <c r="O357" s="133" t="str">
        <f>IF(OR(N357="",COUNTA($D$16:$M$16)=0),"",N357/COUNTA($D$16:$M$16))</f>
        <v/>
      </c>
      <c r="Q357">
        <f>IF(D357="x",Q356+1,0)</f>
        <v>0</v>
      </c>
      <c r="R357">
        <f>IF(E357="x",R356+1,0)</f>
        <v>0</v>
      </c>
      <c r="S357">
        <f>IF(F357="x",S356+1,0)</f>
        <v>0</v>
      </c>
      <c r="T357">
        <f>IF(G357="x",T356+1,0)</f>
        <v>0</v>
      </c>
      <c r="U357">
        <f>IF(H357="x",U356+1,0)</f>
        <v>0</v>
      </c>
      <c r="V357">
        <f>IF(I357="x",V356+1,0)</f>
        <v>0</v>
      </c>
      <c r="W357">
        <f>IF(J357="x",W356+1,0)</f>
        <v>0</v>
      </c>
      <c r="X357">
        <f>IF(K357="x",X356+1,0)</f>
        <v>0</v>
      </c>
      <c r="Y357">
        <f>IF(L357="x",Y356+1,0)</f>
        <v>0</v>
      </c>
      <c r="Z357">
        <f>IF(M357="x",Z356+1,0)</f>
        <v>0</v>
      </c>
    </row>
    <row r="358">
      <c r="B358" s="137">
        <f>IF(B357="","",IF(YEAR(B357+1)=Ano,B357+1,""))</f>
        <v>46364.0</v>
      </c>
      <c r="C358" s="128" t="str">
        <f>IF(B358="","",CHOOSE(WEEKDAY(B358),"Dom","Seg","Ter","Qua","Qui","Sex","Sáb"))</f>
        <v>Ter</v>
      </c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28" t="str">
        <f>IF(OR(B358="",B358&gt;Hoje),"",COUNTIF(D358:M358,"x"))</f>
        <v/>
      </c>
      <c r="O358" s="133" t="str">
        <f>IF(OR(N358="",COUNTA($D$16:$M$16)=0),"",N358/COUNTA($D$16:$M$16))</f>
        <v/>
      </c>
      <c r="Q358">
        <f>IF(D358="x",Q357+1,0)</f>
        <v>0</v>
      </c>
      <c r="R358">
        <f>IF(E358="x",R357+1,0)</f>
        <v>0</v>
      </c>
      <c r="S358">
        <f>IF(F358="x",S357+1,0)</f>
        <v>0</v>
      </c>
      <c r="T358">
        <f>IF(G358="x",T357+1,0)</f>
        <v>0</v>
      </c>
      <c r="U358">
        <f>IF(H358="x",U357+1,0)</f>
        <v>0</v>
      </c>
      <c r="V358">
        <f>IF(I358="x",V357+1,0)</f>
        <v>0</v>
      </c>
      <c r="W358">
        <f>IF(J358="x",W357+1,0)</f>
        <v>0</v>
      </c>
      <c r="X358">
        <f>IF(K358="x",X357+1,0)</f>
        <v>0</v>
      </c>
      <c r="Y358">
        <f>IF(L358="x",Y357+1,0)</f>
        <v>0</v>
      </c>
      <c r="Z358">
        <f>IF(M358="x",Z357+1,0)</f>
        <v>0</v>
      </c>
    </row>
    <row r="359">
      <c r="B359" s="137">
        <f>IF(B358="","",IF(YEAR(B358+1)=Ano,B358+1,""))</f>
        <v>46365.0</v>
      </c>
      <c r="C359" s="128" t="str">
        <f>IF(B359="","",CHOOSE(WEEKDAY(B359),"Dom","Seg","Ter","Qua","Qui","Sex","Sáb"))</f>
        <v>Qua</v>
      </c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28" t="str">
        <f>IF(OR(B359="",B359&gt;Hoje),"",COUNTIF(D359:M359,"x"))</f>
        <v/>
      </c>
      <c r="O359" s="133" t="str">
        <f>IF(OR(N359="",COUNTA($D$16:$M$16)=0),"",N359/COUNTA($D$16:$M$16))</f>
        <v/>
      </c>
      <c r="Q359">
        <f>IF(D359="x",Q358+1,0)</f>
        <v>0</v>
      </c>
      <c r="R359">
        <f>IF(E359="x",R358+1,0)</f>
        <v>0</v>
      </c>
      <c r="S359">
        <f>IF(F359="x",S358+1,0)</f>
        <v>0</v>
      </c>
      <c r="T359">
        <f>IF(G359="x",T358+1,0)</f>
        <v>0</v>
      </c>
      <c r="U359">
        <f>IF(H359="x",U358+1,0)</f>
        <v>0</v>
      </c>
      <c r="V359">
        <f>IF(I359="x",V358+1,0)</f>
        <v>0</v>
      </c>
      <c r="W359">
        <f>IF(J359="x",W358+1,0)</f>
        <v>0</v>
      </c>
      <c r="X359">
        <f>IF(K359="x",X358+1,0)</f>
        <v>0</v>
      </c>
      <c r="Y359">
        <f>IF(L359="x",Y358+1,0)</f>
        <v>0</v>
      </c>
      <c r="Z359">
        <f>IF(M359="x",Z358+1,0)</f>
        <v>0</v>
      </c>
    </row>
    <row r="360">
      <c r="B360" s="137">
        <f>IF(B359="","",IF(YEAR(B359+1)=Ano,B359+1,""))</f>
        <v>46366.0</v>
      </c>
      <c r="C360" s="128" t="str">
        <f>IF(B360="","",CHOOSE(WEEKDAY(B360),"Dom","Seg","Ter","Qua","Qui","Sex","Sáb"))</f>
        <v>Qui</v>
      </c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28" t="str">
        <f>IF(OR(B360="",B360&gt;Hoje),"",COUNTIF(D360:M360,"x"))</f>
        <v/>
      </c>
      <c r="O360" s="133" t="str">
        <f>IF(OR(N360="",COUNTA($D$16:$M$16)=0),"",N360/COUNTA($D$16:$M$16))</f>
        <v/>
      </c>
      <c r="Q360">
        <f>IF(D360="x",Q359+1,0)</f>
        <v>0</v>
      </c>
      <c r="R360">
        <f>IF(E360="x",R359+1,0)</f>
        <v>0</v>
      </c>
      <c r="S360">
        <f>IF(F360="x",S359+1,0)</f>
        <v>0</v>
      </c>
      <c r="T360">
        <f>IF(G360="x",T359+1,0)</f>
        <v>0</v>
      </c>
      <c r="U360">
        <f>IF(H360="x",U359+1,0)</f>
        <v>0</v>
      </c>
      <c r="V360">
        <f>IF(I360="x",V359+1,0)</f>
        <v>0</v>
      </c>
      <c r="W360">
        <f>IF(J360="x",W359+1,0)</f>
        <v>0</v>
      </c>
      <c r="X360">
        <f>IF(K360="x",X359+1,0)</f>
        <v>0</v>
      </c>
      <c r="Y360">
        <f>IF(L360="x",Y359+1,0)</f>
        <v>0</v>
      </c>
      <c r="Z360">
        <f>IF(M360="x",Z359+1,0)</f>
        <v>0</v>
      </c>
    </row>
    <row r="361">
      <c r="B361" s="137">
        <f>IF(B360="","",IF(YEAR(B360+1)=Ano,B360+1,""))</f>
        <v>46367.0</v>
      </c>
      <c r="C361" s="128" t="str">
        <f>IF(B361="","",CHOOSE(WEEKDAY(B361),"Dom","Seg","Ter","Qua","Qui","Sex","Sáb"))</f>
        <v>Sex</v>
      </c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28" t="str">
        <f>IF(OR(B361="",B361&gt;Hoje),"",COUNTIF(D361:M361,"x"))</f>
        <v/>
      </c>
      <c r="O361" s="133" t="str">
        <f>IF(OR(N361="",COUNTA($D$16:$M$16)=0),"",N361/COUNTA($D$16:$M$16))</f>
        <v/>
      </c>
      <c r="Q361">
        <f>IF(D361="x",Q360+1,0)</f>
        <v>0</v>
      </c>
      <c r="R361">
        <f>IF(E361="x",R360+1,0)</f>
        <v>0</v>
      </c>
      <c r="S361">
        <f>IF(F361="x",S360+1,0)</f>
        <v>0</v>
      </c>
      <c r="T361">
        <f>IF(G361="x",T360+1,0)</f>
        <v>0</v>
      </c>
      <c r="U361">
        <f>IF(H361="x",U360+1,0)</f>
        <v>0</v>
      </c>
      <c r="V361">
        <f>IF(I361="x",V360+1,0)</f>
        <v>0</v>
      </c>
      <c r="W361">
        <f>IF(J361="x",W360+1,0)</f>
        <v>0</v>
      </c>
      <c r="X361">
        <f>IF(K361="x",X360+1,0)</f>
        <v>0</v>
      </c>
      <c r="Y361">
        <f>IF(L361="x",Y360+1,0)</f>
        <v>0</v>
      </c>
      <c r="Z361">
        <f>IF(M361="x",Z360+1,0)</f>
        <v>0</v>
      </c>
    </row>
    <row r="362">
      <c r="B362" s="137">
        <f>IF(B361="","",IF(YEAR(B361+1)=Ano,B361+1,""))</f>
        <v>46368.0</v>
      </c>
      <c r="C362" s="128" t="str">
        <f>IF(B362="","",CHOOSE(WEEKDAY(B362),"Dom","Seg","Ter","Qua","Qui","Sex","Sáb"))</f>
        <v>Sáb</v>
      </c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28" t="str">
        <f>IF(OR(B362="",B362&gt;Hoje),"",COUNTIF(D362:M362,"x"))</f>
        <v/>
      </c>
      <c r="O362" s="133" t="str">
        <f>IF(OR(N362="",COUNTA($D$16:$M$16)=0),"",N362/COUNTA($D$16:$M$16))</f>
        <v/>
      </c>
      <c r="Q362">
        <f>IF(D362="x",Q361+1,0)</f>
        <v>0</v>
      </c>
      <c r="R362">
        <f>IF(E362="x",R361+1,0)</f>
        <v>0</v>
      </c>
      <c r="S362">
        <f>IF(F362="x",S361+1,0)</f>
        <v>0</v>
      </c>
      <c r="T362">
        <f>IF(G362="x",T361+1,0)</f>
        <v>0</v>
      </c>
      <c r="U362">
        <f>IF(H362="x",U361+1,0)</f>
        <v>0</v>
      </c>
      <c r="V362">
        <f>IF(I362="x",V361+1,0)</f>
        <v>0</v>
      </c>
      <c r="W362">
        <f>IF(J362="x",W361+1,0)</f>
        <v>0</v>
      </c>
      <c r="X362">
        <f>IF(K362="x",X361+1,0)</f>
        <v>0</v>
      </c>
      <c r="Y362">
        <f>IF(L362="x",Y361+1,0)</f>
        <v>0</v>
      </c>
      <c r="Z362">
        <f>IF(M362="x",Z361+1,0)</f>
        <v>0</v>
      </c>
    </row>
    <row r="363">
      <c r="B363" s="137">
        <f>IF(B362="","",IF(YEAR(B362+1)=Ano,B362+1,""))</f>
        <v>46369.0</v>
      </c>
      <c r="C363" s="128" t="str">
        <f>IF(B363="","",CHOOSE(WEEKDAY(B363),"Dom","Seg","Ter","Qua","Qui","Sex","Sáb"))</f>
        <v>Dom</v>
      </c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28" t="str">
        <f>IF(OR(B363="",B363&gt;Hoje),"",COUNTIF(D363:M363,"x"))</f>
        <v/>
      </c>
      <c r="O363" s="133" t="str">
        <f>IF(OR(N363="",COUNTA($D$16:$M$16)=0),"",N363/COUNTA($D$16:$M$16))</f>
        <v/>
      </c>
      <c r="Q363">
        <f>IF(D363="x",Q362+1,0)</f>
        <v>0</v>
      </c>
      <c r="R363">
        <f>IF(E363="x",R362+1,0)</f>
        <v>0</v>
      </c>
      <c r="S363">
        <f>IF(F363="x",S362+1,0)</f>
        <v>0</v>
      </c>
      <c r="T363">
        <f>IF(G363="x",T362+1,0)</f>
        <v>0</v>
      </c>
      <c r="U363">
        <f>IF(H363="x",U362+1,0)</f>
        <v>0</v>
      </c>
      <c r="V363">
        <f>IF(I363="x",V362+1,0)</f>
        <v>0</v>
      </c>
      <c r="W363">
        <f>IF(J363="x",W362+1,0)</f>
        <v>0</v>
      </c>
      <c r="X363">
        <f>IF(K363="x",X362+1,0)</f>
        <v>0</v>
      </c>
      <c r="Y363">
        <f>IF(L363="x",Y362+1,0)</f>
        <v>0</v>
      </c>
      <c r="Z363">
        <f>IF(M363="x",Z362+1,0)</f>
        <v>0</v>
      </c>
    </row>
    <row r="364">
      <c r="B364" s="137">
        <f>IF(B363="","",IF(YEAR(B363+1)=Ano,B363+1,""))</f>
        <v>46370.0</v>
      </c>
      <c r="C364" s="128" t="str">
        <f>IF(B364="","",CHOOSE(WEEKDAY(B364),"Dom","Seg","Ter","Qua","Qui","Sex","Sáb"))</f>
        <v>Seg</v>
      </c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28" t="str">
        <f>IF(OR(B364="",B364&gt;Hoje),"",COUNTIF(D364:M364,"x"))</f>
        <v/>
      </c>
      <c r="O364" s="133" t="str">
        <f>IF(OR(N364="",COUNTA($D$16:$M$16)=0),"",N364/COUNTA($D$16:$M$16))</f>
        <v/>
      </c>
      <c r="Q364">
        <f>IF(D364="x",Q363+1,0)</f>
        <v>0</v>
      </c>
      <c r="R364">
        <f>IF(E364="x",R363+1,0)</f>
        <v>0</v>
      </c>
      <c r="S364">
        <f>IF(F364="x",S363+1,0)</f>
        <v>0</v>
      </c>
      <c r="T364">
        <f>IF(G364="x",T363+1,0)</f>
        <v>0</v>
      </c>
      <c r="U364">
        <f>IF(H364="x",U363+1,0)</f>
        <v>0</v>
      </c>
      <c r="V364">
        <f>IF(I364="x",V363+1,0)</f>
        <v>0</v>
      </c>
      <c r="W364">
        <f>IF(J364="x",W363+1,0)</f>
        <v>0</v>
      </c>
      <c r="X364">
        <f>IF(K364="x",X363+1,0)</f>
        <v>0</v>
      </c>
      <c r="Y364">
        <f>IF(L364="x",Y363+1,0)</f>
        <v>0</v>
      </c>
      <c r="Z364">
        <f>IF(M364="x",Z363+1,0)</f>
        <v>0</v>
      </c>
    </row>
    <row r="365">
      <c r="B365" s="137">
        <f>IF(B364="","",IF(YEAR(B364+1)=Ano,B364+1,""))</f>
        <v>46371.0</v>
      </c>
      <c r="C365" s="128" t="str">
        <f>IF(B365="","",CHOOSE(WEEKDAY(B365),"Dom","Seg","Ter","Qua","Qui","Sex","Sáb"))</f>
        <v>Ter</v>
      </c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28" t="str">
        <f>IF(OR(B365="",B365&gt;Hoje),"",COUNTIF(D365:M365,"x"))</f>
        <v/>
      </c>
      <c r="O365" s="133" t="str">
        <f>IF(OR(N365="",COUNTA($D$16:$M$16)=0),"",N365/COUNTA($D$16:$M$16))</f>
        <v/>
      </c>
      <c r="Q365">
        <f>IF(D365="x",Q364+1,0)</f>
        <v>0</v>
      </c>
      <c r="R365">
        <f>IF(E365="x",R364+1,0)</f>
        <v>0</v>
      </c>
      <c r="S365">
        <f>IF(F365="x",S364+1,0)</f>
        <v>0</v>
      </c>
      <c r="T365">
        <f>IF(G365="x",T364+1,0)</f>
        <v>0</v>
      </c>
      <c r="U365">
        <f>IF(H365="x",U364+1,0)</f>
        <v>0</v>
      </c>
      <c r="V365">
        <f>IF(I365="x",V364+1,0)</f>
        <v>0</v>
      </c>
      <c r="W365">
        <f>IF(J365="x",W364+1,0)</f>
        <v>0</v>
      </c>
      <c r="X365">
        <f>IF(K365="x",X364+1,0)</f>
        <v>0</v>
      </c>
      <c r="Y365">
        <f>IF(L365="x",Y364+1,0)</f>
        <v>0</v>
      </c>
      <c r="Z365">
        <f>IF(M365="x",Z364+1,0)</f>
        <v>0</v>
      </c>
    </row>
    <row r="366">
      <c r="B366" s="137">
        <f>IF(B365="","",IF(YEAR(B365+1)=Ano,B365+1,""))</f>
        <v>46372.0</v>
      </c>
      <c r="C366" s="128" t="str">
        <f>IF(B366="","",CHOOSE(WEEKDAY(B366),"Dom","Seg","Ter","Qua","Qui","Sex","Sáb"))</f>
        <v>Qua</v>
      </c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28" t="str">
        <f>IF(OR(B366="",B366&gt;Hoje),"",COUNTIF(D366:M366,"x"))</f>
        <v/>
      </c>
      <c r="O366" s="133" t="str">
        <f>IF(OR(N366="",COUNTA($D$16:$M$16)=0),"",N366/COUNTA($D$16:$M$16))</f>
        <v/>
      </c>
      <c r="Q366">
        <f>IF(D366="x",Q365+1,0)</f>
        <v>0</v>
      </c>
      <c r="R366">
        <f>IF(E366="x",R365+1,0)</f>
        <v>0</v>
      </c>
      <c r="S366">
        <f>IF(F366="x",S365+1,0)</f>
        <v>0</v>
      </c>
      <c r="T366">
        <f>IF(G366="x",T365+1,0)</f>
        <v>0</v>
      </c>
      <c r="U366">
        <f>IF(H366="x",U365+1,0)</f>
        <v>0</v>
      </c>
      <c r="V366">
        <f>IF(I366="x",V365+1,0)</f>
        <v>0</v>
      </c>
      <c r="W366">
        <f>IF(J366="x",W365+1,0)</f>
        <v>0</v>
      </c>
      <c r="X366">
        <f>IF(K366="x",X365+1,0)</f>
        <v>0</v>
      </c>
      <c r="Y366">
        <f>IF(L366="x",Y365+1,0)</f>
        <v>0</v>
      </c>
      <c r="Z366">
        <f>IF(M366="x",Z365+1,0)</f>
        <v>0</v>
      </c>
    </row>
    <row r="367">
      <c r="B367" s="137">
        <f>IF(B366="","",IF(YEAR(B366+1)=Ano,B366+1,""))</f>
        <v>46373.0</v>
      </c>
      <c r="C367" s="128" t="str">
        <f>IF(B367="","",CHOOSE(WEEKDAY(B367),"Dom","Seg","Ter","Qua","Qui","Sex","Sáb"))</f>
        <v>Qui</v>
      </c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28" t="str">
        <f>IF(OR(B367="",B367&gt;Hoje),"",COUNTIF(D367:M367,"x"))</f>
        <v/>
      </c>
      <c r="O367" s="133" t="str">
        <f>IF(OR(N367="",COUNTA($D$16:$M$16)=0),"",N367/COUNTA($D$16:$M$16))</f>
        <v/>
      </c>
      <c r="Q367">
        <f>IF(D367="x",Q366+1,0)</f>
        <v>0</v>
      </c>
      <c r="R367">
        <f>IF(E367="x",R366+1,0)</f>
        <v>0</v>
      </c>
      <c r="S367">
        <f>IF(F367="x",S366+1,0)</f>
        <v>0</v>
      </c>
      <c r="T367">
        <f>IF(G367="x",T366+1,0)</f>
        <v>0</v>
      </c>
      <c r="U367">
        <f>IF(H367="x",U366+1,0)</f>
        <v>0</v>
      </c>
      <c r="V367">
        <f>IF(I367="x",V366+1,0)</f>
        <v>0</v>
      </c>
      <c r="W367">
        <f>IF(J367="x",W366+1,0)</f>
        <v>0</v>
      </c>
      <c r="X367">
        <f>IF(K367="x",X366+1,0)</f>
        <v>0</v>
      </c>
      <c r="Y367">
        <f>IF(L367="x",Y366+1,0)</f>
        <v>0</v>
      </c>
      <c r="Z367">
        <f>IF(M367="x",Z366+1,0)</f>
        <v>0</v>
      </c>
    </row>
    <row r="368">
      <c r="B368" s="137">
        <f>IF(B367="","",IF(YEAR(B367+1)=Ano,B367+1,""))</f>
        <v>46374.0</v>
      </c>
      <c r="C368" s="128" t="str">
        <f>IF(B368="","",CHOOSE(WEEKDAY(B368),"Dom","Seg","Ter","Qua","Qui","Sex","Sáb"))</f>
        <v>Sex</v>
      </c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28" t="str">
        <f>IF(OR(B368="",B368&gt;Hoje),"",COUNTIF(D368:M368,"x"))</f>
        <v/>
      </c>
      <c r="O368" s="133" t="str">
        <f>IF(OR(N368="",COUNTA($D$16:$M$16)=0),"",N368/COUNTA($D$16:$M$16))</f>
        <v/>
      </c>
      <c r="Q368">
        <f>IF(D368="x",Q367+1,0)</f>
        <v>0</v>
      </c>
      <c r="R368">
        <f>IF(E368="x",R367+1,0)</f>
        <v>0</v>
      </c>
      <c r="S368">
        <f>IF(F368="x",S367+1,0)</f>
        <v>0</v>
      </c>
      <c r="T368">
        <f>IF(G368="x",T367+1,0)</f>
        <v>0</v>
      </c>
      <c r="U368">
        <f>IF(H368="x",U367+1,0)</f>
        <v>0</v>
      </c>
      <c r="V368">
        <f>IF(I368="x",V367+1,0)</f>
        <v>0</v>
      </c>
      <c r="W368">
        <f>IF(J368="x",W367+1,0)</f>
        <v>0</v>
      </c>
      <c r="X368">
        <f>IF(K368="x",X367+1,0)</f>
        <v>0</v>
      </c>
      <c r="Y368">
        <f>IF(L368="x",Y367+1,0)</f>
        <v>0</v>
      </c>
      <c r="Z368">
        <f>IF(M368="x",Z367+1,0)</f>
        <v>0</v>
      </c>
    </row>
    <row r="369">
      <c r="B369" s="137">
        <f>IF(B368="","",IF(YEAR(B368+1)=Ano,B368+1,""))</f>
        <v>46375.0</v>
      </c>
      <c r="C369" s="128" t="str">
        <f>IF(B369="","",CHOOSE(WEEKDAY(B369),"Dom","Seg","Ter","Qua","Qui","Sex","Sáb"))</f>
        <v>Sáb</v>
      </c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28" t="str">
        <f>IF(OR(B369="",B369&gt;Hoje),"",COUNTIF(D369:M369,"x"))</f>
        <v/>
      </c>
      <c r="O369" s="133" t="str">
        <f>IF(OR(N369="",COUNTA($D$16:$M$16)=0),"",N369/COUNTA($D$16:$M$16))</f>
        <v/>
      </c>
      <c r="Q369">
        <f>IF(D369="x",Q368+1,0)</f>
        <v>0</v>
      </c>
      <c r="R369">
        <f>IF(E369="x",R368+1,0)</f>
        <v>0</v>
      </c>
      <c r="S369">
        <f>IF(F369="x",S368+1,0)</f>
        <v>0</v>
      </c>
      <c r="T369">
        <f>IF(G369="x",T368+1,0)</f>
        <v>0</v>
      </c>
      <c r="U369">
        <f>IF(H369="x",U368+1,0)</f>
        <v>0</v>
      </c>
      <c r="V369">
        <f>IF(I369="x",V368+1,0)</f>
        <v>0</v>
      </c>
      <c r="W369">
        <f>IF(J369="x",W368+1,0)</f>
        <v>0</v>
      </c>
      <c r="X369">
        <f>IF(K369="x",X368+1,0)</f>
        <v>0</v>
      </c>
      <c r="Y369">
        <f>IF(L369="x",Y368+1,0)</f>
        <v>0</v>
      </c>
      <c r="Z369">
        <f>IF(M369="x",Z368+1,0)</f>
        <v>0</v>
      </c>
    </row>
    <row r="370">
      <c r="B370" s="137">
        <f>IF(B369="","",IF(YEAR(B369+1)=Ano,B369+1,""))</f>
        <v>46376.0</v>
      </c>
      <c r="C370" s="128" t="str">
        <f>IF(B370="","",CHOOSE(WEEKDAY(B370),"Dom","Seg","Ter","Qua","Qui","Sex","Sáb"))</f>
        <v>Dom</v>
      </c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28" t="str">
        <f>IF(OR(B370="",B370&gt;Hoje),"",COUNTIF(D370:M370,"x"))</f>
        <v/>
      </c>
      <c r="O370" s="133" t="str">
        <f>IF(OR(N370="",COUNTA($D$16:$M$16)=0),"",N370/COUNTA($D$16:$M$16))</f>
        <v/>
      </c>
      <c r="Q370">
        <f>IF(D370="x",Q369+1,0)</f>
        <v>0</v>
      </c>
      <c r="R370">
        <f>IF(E370="x",R369+1,0)</f>
        <v>0</v>
      </c>
      <c r="S370">
        <f>IF(F370="x",S369+1,0)</f>
        <v>0</v>
      </c>
      <c r="T370">
        <f>IF(G370="x",T369+1,0)</f>
        <v>0</v>
      </c>
      <c r="U370">
        <f>IF(H370="x",U369+1,0)</f>
        <v>0</v>
      </c>
      <c r="V370">
        <f>IF(I370="x",V369+1,0)</f>
        <v>0</v>
      </c>
      <c r="W370">
        <f>IF(J370="x",W369+1,0)</f>
        <v>0</v>
      </c>
      <c r="X370">
        <f>IF(K370="x",X369+1,0)</f>
        <v>0</v>
      </c>
      <c r="Y370">
        <f>IF(L370="x",Y369+1,0)</f>
        <v>0</v>
      </c>
      <c r="Z370">
        <f>IF(M370="x",Z369+1,0)</f>
        <v>0</v>
      </c>
    </row>
    <row r="371">
      <c r="B371" s="137">
        <f>IF(B370="","",IF(YEAR(B370+1)=Ano,B370+1,""))</f>
        <v>46377.0</v>
      </c>
      <c r="C371" s="128" t="str">
        <f>IF(B371="","",CHOOSE(WEEKDAY(B371),"Dom","Seg","Ter","Qua","Qui","Sex","Sáb"))</f>
        <v>Seg</v>
      </c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28" t="str">
        <f>IF(OR(B371="",B371&gt;Hoje),"",COUNTIF(D371:M371,"x"))</f>
        <v/>
      </c>
      <c r="O371" s="133" t="str">
        <f>IF(OR(N371="",COUNTA($D$16:$M$16)=0),"",N371/COUNTA($D$16:$M$16))</f>
        <v/>
      </c>
      <c r="Q371">
        <f>IF(D371="x",Q370+1,0)</f>
        <v>0</v>
      </c>
      <c r="R371">
        <f>IF(E371="x",R370+1,0)</f>
        <v>0</v>
      </c>
      <c r="S371">
        <f>IF(F371="x",S370+1,0)</f>
        <v>0</v>
      </c>
      <c r="T371">
        <f>IF(G371="x",T370+1,0)</f>
        <v>0</v>
      </c>
      <c r="U371">
        <f>IF(H371="x",U370+1,0)</f>
        <v>0</v>
      </c>
      <c r="V371">
        <f>IF(I371="x",V370+1,0)</f>
        <v>0</v>
      </c>
      <c r="W371">
        <f>IF(J371="x",W370+1,0)</f>
        <v>0</v>
      </c>
      <c r="X371">
        <f>IF(K371="x",X370+1,0)</f>
        <v>0</v>
      </c>
      <c r="Y371">
        <f>IF(L371="x",Y370+1,0)</f>
        <v>0</v>
      </c>
      <c r="Z371">
        <f>IF(M371="x",Z370+1,0)</f>
        <v>0</v>
      </c>
    </row>
    <row r="372">
      <c r="B372" s="137">
        <f>IF(B371="","",IF(YEAR(B371+1)=Ano,B371+1,""))</f>
        <v>46378.0</v>
      </c>
      <c r="C372" s="128" t="str">
        <f>IF(B372="","",CHOOSE(WEEKDAY(B372),"Dom","Seg","Ter","Qua","Qui","Sex","Sáb"))</f>
        <v>Ter</v>
      </c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28" t="str">
        <f>IF(OR(B372="",B372&gt;Hoje),"",COUNTIF(D372:M372,"x"))</f>
        <v/>
      </c>
      <c r="O372" s="133" t="str">
        <f>IF(OR(N372="",COUNTA($D$16:$M$16)=0),"",N372/COUNTA($D$16:$M$16))</f>
        <v/>
      </c>
      <c r="Q372">
        <f>IF(D372="x",Q371+1,0)</f>
        <v>0</v>
      </c>
      <c r="R372">
        <f>IF(E372="x",R371+1,0)</f>
        <v>0</v>
      </c>
      <c r="S372">
        <f>IF(F372="x",S371+1,0)</f>
        <v>0</v>
      </c>
      <c r="T372">
        <f>IF(G372="x",T371+1,0)</f>
        <v>0</v>
      </c>
      <c r="U372">
        <f>IF(H372="x",U371+1,0)</f>
        <v>0</v>
      </c>
      <c r="V372">
        <f>IF(I372="x",V371+1,0)</f>
        <v>0</v>
      </c>
      <c r="W372">
        <f>IF(J372="x",W371+1,0)</f>
        <v>0</v>
      </c>
      <c r="X372">
        <f>IF(K372="x",X371+1,0)</f>
        <v>0</v>
      </c>
      <c r="Y372">
        <f>IF(L372="x",Y371+1,0)</f>
        <v>0</v>
      </c>
      <c r="Z372">
        <f>IF(M372="x",Z371+1,0)</f>
        <v>0</v>
      </c>
    </row>
    <row r="373">
      <c r="B373" s="137">
        <f>IF(B372="","",IF(YEAR(B372+1)=Ano,B372+1,""))</f>
        <v>46379.0</v>
      </c>
      <c r="C373" s="128" t="str">
        <f>IF(B373="","",CHOOSE(WEEKDAY(B373),"Dom","Seg","Ter","Qua","Qui","Sex","Sáb"))</f>
        <v>Qua</v>
      </c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28" t="str">
        <f>IF(OR(B373="",B373&gt;Hoje),"",COUNTIF(D373:M373,"x"))</f>
        <v/>
      </c>
      <c r="O373" s="133" t="str">
        <f>IF(OR(N373="",COUNTA($D$16:$M$16)=0),"",N373/COUNTA($D$16:$M$16))</f>
        <v/>
      </c>
      <c r="Q373">
        <f>IF(D373="x",Q372+1,0)</f>
        <v>0</v>
      </c>
      <c r="R373">
        <f>IF(E373="x",R372+1,0)</f>
        <v>0</v>
      </c>
      <c r="S373">
        <f>IF(F373="x",S372+1,0)</f>
        <v>0</v>
      </c>
      <c r="T373">
        <f>IF(G373="x",T372+1,0)</f>
        <v>0</v>
      </c>
      <c r="U373">
        <f>IF(H373="x",U372+1,0)</f>
        <v>0</v>
      </c>
      <c r="V373">
        <f>IF(I373="x",V372+1,0)</f>
        <v>0</v>
      </c>
      <c r="W373">
        <f>IF(J373="x",W372+1,0)</f>
        <v>0</v>
      </c>
      <c r="X373">
        <f>IF(K373="x",X372+1,0)</f>
        <v>0</v>
      </c>
      <c r="Y373">
        <f>IF(L373="x",Y372+1,0)</f>
        <v>0</v>
      </c>
      <c r="Z373">
        <f>IF(M373="x",Z372+1,0)</f>
        <v>0</v>
      </c>
    </row>
    <row r="374">
      <c r="B374" s="137">
        <f>IF(B373="","",IF(YEAR(B373+1)=Ano,B373+1,""))</f>
        <v>46380.0</v>
      </c>
      <c r="C374" s="128" t="str">
        <f>IF(B374="","",CHOOSE(WEEKDAY(B374),"Dom","Seg","Ter","Qua","Qui","Sex","Sáb"))</f>
        <v>Qui</v>
      </c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28" t="str">
        <f>IF(OR(B374="",B374&gt;Hoje),"",COUNTIF(D374:M374,"x"))</f>
        <v/>
      </c>
      <c r="O374" s="133" t="str">
        <f>IF(OR(N374="",COUNTA($D$16:$M$16)=0),"",N374/COUNTA($D$16:$M$16))</f>
        <v/>
      </c>
      <c r="Q374">
        <f>IF(D374="x",Q373+1,0)</f>
        <v>0</v>
      </c>
      <c r="R374">
        <f>IF(E374="x",R373+1,0)</f>
        <v>0</v>
      </c>
      <c r="S374">
        <f>IF(F374="x",S373+1,0)</f>
        <v>0</v>
      </c>
      <c r="T374">
        <f>IF(G374="x",T373+1,0)</f>
        <v>0</v>
      </c>
      <c r="U374">
        <f>IF(H374="x",U373+1,0)</f>
        <v>0</v>
      </c>
      <c r="V374">
        <f>IF(I374="x",V373+1,0)</f>
        <v>0</v>
      </c>
      <c r="W374">
        <f>IF(J374="x",W373+1,0)</f>
        <v>0</v>
      </c>
      <c r="X374">
        <f>IF(K374="x",X373+1,0)</f>
        <v>0</v>
      </c>
      <c r="Y374">
        <f>IF(L374="x",Y373+1,0)</f>
        <v>0</v>
      </c>
      <c r="Z374">
        <f>IF(M374="x",Z373+1,0)</f>
        <v>0</v>
      </c>
    </row>
    <row r="375">
      <c r="B375" s="137">
        <f>IF(B374="","",IF(YEAR(B374+1)=Ano,B374+1,""))</f>
        <v>46381.0</v>
      </c>
      <c r="C375" s="128" t="str">
        <f>IF(B375="","",CHOOSE(WEEKDAY(B375),"Dom","Seg","Ter","Qua","Qui","Sex","Sáb"))</f>
        <v>Sex</v>
      </c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28" t="str">
        <f>IF(OR(B375="",B375&gt;Hoje),"",COUNTIF(D375:M375,"x"))</f>
        <v/>
      </c>
      <c r="O375" s="133" t="str">
        <f>IF(OR(N375="",COUNTA($D$16:$M$16)=0),"",N375/COUNTA($D$16:$M$16))</f>
        <v/>
      </c>
      <c r="Q375">
        <f>IF(D375="x",Q374+1,0)</f>
        <v>0</v>
      </c>
      <c r="R375">
        <f>IF(E375="x",R374+1,0)</f>
        <v>0</v>
      </c>
      <c r="S375">
        <f>IF(F375="x",S374+1,0)</f>
        <v>0</v>
      </c>
      <c r="T375">
        <f>IF(G375="x",T374+1,0)</f>
        <v>0</v>
      </c>
      <c r="U375">
        <f>IF(H375="x",U374+1,0)</f>
        <v>0</v>
      </c>
      <c r="V375">
        <f>IF(I375="x",V374+1,0)</f>
        <v>0</v>
      </c>
      <c r="W375">
        <f>IF(J375="x",W374+1,0)</f>
        <v>0</v>
      </c>
      <c r="X375">
        <f>IF(K375="x",X374+1,0)</f>
        <v>0</v>
      </c>
      <c r="Y375">
        <f>IF(L375="x",Y374+1,0)</f>
        <v>0</v>
      </c>
      <c r="Z375">
        <f>IF(M375="x",Z374+1,0)</f>
        <v>0</v>
      </c>
    </row>
    <row r="376">
      <c r="B376" s="137">
        <f>IF(B375="","",IF(YEAR(B375+1)=Ano,B375+1,""))</f>
        <v>46382.0</v>
      </c>
      <c r="C376" s="128" t="str">
        <f>IF(B376="","",CHOOSE(WEEKDAY(B376),"Dom","Seg","Ter","Qua","Qui","Sex","Sáb"))</f>
        <v>Sáb</v>
      </c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28" t="str">
        <f>IF(OR(B376="",B376&gt;Hoje),"",COUNTIF(D376:M376,"x"))</f>
        <v/>
      </c>
      <c r="O376" s="133" t="str">
        <f>IF(OR(N376="",COUNTA($D$16:$M$16)=0),"",N376/COUNTA($D$16:$M$16))</f>
        <v/>
      </c>
      <c r="Q376">
        <f>IF(D376="x",Q375+1,0)</f>
        <v>0</v>
      </c>
      <c r="R376">
        <f>IF(E376="x",R375+1,0)</f>
        <v>0</v>
      </c>
      <c r="S376">
        <f>IF(F376="x",S375+1,0)</f>
        <v>0</v>
      </c>
      <c r="T376">
        <f>IF(G376="x",T375+1,0)</f>
        <v>0</v>
      </c>
      <c r="U376">
        <f>IF(H376="x",U375+1,0)</f>
        <v>0</v>
      </c>
      <c r="V376">
        <f>IF(I376="x",V375+1,0)</f>
        <v>0</v>
      </c>
      <c r="W376">
        <f>IF(J376="x",W375+1,0)</f>
        <v>0</v>
      </c>
      <c r="X376">
        <f>IF(K376="x",X375+1,0)</f>
        <v>0</v>
      </c>
      <c r="Y376">
        <f>IF(L376="x",Y375+1,0)</f>
        <v>0</v>
      </c>
      <c r="Z376">
        <f>IF(M376="x",Z375+1,0)</f>
        <v>0</v>
      </c>
    </row>
    <row r="377">
      <c r="B377" s="137">
        <f>IF(B376="","",IF(YEAR(B376+1)=Ano,B376+1,""))</f>
        <v>46383.0</v>
      </c>
      <c r="C377" s="128" t="str">
        <f>IF(B377="","",CHOOSE(WEEKDAY(B377),"Dom","Seg","Ter","Qua","Qui","Sex","Sáb"))</f>
        <v>Dom</v>
      </c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28" t="str">
        <f>IF(OR(B377="",B377&gt;Hoje),"",COUNTIF(D377:M377,"x"))</f>
        <v/>
      </c>
      <c r="O377" s="133" t="str">
        <f>IF(OR(N377="",COUNTA($D$16:$M$16)=0),"",N377/COUNTA($D$16:$M$16))</f>
        <v/>
      </c>
      <c r="Q377">
        <f>IF(D377="x",Q376+1,0)</f>
        <v>0</v>
      </c>
      <c r="R377">
        <f>IF(E377="x",R376+1,0)</f>
        <v>0</v>
      </c>
      <c r="S377">
        <f>IF(F377="x",S376+1,0)</f>
        <v>0</v>
      </c>
      <c r="T377">
        <f>IF(G377="x",T376+1,0)</f>
        <v>0</v>
      </c>
      <c r="U377">
        <f>IF(H377="x",U376+1,0)</f>
        <v>0</v>
      </c>
      <c r="V377">
        <f>IF(I377="x",V376+1,0)</f>
        <v>0</v>
      </c>
      <c r="W377">
        <f>IF(J377="x",W376+1,0)</f>
        <v>0</v>
      </c>
      <c r="X377">
        <f>IF(K377="x",X376+1,0)</f>
        <v>0</v>
      </c>
      <c r="Y377">
        <f>IF(L377="x",Y376+1,0)</f>
        <v>0</v>
      </c>
      <c r="Z377">
        <f>IF(M377="x",Z376+1,0)</f>
        <v>0</v>
      </c>
    </row>
    <row r="378">
      <c r="B378" s="137">
        <f>IF(B377="","",IF(YEAR(B377+1)=Ano,B377+1,""))</f>
        <v>46384.0</v>
      </c>
      <c r="C378" s="128" t="str">
        <f>IF(B378="","",CHOOSE(WEEKDAY(B378),"Dom","Seg","Ter","Qua","Qui","Sex","Sáb"))</f>
        <v>Seg</v>
      </c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28" t="str">
        <f>IF(OR(B378="",B378&gt;Hoje),"",COUNTIF(D378:M378,"x"))</f>
        <v/>
      </c>
      <c r="O378" s="133" t="str">
        <f>IF(OR(N378="",COUNTA($D$16:$M$16)=0),"",N378/COUNTA($D$16:$M$16))</f>
        <v/>
      </c>
      <c r="Q378">
        <f>IF(D378="x",Q377+1,0)</f>
        <v>0</v>
      </c>
      <c r="R378">
        <f>IF(E378="x",R377+1,0)</f>
        <v>0</v>
      </c>
      <c r="S378">
        <f>IF(F378="x",S377+1,0)</f>
        <v>0</v>
      </c>
      <c r="T378">
        <f>IF(G378="x",T377+1,0)</f>
        <v>0</v>
      </c>
      <c r="U378">
        <f>IF(H378="x",U377+1,0)</f>
        <v>0</v>
      </c>
      <c r="V378">
        <f>IF(I378="x",V377+1,0)</f>
        <v>0</v>
      </c>
      <c r="W378">
        <f>IF(J378="x",W377+1,0)</f>
        <v>0</v>
      </c>
      <c r="X378">
        <f>IF(K378="x",X377+1,0)</f>
        <v>0</v>
      </c>
      <c r="Y378">
        <f>IF(L378="x",Y377+1,0)</f>
        <v>0</v>
      </c>
      <c r="Z378">
        <f>IF(M378="x",Z377+1,0)</f>
        <v>0</v>
      </c>
    </row>
    <row r="379">
      <c r="B379" s="137">
        <f>IF(B378="","",IF(YEAR(B378+1)=Ano,B378+1,""))</f>
        <v>46385.0</v>
      </c>
      <c r="C379" s="128" t="str">
        <f>IF(B379="","",CHOOSE(WEEKDAY(B379),"Dom","Seg","Ter","Qua","Qui","Sex","Sáb"))</f>
        <v>Ter</v>
      </c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28" t="str">
        <f>IF(OR(B379="",B379&gt;Hoje),"",COUNTIF(D379:M379,"x"))</f>
        <v/>
      </c>
      <c r="O379" s="133" t="str">
        <f>IF(OR(N379="",COUNTA($D$16:$M$16)=0),"",N379/COUNTA($D$16:$M$16))</f>
        <v/>
      </c>
      <c r="Q379">
        <f>IF(D379="x",Q378+1,0)</f>
        <v>0</v>
      </c>
      <c r="R379">
        <f>IF(E379="x",R378+1,0)</f>
        <v>0</v>
      </c>
      <c r="S379">
        <f>IF(F379="x",S378+1,0)</f>
        <v>0</v>
      </c>
      <c r="T379">
        <f>IF(G379="x",T378+1,0)</f>
        <v>0</v>
      </c>
      <c r="U379">
        <f>IF(H379="x",U378+1,0)</f>
        <v>0</v>
      </c>
      <c r="V379">
        <f>IF(I379="x",V378+1,0)</f>
        <v>0</v>
      </c>
      <c r="W379">
        <f>IF(J379="x",W378+1,0)</f>
        <v>0</v>
      </c>
      <c r="X379">
        <f>IF(K379="x",X378+1,0)</f>
        <v>0</v>
      </c>
      <c r="Y379">
        <f>IF(L379="x",Y378+1,0)</f>
        <v>0</v>
      </c>
      <c r="Z379">
        <f>IF(M379="x",Z378+1,0)</f>
        <v>0</v>
      </c>
    </row>
    <row r="380">
      <c r="B380" s="137">
        <f>IF(B379="","",IF(YEAR(B379+1)=Ano,B379+1,""))</f>
        <v>46386.0</v>
      </c>
      <c r="C380" s="128" t="str">
        <f>IF(B380="","",CHOOSE(WEEKDAY(B380),"Dom","Seg","Ter","Qua","Qui","Sex","Sáb"))</f>
        <v>Qua</v>
      </c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28" t="str">
        <f>IF(OR(B380="",B380&gt;Hoje),"",COUNTIF(D380:M380,"x"))</f>
        <v/>
      </c>
      <c r="O380" s="133" t="str">
        <f>IF(OR(N380="",COUNTA($D$16:$M$16)=0),"",N380/COUNTA($D$16:$M$16))</f>
        <v/>
      </c>
      <c r="Q380">
        <f>IF(D380="x",Q379+1,0)</f>
        <v>0</v>
      </c>
      <c r="R380">
        <f>IF(E380="x",R379+1,0)</f>
        <v>0</v>
      </c>
      <c r="S380">
        <f>IF(F380="x",S379+1,0)</f>
        <v>0</v>
      </c>
      <c r="T380">
        <f>IF(G380="x",T379+1,0)</f>
        <v>0</v>
      </c>
      <c r="U380">
        <f>IF(H380="x",U379+1,0)</f>
        <v>0</v>
      </c>
      <c r="V380">
        <f>IF(I380="x",V379+1,0)</f>
        <v>0</v>
      </c>
      <c r="W380">
        <f>IF(J380="x",W379+1,0)</f>
        <v>0</v>
      </c>
      <c r="X380">
        <f>IF(K380="x",X379+1,0)</f>
        <v>0</v>
      </c>
      <c r="Y380">
        <f>IF(L380="x",Y379+1,0)</f>
        <v>0</v>
      </c>
      <c r="Z380">
        <f>IF(M380="x",Z379+1,0)</f>
        <v>0</v>
      </c>
    </row>
    <row r="381">
      <c r="B381" s="137">
        <f>IF(B380="","",IF(YEAR(B380+1)=Ano,B380+1,""))</f>
        <v>46387.0</v>
      </c>
      <c r="C381" s="128" t="str">
        <f>IF(B381="","",CHOOSE(WEEKDAY(B381),"Dom","Seg","Ter","Qua","Qui","Sex","Sáb"))</f>
        <v>Qui</v>
      </c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28" t="str">
        <f>IF(OR(B381="",B381&gt;Hoje),"",COUNTIF(D381:M381,"x"))</f>
        <v/>
      </c>
      <c r="O381" s="133" t="str">
        <f>IF(OR(N381="",COUNTA($D$16:$M$16)=0),"",N381/COUNTA($D$16:$M$16))</f>
        <v/>
      </c>
      <c r="Q381">
        <f>IF(D381="x",Q380+1,0)</f>
        <v>0</v>
      </c>
      <c r="R381">
        <f>IF(E381="x",R380+1,0)</f>
        <v>0</v>
      </c>
      <c r="S381">
        <f>IF(F381="x",S380+1,0)</f>
        <v>0</v>
      </c>
      <c r="T381">
        <f>IF(G381="x",T380+1,0)</f>
        <v>0</v>
      </c>
      <c r="U381">
        <f>IF(H381="x",U380+1,0)</f>
        <v>0</v>
      </c>
      <c r="V381">
        <f>IF(I381="x",V380+1,0)</f>
        <v>0</v>
      </c>
      <c r="W381">
        <f>IF(J381="x",W380+1,0)</f>
        <v>0</v>
      </c>
      <c r="X381">
        <f>IF(K381="x",X380+1,0)</f>
        <v>0</v>
      </c>
      <c r="Y381">
        <f>IF(L381="x",Y380+1,0)</f>
        <v>0</v>
      </c>
      <c r="Z381">
        <f>IF(M381="x",Z380+1,0)</f>
        <v>0</v>
      </c>
    </row>
    <row r="382">
      <c r="B382" s="137" t="str">
        <f>IF(B381="","",IF(YEAR(B381+1)=Ano,B381+1,""))</f>
        <v/>
      </c>
      <c r="C382" s="128" t="str">
        <f>IF(B382="","",CHOOSE(WEEKDAY(B382),"Dom","Seg","Ter","Qua","Qui","Sex","Sáb"))</f>
        <v/>
      </c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28" t="str">
        <f>IF(OR(B382="",B382&gt;Hoje),"",COUNTIF(D382:M382,"x"))</f>
        <v/>
      </c>
      <c r="O382" s="133" t="str">
        <f>IF(OR(N382="",COUNTA($D$16:$M$16)=0),"",N382/COUNTA($D$16:$M$16))</f>
        <v/>
      </c>
      <c r="Q382">
        <f>IF(D382="x",Q381+1,0)</f>
        <v>0</v>
      </c>
      <c r="R382">
        <f>IF(E382="x",R381+1,0)</f>
        <v>0</v>
      </c>
      <c r="S382">
        <f>IF(F382="x",S381+1,0)</f>
        <v>0</v>
      </c>
      <c r="T382">
        <f>IF(G382="x",T381+1,0)</f>
        <v>0</v>
      </c>
      <c r="U382">
        <f>IF(H382="x",U381+1,0)</f>
        <v>0</v>
      </c>
      <c r="V382">
        <f>IF(I382="x",V381+1,0)</f>
        <v>0</v>
      </c>
      <c r="W382">
        <f>IF(J382="x",W381+1,0)</f>
        <v>0</v>
      </c>
      <c r="X382">
        <f>IF(K382="x",X381+1,0)</f>
        <v>0</v>
      </c>
      <c r="Y382">
        <f>IF(L382="x",Y381+1,0)</f>
        <v>0</v>
      </c>
      <c r="Z382">
        <f>IF(M382="x",Z381+1,0)</f>
        <v>0</v>
      </c>
    </row>
  </sheetData>
  <mergeCells count="17">
    <mergeCell ref="B13:C13"/>
    <mergeCell ref="N9:O9"/>
    <mergeCell ref="B6:C6"/>
    <mergeCell ref="B7:C7"/>
    <mergeCell ref="B11:C11"/>
    <mergeCell ref="N11:O11"/>
    <mergeCell ref="N12:O12"/>
    <mergeCell ref="N6:O6"/>
    <mergeCell ref="B10:C10"/>
    <mergeCell ref="N10:O10"/>
    <mergeCell ref="B14:C14"/>
    <mergeCell ref="B9:C9"/>
    <mergeCell ref="B8:C8"/>
    <mergeCell ref="N13:O13"/>
    <mergeCell ref="N8:O8"/>
    <mergeCell ref="N14:O14"/>
    <mergeCell ref="B12:C12"/>
  </mergeCells>
  <conditionalFormatting sqref="D10:O10">
    <cfRule type="dataBar" priority="1">
      <dataBar showValue="1">
        <cfvo type="num" val="0"/>
        <cfvo type="num" val="1"/>
        <color rgb="00EB6834"/>
      </dataBar>
    </cfRule>
  </conditionalFormatting>
  <conditionalFormatting sqref="D14:O14">
    <cfRule type="expression" priority="2" dxfId="5">
      <formula>LEFT(D14,1)="✔"</formula>
    </cfRule>
    <cfRule type="expression" priority="3" dxfId="6">
      <formula>LEFT(D14,1)="▲"</formula>
    </cfRule>
    <cfRule type="expression" priority="4" dxfId="7">
      <formula>LEFT(D14,1)="✖"</formula>
    </cfRule>
    <cfRule type="expression" priority="5" dxfId="8">
      <formula>LEFT(D14,1)="○"</formula>
    </cfRule>
    <cfRule type="expression" priority="6" dxfId="8">
      <formula>LEFT(D14,1)="‖"</formula>
    </cfRule>
    <cfRule type="expression" priority="7" dxfId="8">
      <formula>LEFT(D14,1)="–"</formula>
    </cfRule>
  </conditionalFormatting>
  <conditionalFormatting sqref="D17:M382">
    <cfRule type="expression" priority="8" dxfId="20">
      <formula>D17="x"</formula>
    </cfRule>
  </conditionalFormatting>
  <conditionalFormatting sqref="B17:O382">
    <cfRule type="expression" priority="9" dxfId="18">
      <formula>$B17=Hoje</formula>
    </cfRule>
  </conditionalFormatting>
  <conditionalFormatting sqref="B17:C382">
    <cfRule type="expression" priority="10" dxfId="19">
      <formula>AND($B17&lt;&gt;"",WEEKDAY($B17,2)&gt;5)</formula>
    </cfRule>
  </conditionalFormatting>
  <conditionalFormatting sqref="O17:O382">
    <cfRule type="dataBar" priority="11">
      <dataBar showValue="1">
        <cfvo type="num" val="0"/>
        <cfvo type="num" val="1"/>
        <color rgb="00EB6834"/>
      </dataBar>
    </cfRule>
  </conditionalFormatting>
  <dataValidations count="3">
    <dataValidation sqref="D6:M6" showDropDown="0" showInputMessage="1" showErrorMessage="1" allowBlank="1" errorTitle="Valor fora da lista" error="Escolha um item da lista (as listas ficam na aba Config)." prompt="A qual área da vida este hábito serve? (alimenta o placar da área)" type="list" errorStyle="stop">
      <formula1>lst_Areas</formula1>
    </dataValidation>
    <dataValidation sqref="D7:M7" showDropDown="0" showInputMessage="1" showErrorMessage="1" allowBlank="1" errorTitle="Valor inválido" error="Use um número entre 1 e 7." promptTitle="" prompt="Quantos dias por semana você quer cumprir este hábito" type="whole" operator="between">
      <formula1>1</formula1>
      <formula2>7</formula2>
    </dataValidation>
    <dataValidation sqref="D17:M382" showDropDown="0" showInputMessage="1" showErrorMessage="1" allowBlank="1" error="Use x para marcar o hábito como feito." prompt="Digite x quando cumprir o hábito neste dia" type="list" errorStyle="warning">
      <formula1>"x"</formula1>
    </dataValidation>
  </dataValidations>
  <hyperlinks>
    <hyperlink ref="O1" location="'Dashboard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3AA7"/>
    <outlinePr summaryBelow="1" summaryRight="1"/>
    <pageSetUpPr/>
  </sheetPr>
  <dimension ref="A1:L125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  <col width="12" customWidth="1" min="4" max="4"/>
    <col width="12" customWidth="1" min="5" max="5"/>
    <col width="11" customWidth="1" min="6" max="6"/>
    <col width="16" customWidth="1" min="7" max="7"/>
    <col width="30" customWidth="1" min="8" max="8"/>
    <col width="13" customWidth="1" min="9" max="9"/>
    <col width="14" customWidth="1" min="10" max="10"/>
    <col width="13" customWidth="1" min="11" max="11"/>
    <col width="30" customWidth="1" min="12" max="12"/>
  </cols>
  <sheetData>
    <row r="1" ht="34" customHeight="1">
      <c r="A1" s="189" t="n"/>
      <c r="B1" s="97" t="inlineStr">
        <is>
          <t>Carreira &amp; desenvolvimento profissional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98" t="inlineStr">
        <is>
          <t>◀ Dashboard</t>
        </is>
      </c>
    </row>
    <row r="2" ht="18" customHeight="1">
      <c r="A2" s="189" t="n"/>
      <c r="B2" s="99" t="inlineStr">
        <is>
          <t>Onde você está, que competências quer subir de nível, que oportunidades persegue e o que já entregou.</t>
        </is>
      </c>
    </row>
    <row r="3" ht="16" customHeight="1">
      <c r="A3" s="18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90" t="inlineStr">
        <is>
          <t>SITUAÇÃO ATUAL</t>
        </is>
      </c>
      <c r="C5" s="191" t="n"/>
      <c r="D5" s="191" t="n"/>
      <c r="E5" s="191" t="n"/>
      <c r="G5" s="190" t="inlineStr">
        <is>
          <t>INDICADORES (automático)</t>
        </is>
      </c>
      <c r="H5" s="191" t="n"/>
      <c r="I5" s="191" t="n"/>
      <c r="J5" s="191" t="n"/>
      <c r="K5" s="191" t="n"/>
      <c r="L5" s="191" t="n"/>
    </row>
    <row r="6" ht="22" customHeight="1">
      <c r="B6" s="105" t="inlineStr">
        <is>
          <t>Cargo atual</t>
        </is>
      </c>
      <c r="C6" s="192" t="n"/>
      <c r="D6" s="114" t="n"/>
      <c r="E6" s="115" t="n"/>
      <c r="G6" s="105" t="inlineStr">
        <is>
          <t>Candidaturas ativas</t>
        </is>
      </c>
      <c r="H6" s="115" t="n"/>
      <c r="I6" s="193">
        <f>COUNTIF($E$33:$E$62,"Aplicado")+COUNTIF($E$33:$E$62,"Entrevista")+COUNTIF($E$33:$E$62,"Teste / case")+COUNTIF($E$33:$E$62,"Proposta")</f>
        <v>0</v>
      </c>
      <c r="J6" s="194" t="str">
        <f>"aplicado, entrevista, teste ou proposta"</f>
        <v>aplicado, entrevista, teste ou proposta</v>
      </c>
      <c r="K6" s="114" t="n"/>
      <c r="L6" s="115" t="n"/>
    </row>
    <row r="7" ht="22" customHeight="1">
      <c r="B7" s="105" t="inlineStr">
        <is>
          <t>Empresa</t>
        </is>
      </c>
      <c r="C7" s="192" t="n"/>
      <c r="D7" s="114" t="n"/>
      <c r="E7" s="115" t="n"/>
      <c r="G7" s="105" t="inlineStr">
        <is>
          <t>Em fase avançada</t>
        </is>
      </c>
      <c r="H7" s="115" t="n"/>
      <c r="I7" s="193">
        <f>COUNTIF($E$33:$E$62,"Entrevista")+COUNTIF($E$33:$E$62,"Teste / case")+COUNTIF($E$33:$E$62,"Proposta")</f>
        <v>0</v>
      </c>
      <c r="J7" s="194" t="str">
        <f>"entrevista, teste ou proposta"</f>
        <v>entrevista, teste ou proposta</v>
      </c>
      <c r="K7" s="114" t="n"/>
      <c r="L7" s="115" t="n"/>
    </row>
    <row r="8" ht="22" customHeight="1">
      <c r="B8" s="105" t="inlineStr">
        <is>
          <t>Desde</t>
        </is>
      </c>
      <c r="C8" s="195" t="n"/>
      <c r="D8" s="114" t="n"/>
      <c r="E8" s="115" t="n"/>
      <c r="G8" s="105" t="inlineStr">
        <is>
          <t>Ações pendentes</t>
        </is>
      </c>
      <c r="H8" s="115" t="n"/>
      <c r="I8" s="193">
        <f>COUNTIF($G$33:$G$62,"▲*")+COUNTIF($G$33:$G$62,"✖*")</f>
        <v>0</v>
      </c>
      <c r="J8" s="194" t="str">
        <f>IF(COUNTIF($G$33:$G$62,"✖*")&gt;0,"✖ "&amp;COUNTIF($G$33:$G$62,"✖*")&amp;" ação(ões) atrasada(s)","follow-ups e próximas ações")</f>
        <v>follow-ups e próximas ações</v>
      </c>
      <c r="K8" s="114" t="n"/>
      <c r="L8" s="115" t="n"/>
    </row>
    <row r="9" ht="22" customHeight="1">
      <c r="B9" s="105" t="inlineStr">
        <is>
          <t>Remuneração líquida / mês (€)</t>
        </is>
      </c>
      <c r="C9" s="196" t="n"/>
      <c r="D9" s="114" t="n"/>
      <c r="E9" s="115" t="n"/>
      <c r="G9" s="105" t="inlineStr">
        <is>
          <t>Conquistas registradas no ano</t>
        </is>
      </c>
      <c r="H9" s="115" t="n"/>
      <c r="I9" s="193">
        <f>COUNTIFS($D$66:$D$125,"&gt;="&amp;IniAno,$D$66:$D$125,"&lt;="&amp;FimAno)</f>
        <v>0</v>
      </c>
      <c r="J9" s="194" t="str">
        <f>"seu 'brag document' para avaliações e entrevistas"</f>
        <v>seu 'brag document' para avaliações e entrevistas</v>
      </c>
      <c r="K9" s="114" t="n"/>
      <c r="L9" s="115" t="n"/>
    </row>
    <row r="10" ht="22" customHeight="1">
      <c r="B10" s="105" t="inlineStr">
        <is>
          <t>Satisfação com o trabalho (0–10)</t>
        </is>
      </c>
      <c r="C10" s="192" t="n"/>
      <c r="D10" s="114" t="n"/>
      <c r="E10" s="115" t="n"/>
      <c r="G10" s="105" t="inlineStr">
        <is>
          <t>Competências: % do nível alvo</t>
        </is>
      </c>
      <c r="H10" s="115" t="n"/>
      <c r="I10" s="197" t="str">
        <f>IFERROR(AVERAGE($K$15:$K$29),"–")</f>
        <v>–</v>
      </c>
      <c r="J10" s="194" t="str">
        <f>IF(ISNUMBER(I10),IF(I10&gt;=0.85,"✔ ","▲ ")&amp;"média das competências mapeadas","○ mapeie suas competências")</f>
        <v>○ mapeie suas competências</v>
      </c>
      <c r="K10" s="114" t="n"/>
      <c r="L10" s="115" t="n"/>
    </row>
    <row r="11" ht="34" customHeight="1">
      <c r="B11" s="105" t="inlineStr">
        <is>
          <t>Objetivo para os próximos 12 meses</t>
        </is>
      </c>
      <c r="C11" s="192" t="n"/>
      <c r="D11" s="114" t="n"/>
      <c r="E11" s="115" t="n"/>
      <c r="G11" s="105" t="inlineStr">
        <is>
          <t>Satisfação com o trabalho</t>
        </is>
      </c>
      <c r="H11" s="115" t="n"/>
      <c r="I11" s="198" t="str">
        <f>IF(C10="","–",C10)</f>
        <v>–</v>
      </c>
      <c r="J11" s="194" t="str">
        <f>IF(ISNUMBER(I11),IF(I11&gt;=7,"✔ satisfeito",IF(I11&gt;=5,"▲ morno","✖ insatisfeito")),"")</f>
        <v/>
      </c>
      <c r="K11" s="114" t="n"/>
      <c r="L11" s="115" t="n"/>
    </row>
    <row r="12" ht="34" customHeight="1">
      <c r="B12" s="105" t="inlineStr">
        <is>
          <t>Visão de carreira (3–5 anos)</t>
        </is>
      </c>
      <c r="C12" s="192" t="n"/>
      <c r="D12" s="114" t="n"/>
      <c r="E12" s="115" t="n"/>
      <c r="G12" s="105" t="inlineStr">
        <is>
          <t>Tempo na empresa</t>
        </is>
      </c>
      <c r="H12" s="115" t="n"/>
      <c r="I12" s="199" t="str">
        <f>IF(C8="","–",ROUND((Hoje-C8)/365.25,1))</f>
        <v>–</v>
      </c>
      <c r="J12" s="194" t="str">
        <f>""</f>
        <v/>
      </c>
      <c r="K12" s="114" t="n"/>
      <c r="L12" s="115" t="n"/>
    </row>
    <row r="13" ht="22" customHeight="1">
      <c r="B13" s="190" t="inlineStr">
        <is>
          <t>COMPETÊNCIAS · nível de 1 (iniciante) a 5 (referência)</t>
        </is>
      </c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</row>
    <row r="14" ht="30" customHeight="1">
      <c r="B14" s="103" t="inlineStr">
        <is>
          <t>Competência</t>
        </is>
      </c>
      <c r="C14" s="103" t="inlineStr">
        <is>
          <t>Categoria</t>
        </is>
      </c>
      <c r="D14" s="103" t="inlineStr">
        <is>
          <t>Nível atual</t>
        </is>
      </c>
      <c r="E14" s="103" t="inlineStr">
        <is>
          <t>Nível alvo</t>
        </is>
      </c>
      <c r="F14" s="104" t="inlineStr">
        <is>
          <t>Gap</t>
        </is>
      </c>
      <c r="G14" s="104" t="inlineStr">
        <is>
          <t>Visual</t>
        </is>
      </c>
      <c r="H14" s="103" t="inlineStr">
        <is>
          <t>Como vou desenvolver</t>
        </is>
      </c>
      <c r="I14" s="103" t="inlineStr">
        <is>
          <t>Prazo</t>
        </is>
      </c>
      <c r="J14" s="103" t="inlineStr">
        <is>
          <t>Prioridade</t>
        </is>
      </c>
      <c r="K14" s="104" t="inlineStr">
        <is>
          <t>% do alvo</t>
        </is>
      </c>
      <c r="L14" s="103" t="inlineStr">
        <is>
          <t>Notas</t>
        </is>
      </c>
    </row>
    <row r="15">
      <c r="B15" s="129" t="n"/>
      <c r="C15" s="129" t="n"/>
      <c r="D15" s="106" t="n"/>
      <c r="E15" s="106" t="n"/>
      <c r="F15" s="128" t="str">
        <f>IF(OR(B15="",D15="",E15=""),"",E15-D15)</f>
        <v/>
      </c>
      <c r="G15" s="200" t="str">
        <f>IF(OR(B15="",D15="",E15=""),"",REPT("●",D15)&amp;REPT("○",MAX(0,E15-D15)))</f>
        <v/>
      </c>
      <c r="H15" s="135" t="n"/>
      <c r="I15" s="130" t="n"/>
      <c r="J15" s="129" t="n"/>
      <c r="K15" s="133" t="str">
        <f>IF(OR(B15="",N(E15)=0),"",MIN(1,D15/E15))</f>
        <v/>
      </c>
      <c r="L15" s="129" t="n"/>
    </row>
    <row r="16">
      <c r="B16" s="129" t="n"/>
      <c r="C16" s="129" t="n"/>
      <c r="D16" s="106" t="n"/>
      <c r="E16" s="106" t="n"/>
      <c r="F16" s="128" t="str">
        <f>IF(OR(B16="",D16="",E16=""),"",E16-D16)</f>
        <v/>
      </c>
      <c r="G16" s="200" t="str">
        <f>IF(OR(B16="",D16="",E16=""),"",REPT("●",D16)&amp;REPT("○",MAX(0,E16-D16)))</f>
        <v/>
      </c>
      <c r="H16" s="135" t="n"/>
      <c r="I16" s="130" t="n"/>
      <c r="J16" s="129" t="n"/>
      <c r="K16" s="133" t="str">
        <f>IF(OR(B16="",N(E16)=0),"",MIN(1,D16/E16))</f>
        <v/>
      </c>
      <c r="L16" s="129" t="n"/>
    </row>
    <row r="17">
      <c r="B17" s="129" t="n"/>
      <c r="C17" s="129" t="n"/>
      <c r="D17" s="106" t="n"/>
      <c r="E17" s="106" t="n"/>
      <c r="F17" s="128" t="str">
        <f>IF(OR(B17="",D17="",E17=""),"",E17-D17)</f>
        <v/>
      </c>
      <c r="G17" s="200" t="str">
        <f>IF(OR(B17="",D17="",E17=""),"",REPT("●",D17)&amp;REPT("○",MAX(0,E17-D17)))</f>
        <v/>
      </c>
      <c r="H17" s="135" t="n"/>
      <c r="I17" s="130" t="n"/>
      <c r="J17" s="129" t="n"/>
      <c r="K17" s="133" t="str">
        <f>IF(OR(B17="",N(E17)=0),"",MIN(1,D17/E17))</f>
        <v/>
      </c>
      <c r="L17" s="129" t="n"/>
    </row>
    <row r="18">
      <c r="B18" s="129" t="n"/>
      <c r="C18" s="129" t="n"/>
      <c r="D18" s="106" t="n"/>
      <c r="E18" s="106" t="n"/>
      <c r="F18" s="128" t="str">
        <f>IF(OR(B18="",D18="",E18=""),"",E18-D18)</f>
        <v/>
      </c>
      <c r="G18" s="200" t="str">
        <f>IF(OR(B18="",D18="",E18=""),"",REPT("●",D18)&amp;REPT("○",MAX(0,E18-D18)))</f>
        <v/>
      </c>
      <c r="H18" s="135" t="n"/>
      <c r="I18" s="130" t="n"/>
      <c r="J18" s="129" t="n"/>
      <c r="K18" s="133" t="str">
        <f>IF(OR(B18="",N(E18)=0),"",MIN(1,D18/E18))</f>
        <v/>
      </c>
      <c r="L18" s="129" t="n"/>
    </row>
    <row r="19">
      <c r="B19" s="129" t="n"/>
      <c r="C19" s="129" t="n"/>
      <c r="D19" s="106" t="n"/>
      <c r="E19" s="106" t="n"/>
      <c r="F19" s="128" t="str">
        <f>IF(OR(B19="",D19="",E19=""),"",E19-D19)</f>
        <v/>
      </c>
      <c r="G19" s="200" t="str">
        <f>IF(OR(B19="",D19="",E19=""),"",REPT("●",D19)&amp;REPT("○",MAX(0,E19-D19)))</f>
        <v/>
      </c>
      <c r="H19" s="135" t="n"/>
      <c r="I19" s="130" t="n"/>
      <c r="J19" s="129" t="n"/>
      <c r="K19" s="133" t="str">
        <f>IF(OR(B19="",N(E19)=0),"",MIN(1,D19/E19))</f>
        <v/>
      </c>
      <c r="L19" s="129" t="n"/>
    </row>
    <row r="20">
      <c r="B20" s="129" t="n"/>
      <c r="C20" s="129" t="n"/>
      <c r="D20" s="106" t="n"/>
      <c r="E20" s="106" t="n"/>
      <c r="F20" s="128" t="str">
        <f>IF(OR(B20="",D20="",E20=""),"",E20-D20)</f>
        <v/>
      </c>
      <c r="G20" s="200" t="str">
        <f>IF(OR(B20="",D20="",E20=""),"",REPT("●",D20)&amp;REPT("○",MAX(0,E20-D20)))</f>
        <v/>
      </c>
      <c r="H20" s="135" t="n"/>
      <c r="I20" s="130" t="n"/>
      <c r="J20" s="129" t="n"/>
      <c r="K20" s="133" t="str">
        <f>IF(OR(B20="",N(E20)=0),"",MIN(1,D20/E20))</f>
        <v/>
      </c>
      <c r="L20" s="129" t="n"/>
    </row>
    <row r="21">
      <c r="B21" s="129" t="n"/>
      <c r="C21" s="129" t="n"/>
      <c r="D21" s="106" t="n"/>
      <c r="E21" s="106" t="n"/>
      <c r="F21" s="128" t="str">
        <f>IF(OR(B21="",D21="",E21=""),"",E21-D21)</f>
        <v/>
      </c>
      <c r="G21" s="200" t="str">
        <f>IF(OR(B21="",D21="",E21=""),"",REPT("●",D21)&amp;REPT("○",MAX(0,E21-D21)))</f>
        <v/>
      </c>
      <c r="H21" s="135" t="n"/>
      <c r="I21" s="130" t="n"/>
      <c r="J21" s="129" t="n"/>
      <c r="K21" s="133" t="str">
        <f>IF(OR(B21="",N(E21)=0),"",MIN(1,D21/E21))</f>
        <v/>
      </c>
      <c r="L21" s="129" t="n"/>
    </row>
    <row r="22">
      <c r="B22" s="129" t="n"/>
      <c r="C22" s="129" t="n"/>
      <c r="D22" s="106" t="n"/>
      <c r="E22" s="106" t="n"/>
      <c r="F22" s="128" t="str">
        <f>IF(OR(B22="",D22="",E22=""),"",E22-D22)</f>
        <v/>
      </c>
      <c r="G22" s="200" t="str">
        <f>IF(OR(B22="",D22="",E22=""),"",REPT("●",D22)&amp;REPT("○",MAX(0,E22-D22)))</f>
        <v/>
      </c>
      <c r="H22" s="135" t="n"/>
      <c r="I22" s="130" t="n"/>
      <c r="J22" s="129" t="n"/>
      <c r="K22" s="133" t="str">
        <f>IF(OR(B22="",N(E22)=0),"",MIN(1,D22/E22))</f>
        <v/>
      </c>
      <c r="L22" s="129" t="n"/>
    </row>
    <row r="23">
      <c r="B23" s="129" t="n"/>
      <c r="C23" s="129" t="n"/>
      <c r="D23" s="106" t="n"/>
      <c r="E23" s="106" t="n"/>
      <c r="F23" s="128" t="str">
        <f>IF(OR(B23="",D23="",E23=""),"",E23-D23)</f>
        <v/>
      </c>
      <c r="G23" s="200" t="str">
        <f>IF(OR(B23="",D23="",E23=""),"",REPT("●",D23)&amp;REPT("○",MAX(0,E23-D23)))</f>
        <v/>
      </c>
      <c r="H23" s="135" t="n"/>
      <c r="I23" s="130" t="n"/>
      <c r="J23" s="129" t="n"/>
      <c r="K23" s="133" t="str">
        <f>IF(OR(B23="",N(E23)=0),"",MIN(1,D23/E23))</f>
        <v/>
      </c>
      <c r="L23" s="129" t="n"/>
    </row>
    <row r="24">
      <c r="B24" s="129" t="n"/>
      <c r="C24" s="129" t="n"/>
      <c r="D24" s="106" t="n"/>
      <c r="E24" s="106" t="n"/>
      <c r="F24" s="128" t="str">
        <f>IF(OR(B24="",D24="",E24=""),"",E24-D24)</f>
        <v/>
      </c>
      <c r="G24" s="200" t="str">
        <f>IF(OR(B24="",D24="",E24=""),"",REPT("●",D24)&amp;REPT("○",MAX(0,E24-D24)))</f>
        <v/>
      </c>
      <c r="H24" s="135" t="n"/>
      <c r="I24" s="130" t="n"/>
      <c r="J24" s="129" t="n"/>
      <c r="K24" s="133" t="str">
        <f>IF(OR(B24="",N(E24)=0),"",MIN(1,D24/E24))</f>
        <v/>
      </c>
      <c r="L24" s="129" t="n"/>
    </row>
    <row r="25">
      <c r="B25" s="129" t="n"/>
      <c r="C25" s="129" t="n"/>
      <c r="D25" s="106" t="n"/>
      <c r="E25" s="106" t="n"/>
      <c r="F25" s="128" t="str">
        <f>IF(OR(B25="",D25="",E25=""),"",E25-D25)</f>
        <v/>
      </c>
      <c r="G25" s="200" t="str">
        <f>IF(OR(B25="",D25="",E25=""),"",REPT("●",D25)&amp;REPT("○",MAX(0,E25-D25)))</f>
        <v/>
      </c>
      <c r="H25" s="135" t="n"/>
      <c r="I25" s="130" t="n"/>
      <c r="J25" s="129" t="n"/>
      <c r="K25" s="133" t="str">
        <f>IF(OR(B25="",N(E25)=0),"",MIN(1,D25/E25))</f>
        <v/>
      </c>
      <c r="L25" s="129" t="n"/>
    </row>
    <row r="26">
      <c r="B26" s="129" t="n"/>
      <c r="C26" s="129" t="n"/>
      <c r="D26" s="106" t="n"/>
      <c r="E26" s="106" t="n"/>
      <c r="F26" s="128" t="str">
        <f>IF(OR(B26="",D26="",E26=""),"",E26-D26)</f>
        <v/>
      </c>
      <c r="G26" s="200" t="str">
        <f>IF(OR(B26="",D26="",E26=""),"",REPT("●",D26)&amp;REPT("○",MAX(0,E26-D26)))</f>
        <v/>
      </c>
      <c r="H26" s="135" t="n"/>
      <c r="I26" s="130" t="n"/>
      <c r="J26" s="129" t="n"/>
      <c r="K26" s="133" t="str">
        <f>IF(OR(B26="",N(E26)=0),"",MIN(1,D26/E26))</f>
        <v/>
      </c>
      <c r="L26" s="129" t="n"/>
    </row>
    <row r="27">
      <c r="B27" s="129" t="n"/>
      <c r="C27" s="129" t="n"/>
      <c r="D27" s="106" t="n"/>
      <c r="E27" s="106" t="n"/>
      <c r="F27" s="128" t="str">
        <f>IF(OR(B27="",D27="",E27=""),"",E27-D27)</f>
        <v/>
      </c>
      <c r="G27" s="200" t="str">
        <f>IF(OR(B27="",D27="",E27=""),"",REPT("●",D27)&amp;REPT("○",MAX(0,E27-D27)))</f>
        <v/>
      </c>
      <c r="H27" s="135" t="n"/>
      <c r="I27" s="130" t="n"/>
      <c r="J27" s="129" t="n"/>
      <c r="K27" s="133" t="str">
        <f>IF(OR(B27="",N(E27)=0),"",MIN(1,D27/E27))</f>
        <v/>
      </c>
      <c r="L27" s="129" t="n"/>
    </row>
    <row r="28">
      <c r="B28" s="129" t="n"/>
      <c r="C28" s="129" t="n"/>
      <c r="D28" s="106" t="n"/>
      <c r="E28" s="106" t="n"/>
      <c r="F28" s="128" t="str">
        <f>IF(OR(B28="",D28="",E28=""),"",E28-D28)</f>
        <v/>
      </c>
      <c r="G28" s="200" t="str">
        <f>IF(OR(B28="",D28="",E28=""),"",REPT("●",D28)&amp;REPT("○",MAX(0,E28-D28)))</f>
        <v/>
      </c>
      <c r="H28" s="135" t="n"/>
      <c r="I28" s="130" t="n"/>
      <c r="J28" s="129" t="n"/>
      <c r="K28" s="133" t="str">
        <f>IF(OR(B28="",N(E28)=0),"",MIN(1,D28/E28))</f>
        <v/>
      </c>
      <c r="L28" s="129" t="n"/>
    </row>
    <row r="29">
      <c r="B29" s="129" t="n"/>
      <c r="C29" s="129" t="n"/>
      <c r="D29" s="106" t="n"/>
      <c r="E29" s="106" t="n"/>
      <c r="F29" s="128" t="str">
        <f>IF(OR(B29="",D29="",E29=""),"",E29-D29)</f>
        <v/>
      </c>
      <c r="G29" s="200" t="str">
        <f>IF(OR(B29="",D29="",E29=""),"",REPT("●",D29)&amp;REPT("○",MAX(0,E29-D29)))</f>
        <v/>
      </c>
      <c r="H29" s="135" t="n"/>
      <c r="I29" s="130" t="n"/>
      <c r="J29" s="129" t="n"/>
      <c r="K29" s="133" t="str">
        <f>IF(OR(B29="",N(E29)=0),"",MIN(1,D29/E29))</f>
        <v/>
      </c>
      <c r="L29" s="129" t="n"/>
    </row>
    <row r="31" ht="22" customHeight="1">
      <c r="B31" s="190" t="inlineStr">
        <is>
          <t>OPORTUNIDADES &amp; CANDIDATURAS</t>
        </is>
      </c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</row>
    <row r="32" ht="30" customHeight="1">
      <c r="B32" s="103" t="inlineStr">
        <is>
          <t>Empresa / oportunidade</t>
        </is>
      </c>
      <c r="C32" s="103" t="inlineStr">
        <is>
          <t>Cargo</t>
        </is>
      </c>
      <c r="D32" s="103" t="inlineStr">
        <is>
          <t>Data</t>
        </is>
      </c>
      <c r="E32" s="103" t="inlineStr">
        <is>
          <t>Etapa</t>
        </is>
      </c>
      <c r="F32" s="104" t="inlineStr">
        <is>
          <t>Dias desde</t>
        </is>
      </c>
      <c r="G32" s="104" t="inlineStr">
        <is>
          <t>Alerta</t>
        </is>
      </c>
      <c r="H32" s="103" t="inlineStr">
        <is>
          <t>Próxima ação</t>
        </is>
      </c>
      <c r="I32" s="103" t="inlineStr">
        <is>
          <t>Data da ação</t>
        </is>
      </c>
      <c r="J32" s="103" t="inlineStr">
        <is>
          <t>Remuneração (€)</t>
        </is>
      </c>
      <c r="K32" s="103" t="inlineStr">
        <is>
          <t>Fonte / contato</t>
        </is>
      </c>
      <c r="L32" s="103" t="inlineStr">
        <is>
          <t>Notas</t>
        </is>
      </c>
    </row>
    <row r="33">
      <c r="B33" s="129" t="n"/>
      <c r="C33" s="129" t="n"/>
      <c r="D33" s="130" t="n"/>
      <c r="E33" s="129" t="n"/>
      <c r="F33" s="128" t="str">
        <f>IF(OR(B33="",D33=""),"",Hoje-D33)</f>
        <v/>
      </c>
      <c r="G33" s="138" t="str">
        <f>IF(B33="","",IF(E33="Aceito","✔ Aceito",IF(OR(E33="Recusado",E33="Desisti"),"– Encerrado",IF(AND(I33&lt;&gt;"",I33&lt;Hoje),"✖ Ação atrasada",IF(AND(E33="Aplicado",N(F33)&gt;=FollowUpDias),"▲ Fazer follow-up",IF(AND(I33&lt;&gt;"",I33-Hoje&lt;=3),"▲ Ação em breve","○ Em andamento"))))))</f>
        <v/>
      </c>
      <c r="H33" s="135" t="n"/>
      <c r="I33" s="130" t="n"/>
      <c r="J33" s="201" t="n"/>
      <c r="K33" s="129" t="n"/>
      <c r="L33" s="129" t="n"/>
    </row>
    <row r="34">
      <c r="B34" s="129" t="n"/>
      <c r="C34" s="129" t="n"/>
      <c r="D34" s="130" t="n"/>
      <c r="E34" s="129" t="n"/>
      <c r="F34" s="128" t="str">
        <f>IF(OR(B34="",D34=""),"",Hoje-D34)</f>
        <v/>
      </c>
      <c r="G34" s="138" t="str">
        <f>IF(B34="","",IF(E34="Aceito","✔ Aceito",IF(OR(E34="Recusado",E34="Desisti"),"– Encerrado",IF(AND(I34&lt;&gt;"",I34&lt;Hoje),"✖ Ação atrasada",IF(AND(E34="Aplicado",N(F34)&gt;=FollowUpDias),"▲ Fazer follow-up",IF(AND(I34&lt;&gt;"",I34-Hoje&lt;=3),"▲ Ação em breve","○ Em andamento"))))))</f>
        <v/>
      </c>
      <c r="H34" s="135" t="n"/>
      <c r="I34" s="130" t="n"/>
      <c r="J34" s="201" t="n"/>
      <c r="K34" s="129" t="n"/>
      <c r="L34" s="129" t="n"/>
    </row>
    <row r="35">
      <c r="B35" s="129" t="n"/>
      <c r="C35" s="129" t="n"/>
      <c r="D35" s="130" t="n"/>
      <c r="E35" s="129" t="n"/>
      <c r="F35" s="128" t="str">
        <f>IF(OR(B35="",D35=""),"",Hoje-D35)</f>
        <v/>
      </c>
      <c r="G35" s="138" t="str">
        <f>IF(B35="","",IF(E35="Aceito","✔ Aceito",IF(OR(E35="Recusado",E35="Desisti"),"– Encerrado",IF(AND(I35&lt;&gt;"",I35&lt;Hoje),"✖ Ação atrasada",IF(AND(E35="Aplicado",N(F35)&gt;=FollowUpDias),"▲ Fazer follow-up",IF(AND(I35&lt;&gt;"",I35-Hoje&lt;=3),"▲ Ação em breve","○ Em andamento"))))))</f>
        <v/>
      </c>
      <c r="H35" s="135" t="n"/>
      <c r="I35" s="130" t="n"/>
      <c r="J35" s="201" t="n"/>
      <c r="K35" s="129" t="n"/>
      <c r="L35" s="129" t="n"/>
    </row>
    <row r="36">
      <c r="B36" s="129" t="n"/>
      <c r="C36" s="129" t="n"/>
      <c r="D36" s="130" t="n"/>
      <c r="E36" s="129" t="n"/>
      <c r="F36" s="128" t="str">
        <f>IF(OR(B36="",D36=""),"",Hoje-D36)</f>
        <v/>
      </c>
      <c r="G36" s="138" t="str">
        <f>IF(B36="","",IF(E36="Aceito","✔ Aceito",IF(OR(E36="Recusado",E36="Desisti"),"– Encerrado",IF(AND(I36&lt;&gt;"",I36&lt;Hoje),"✖ Ação atrasada",IF(AND(E36="Aplicado",N(F36)&gt;=FollowUpDias),"▲ Fazer follow-up",IF(AND(I36&lt;&gt;"",I36-Hoje&lt;=3),"▲ Ação em breve","○ Em andamento"))))))</f>
        <v/>
      </c>
      <c r="H36" s="135" t="n"/>
      <c r="I36" s="130" t="n"/>
      <c r="J36" s="201" t="n"/>
      <c r="K36" s="129" t="n"/>
      <c r="L36" s="129" t="n"/>
    </row>
    <row r="37">
      <c r="B37" s="129" t="n"/>
      <c r="C37" s="129" t="n"/>
      <c r="D37" s="130" t="n"/>
      <c r="E37" s="129" t="n"/>
      <c r="F37" s="128" t="str">
        <f>IF(OR(B37="",D37=""),"",Hoje-D37)</f>
        <v/>
      </c>
      <c r="G37" s="138" t="str">
        <f>IF(B37="","",IF(E37="Aceito","✔ Aceito",IF(OR(E37="Recusado",E37="Desisti"),"– Encerrado",IF(AND(I37&lt;&gt;"",I37&lt;Hoje),"✖ Ação atrasada",IF(AND(E37="Aplicado",N(F37)&gt;=FollowUpDias),"▲ Fazer follow-up",IF(AND(I37&lt;&gt;"",I37-Hoje&lt;=3),"▲ Ação em breve","○ Em andamento"))))))</f>
        <v/>
      </c>
      <c r="H37" s="135" t="n"/>
      <c r="I37" s="130" t="n"/>
      <c r="J37" s="201" t="n"/>
      <c r="K37" s="129" t="n"/>
      <c r="L37" s="129" t="n"/>
    </row>
    <row r="38">
      <c r="B38" s="129" t="n"/>
      <c r="C38" s="129" t="n"/>
      <c r="D38" s="130" t="n"/>
      <c r="E38" s="129" t="n"/>
      <c r="F38" s="128" t="str">
        <f>IF(OR(B38="",D38=""),"",Hoje-D38)</f>
        <v/>
      </c>
      <c r="G38" s="138" t="str">
        <f>IF(B38="","",IF(E38="Aceito","✔ Aceito",IF(OR(E38="Recusado",E38="Desisti"),"– Encerrado",IF(AND(I38&lt;&gt;"",I38&lt;Hoje),"✖ Ação atrasada",IF(AND(E38="Aplicado",N(F38)&gt;=FollowUpDias),"▲ Fazer follow-up",IF(AND(I38&lt;&gt;"",I38-Hoje&lt;=3),"▲ Ação em breve","○ Em andamento"))))))</f>
        <v/>
      </c>
      <c r="H38" s="135" t="n"/>
      <c r="I38" s="130" t="n"/>
      <c r="J38" s="201" t="n"/>
      <c r="K38" s="129" t="n"/>
      <c r="L38" s="129" t="n"/>
    </row>
    <row r="39">
      <c r="B39" s="129" t="n"/>
      <c r="C39" s="129" t="n"/>
      <c r="D39" s="130" t="n"/>
      <c r="E39" s="129" t="n"/>
      <c r="F39" s="128" t="str">
        <f>IF(OR(B39="",D39=""),"",Hoje-D39)</f>
        <v/>
      </c>
      <c r="G39" s="138" t="str">
        <f>IF(B39="","",IF(E39="Aceito","✔ Aceito",IF(OR(E39="Recusado",E39="Desisti"),"– Encerrado",IF(AND(I39&lt;&gt;"",I39&lt;Hoje),"✖ Ação atrasada",IF(AND(E39="Aplicado",N(F39)&gt;=FollowUpDias),"▲ Fazer follow-up",IF(AND(I39&lt;&gt;"",I39-Hoje&lt;=3),"▲ Ação em breve","○ Em andamento"))))))</f>
        <v/>
      </c>
      <c r="H39" s="135" t="n"/>
      <c r="I39" s="130" t="n"/>
      <c r="J39" s="201" t="n"/>
      <c r="K39" s="129" t="n"/>
      <c r="L39" s="129" t="n"/>
    </row>
    <row r="40">
      <c r="B40" s="129" t="n"/>
      <c r="C40" s="129" t="n"/>
      <c r="D40" s="130" t="n"/>
      <c r="E40" s="129" t="n"/>
      <c r="F40" s="128" t="str">
        <f>IF(OR(B40="",D40=""),"",Hoje-D40)</f>
        <v/>
      </c>
      <c r="G40" s="138" t="str">
        <f>IF(B40="","",IF(E40="Aceito","✔ Aceito",IF(OR(E40="Recusado",E40="Desisti"),"– Encerrado",IF(AND(I40&lt;&gt;"",I40&lt;Hoje),"✖ Ação atrasada",IF(AND(E40="Aplicado",N(F40)&gt;=FollowUpDias),"▲ Fazer follow-up",IF(AND(I40&lt;&gt;"",I40-Hoje&lt;=3),"▲ Ação em breve","○ Em andamento"))))))</f>
        <v/>
      </c>
      <c r="H40" s="135" t="n"/>
      <c r="I40" s="130" t="n"/>
      <c r="J40" s="201" t="n"/>
      <c r="K40" s="129" t="n"/>
      <c r="L40" s="129" t="n"/>
    </row>
    <row r="41">
      <c r="B41" s="129" t="n"/>
      <c r="C41" s="129" t="n"/>
      <c r="D41" s="130" t="n"/>
      <c r="E41" s="129" t="n"/>
      <c r="F41" s="128" t="str">
        <f>IF(OR(B41="",D41=""),"",Hoje-D41)</f>
        <v/>
      </c>
      <c r="G41" s="138" t="str">
        <f>IF(B41="","",IF(E41="Aceito","✔ Aceito",IF(OR(E41="Recusado",E41="Desisti"),"– Encerrado",IF(AND(I41&lt;&gt;"",I41&lt;Hoje),"✖ Ação atrasada",IF(AND(E41="Aplicado",N(F41)&gt;=FollowUpDias),"▲ Fazer follow-up",IF(AND(I41&lt;&gt;"",I41-Hoje&lt;=3),"▲ Ação em breve","○ Em andamento"))))))</f>
        <v/>
      </c>
      <c r="H41" s="135" t="n"/>
      <c r="I41" s="130" t="n"/>
      <c r="J41" s="201" t="n"/>
      <c r="K41" s="129" t="n"/>
      <c r="L41" s="129" t="n"/>
    </row>
    <row r="42">
      <c r="B42" s="129" t="n"/>
      <c r="C42" s="129" t="n"/>
      <c r="D42" s="130" t="n"/>
      <c r="E42" s="129" t="n"/>
      <c r="F42" s="128" t="str">
        <f>IF(OR(B42="",D42=""),"",Hoje-D42)</f>
        <v/>
      </c>
      <c r="G42" s="138" t="str">
        <f>IF(B42="","",IF(E42="Aceito","✔ Aceito",IF(OR(E42="Recusado",E42="Desisti"),"– Encerrado",IF(AND(I42&lt;&gt;"",I42&lt;Hoje),"✖ Ação atrasada",IF(AND(E42="Aplicado",N(F42)&gt;=FollowUpDias),"▲ Fazer follow-up",IF(AND(I42&lt;&gt;"",I42-Hoje&lt;=3),"▲ Ação em breve","○ Em andamento"))))))</f>
        <v/>
      </c>
      <c r="H42" s="135" t="n"/>
      <c r="I42" s="130" t="n"/>
      <c r="J42" s="201" t="n"/>
      <c r="K42" s="129" t="n"/>
      <c r="L42" s="129" t="n"/>
    </row>
    <row r="43">
      <c r="B43" s="129" t="n"/>
      <c r="C43" s="129" t="n"/>
      <c r="D43" s="130" t="n"/>
      <c r="E43" s="129" t="n"/>
      <c r="F43" s="128" t="str">
        <f>IF(OR(B43="",D43=""),"",Hoje-D43)</f>
        <v/>
      </c>
      <c r="G43" s="138" t="str">
        <f>IF(B43="","",IF(E43="Aceito","✔ Aceito",IF(OR(E43="Recusado",E43="Desisti"),"– Encerrado",IF(AND(I43&lt;&gt;"",I43&lt;Hoje),"✖ Ação atrasada",IF(AND(E43="Aplicado",N(F43)&gt;=FollowUpDias),"▲ Fazer follow-up",IF(AND(I43&lt;&gt;"",I43-Hoje&lt;=3),"▲ Ação em breve","○ Em andamento"))))))</f>
        <v/>
      </c>
      <c r="H43" s="135" t="n"/>
      <c r="I43" s="130" t="n"/>
      <c r="J43" s="201" t="n"/>
      <c r="K43" s="129" t="n"/>
      <c r="L43" s="129" t="n"/>
    </row>
    <row r="44">
      <c r="B44" s="129" t="n"/>
      <c r="C44" s="129" t="n"/>
      <c r="D44" s="130" t="n"/>
      <c r="E44" s="129" t="n"/>
      <c r="F44" s="128" t="str">
        <f>IF(OR(B44="",D44=""),"",Hoje-D44)</f>
        <v/>
      </c>
      <c r="G44" s="138" t="str">
        <f>IF(B44="","",IF(E44="Aceito","✔ Aceito",IF(OR(E44="Recusado",E44="Desisti"),"– Encerrado",IF(AND(I44&lt;&gt;"",I44&lt;Hoje),"✖ Ação atrasada",IF(AND(E44="Aplicado",N(F44)&gt;=FollowUpDias),"▲ Fazer follow-up",IF(AND(I44&lt;&gt;"",I44-Hoje&lt;=3),"▲ Ação em breve","○ Em andamento"))))))</f>
        <v/>
      </c>
      <c r="H44" s="135" t="n"/>
      <c r="I44" s="130" t="n"/>
      <c r="J44" s="201" t="n"/>
      <c r="K44" s="129" t="n"/>
      <c r="L44" s="129" t="n"/>
    </row>
    <row r="45">
      <c r="B45" s="129" t="n"/>
      <c r="C45" s="129" t="n"/>
      <c r="D45" s="130" t="n"/>
      <c r="E45" s="129" t="n"/>
      <c r="F45" s="128" t="str">
        <f>IF(OR(B45="",D45=""),"",Hoje-D45)</f>
        <v/>
      </c>
      <c r="G45" s="138" t="str">
        <f>IF(B45="","",IF(E45="Aceito","✔ Aceito",IF(OR(E45="Recusado",E45="Desisti"),"– Encerrado",IF(AND(I45&lt;&gt;"",I45&lt;Hoje),"✖ Ação atrasada",IF(AND(E45="Aplicado",N(F45)&gt;=FollowUpDias),"▲ Fazer follow-up",IF(AND(I45&lt;&gt;"",I45-Hoje&lt;=3),"▲ Ação em breve","○ Em andamento"))))))</f>
        <v/>
      </c>
      <c r="H45" s="135" t="n"/>
      <c r="I45" s="130" t="n"/>
      <c r="J45" s="201" t="n"/>
      <c r="K45" s="129" t="n"/>
      <c r="L45" s="129" t="n"/>
    </row>
    <row r="46">
      <c r="B46" s="129" t="n"/>
      <c r="C46" s="129" t="n"/>
      <c r="D46" s="130" t="n"/>
      <c r="E46" s="129" t="n"/>
      <c r="F46" s="128" t="str">
        <f>IF(OR(B46="",D46=""),"",Hoje-D46)</f>
        <v/>
      </c>
      <c r="G46" s="138" t="str">
        <f>IF(B46="","",IF(E46="Aceito","✔ Aceito",IF(OR(E46="Recusado",E46="Desisti"),"– Encerrado",IF(AND(I46&lt;&gt;"",I46&lt;Hoje),"✖ Ação atrasada",IF(AND(E46="Aplicado",N(F46)&gt;=FollowUpDias),"▲ Fazer follow-up",IF(AND(I46&lt;&gt;"",I46-Hoje&lt;=3),"▲ Ação em breve","○ Em andamento"))))))</f>
        <v/>
      </c>
      <c r="H46" s="135" t="n"/>
      <c r="I46" s="130" t="n"/>
      <c r="J46" s="201" t="n"/>
      <c r="K46" s="129" t="n"/>
      <c r="L46" s="129" t="n"/>
    </row>
    <row r="47">
      <c r="B47" s="129" t="n"/>
      <c r="C47" s="129" t="n"/>
      <c r="D47" s="130" t="n"/>
      <c r="E47" s="129" t="n"/>
      <c r="F47" s="128" t="str">
        <f>IF(OR(B47="",D47=""),"",Hoje-D47)</f>
        <v/>
      </c>
      <c r="G47" s="138" t="str">
        <f>IF(B47="","",IF(E47="Aceito","✔ Aceito",IF(OR(E47="Recusado",E47="Desisti"),"– Encerrado",IF(AND(I47&lt;&gt;"",I47&lt;Hoje),"✖ Ação atrasada",IF(AND(E47="Aplicado",N(F47)&gt;=FollowUpDias),"▲ Fazer follow-up",IF(AND(I47&lt;&gt;"",I47-Hoje&lt;=3),"▲ Ação em breve","○ Em andamento"))))))</f>
        <v/>
      </c>
      <c r="H47" s="135" t="n"/>
      <c r="I47" s="130" t="n"/>
      <c r="J47" s="201" t="n"/>
      <c r="K47" s="129" t="n"/>
      <c r="L47" s="129" t="n"/>
    </row>
    <row r="48">
      <c r="B48" s="129" t="n"/>
      <c r="C48" s="129" t="n"/>
      <c r="D48" s="130" t="n"/>
      <c r="E48" s="129" t="n"/>
      <c r="F48" s="128" t="str">
        <f>IF(OR(B48="",D48=""),"",Hoje-D48)</f>
        <v/>
      </c>
      <c r="G48" s="138" t="str">
        <f>IF(B48="","",IF(E48="Aceito","✔ Aceito",IF(OR(E48="Recusado",E48="Desisti"),"– Encerrado",IF(AND(I48&lt;&gt;"",I48&lt;Hoje),"✖ Ação atrasada",IF(AND(E48="Aplicado",N(F48)&gt;=FollowUpDias),"▲ Fazer follow-up",IF(AND(I48&lt;&gt;"",I48-Hoje&lt;=3),"▲ Ação em breve","○ Em andamento"))))))</f>
        <v/>
      </c>
      <c r="H48" s="135" t="n"/>
      <c r="I48" s="130" t="n"/>
      <c r="J48" s="201" t="n"/>
      <c r="K48" s="129" t="n"/>
      <c r="L48" s="129" t="n"/>
    </row>
    <row r="49">
      <c r="B49" s="129" t="n"/>
      <c r="C49" s="129" t="n"/>
      <c r="D49" s="130" t="n"/>
      <c r="E49" s="129" t="n"/>
      <c r="F49" s="128" t="str">
        <f>IF(OR(B49="",D49=""),"",Hoje-D49)</f>
        <v/>
      </c>
      <c r="G49" s="138" t="str">
        <f>IF(B49="","",IF(E49="Aceito","✔ Aceito",IF(OR(E49="Recusado",E49="Desisti"),"– Encerrado",IF(AND(I49&lt;&gt;"",I49&lt;Hoje),"✖ Ação atrasada",IF(AND(E49="Aplicado",N(F49)&gt;=FollowUpDias),"▲ Fazer follow-up",IF(AND(I49&lt;&gt;"",I49-Hoje&lt;=3),"▲ Ação em breve","○ Em andamento"))))))</f>
        <v/>
      </c>
      <c r="H49" s="135" t="n"/>
      <c r="I49" s="130" t="n"/>
      <c r="J49" s="201" t="n"/>
      <c r="K49" s="129" t="n"/>
      <c r="L49" s="129" t="n"/>
    </row>
    <row r="50">
      <c r="B50" s="129" t="n"/>
      <c r="C50" s="129" t="n"/>
      <c r="D50" s="130" t="n"/>
      <c r="E50" s="129" t="n"/>
      <c r="F50" s="128" t="str">
        <f>IF(OR(B50="",D50=""),"",Hoje-D50)</f>
        <v/>
      </c>
      <c r="G50" s="138" t="str">
        <f>IF(B50="","",IF(E50="Aceito","✔ Aceito",IF(OR(E50="Recusado",E50="Desisti"),"– Encerrado",IF(AND(I50&lt;&gt;"",I50&lt;Hoje),"✖ Ação atrasada",IF(AND(E50="Aplicado",N(F50)&gt;=FollowUpDias),"▲ Fazer follow-up",IF(AND(I50&lt;&gt;"",I50-Hoje&lt;=3),"▲ Ação em breve","○ Em andamento"))))))</f>
        <v/>
      </c>
      <c r="H50" s="135" t="n"/>
      <c r="I50" s="130" t="n"/>
      <c r="J50" s="201" t="n"/>
      <c r="K50" s="129" t="n"/>
      <c r="L50" s="129" t="n"/>
    </row>
    <row r="51">
      <c r="B51" s="129" t="n"/>
      <c r="C51" s="129" t="n"/>
      <c r="D51" s="130" t="n"/>
      <c r="E51" s="129" t="n"/>
      <c r="F51" s="128" t="str">
        <f>IF(OR(B51="",D51=""),"",Hoje-D51)</f>
        <v/>
      </c>
      <c r="G51" s="138" t="str">
        <f>IF(B51="","",IF(E51="Aceito","✔ Aceito",IF(OR(E51="Recusado",E51="Desisti"),"– Encerrado",IF(AND(I51&lt;&gt;"",I51&lt;Hoje),"✖ Ação atrasada",IF(AND(E51="Aplicado",N(F51)&gt;=FollowUpDias),"▲ Fazer follow-up",IF(AND(I51&lt;&gt;"",I51-Hoje&lt;=3),"▲ Ação em breve","○ Em andamento"))))))</f>
        <v/>
      </c>
      <c r="H51" s="135" t="n"/>
      <c r="I51" s="130" t="n"/>
      <c r="J51" s="201" t="n"/>
      <c r="K51" s="129" t="n"/>
      <c r="L51" s="129" t="n"/>
    </row>
    <row r="52">
      <c r="B52" s="129" t="n"/>
      <c r="C52" s="129" t="n"/>
      <c r="D52" s="130" t="n"/>
      <c r="E52" s="129" t="n"/>
      <c r="F52" s="128" t="str">
        <f>IF(OR(B52="",D52=""),"",Hoje-D52)</f>
        <v/>
      </c>
      <c r="G52" s="138" t="str">
        <f>IF(B52="","",IF(E52="Aceito","✔ Aceito",IF(OR(E52="Recusado",E52="Desisti"),"– Encerrado",IF(AND(I52&lt;&gt;"",I52&lt;Hoje),"✖ Ação atrasada",IF(AND(E52="Aplicado",N(F52)&gt;=FollowUpDias),"▲ Fazer follow-up",IF(AND(I52&lt;&gt;"",I52-Hoje&lt;=3),"▲ Ação em breve","○ Em andamento"))))))</f>
        <v/>
      </c>
      <c r="H52" s="135" t="n"/>
      <c r="I52" s="130" t="n"/>
      <c r="J52" s="201" t="n"/>
      <c r="K52" s="129" t="n"/>
      <c r="L52" s="129" t="n"/>
    </row>
    <row r="53">
      <c r="B53" s="129" t="n"/>
      <c r="C53" s="129" t="n"/>
      <c r="D53" s="130" t="n"/>
      <c r="E53" s="129" t="n"/>
      <c r="F53" s="128" t="str">
        <f>IF(OR(B53="",D53=""),"",Hoje-D53)</f>
        <v/>
      </c>
      <c r="G53" s="138" t="str">
        <f>IF(B53="","",IF(E53="Aceito","✔ Aceito",IF(OR(E53="Recusado",E53="Desisti"),"– Encerrado",IF(AND(I53&lt;&gt;"",I53&lt;Hoje),"✖ Ação atrasada",IF(AND(E53="Aplicado",N(F53)&gt;=FollowUpDias),"▲ Fazer follow-up",IF(AND(I53&lt;&gt;"",I53-Hoje&lt;=3),"▲ Ação em breve","○ Em andamento"))))))</f>
        <v/>
      </c>
      <c r="H53" s="135" t="n"/>
      <c r="I53" s="130" t="n"/>
      <c r="J53" s="201" t="n"/>
      <c r="K53" s="129" t="n"/>
      <c r="L53" s="129" t="n"/>
    </row>
    <row r="54">
      <c r="B54" s="129" t="n"/>
      <c r="C54" s="129" t="n"/>
      <c r="D54" s="130" t="n"/>
      <c r="E54" s="129" t="n"/>
      <c r="F54" s="128" t="str">
        <f>IF(OR(B54="",D54=""),"",Hoje-D54)</f>
        <v/>
      </c>
      <c r="G54" s="138" t="str">
        <f>IF(B54="","",IF(E54="Aceito","✔ Aceito",IF(OR(E54="Recusado",E54="Desisti"),"– Encerrado",IF(AND(I54&lt;&gt;"",I54&lt;Hoje),"✖ Ação atrasada",IF(AND(E54="Aplicado",N(F54)&gt;=FollowUpDias),"▲ Fazer follow-up",IF(AND(I54&lt;&gt;"",I54-Hoje&lt;=3),"▲ Ação em breve","○ Em andamento"))))))</f>
        <v/>
      </c>
      <c r="H54" s="135" t="n"/>
      <c r="I54" s="130" t="n"/>
      <c r="J54" s="201" t="n"/>
      <c r="K54" s="129" t="n"/>
      <c r="L54" s="129" t="n"/>
    </row>
    <row r="55">
      <c r="B55" s="129" t="n"/>
      <c r="C55" s="129" t="n"/>
      <c r="D55" s="130" t="n"/>
      <c r="E55" s="129" t="n"/>
      <c r="F55" s="128" t="str">
        <f>IF(OR(B55="",D55=""),"",Hoje-D55)</f>
        <v/>
      </c>
      <c r="G55" s="138" t="str">
        <f>IF(B55="","",IF(E55="Aceito","✔ Aceito",IF(OR(E55="Recusado",E55="Desisti"),"– Encerrado",IF(AND(I55&lt;&gt;"",I55&lt;Hoje),"✖ Ação atrasada",IF(AND(E55="Aplicado",N(F55)&gt;=FollowUpDias),"▲ Fazer follow-up",IF(AND(I55&lt;&gt;"",I55-Hoje&lt;=3),"▲ Ação em breve","○ Em andamento"))))))</f>
        <v/>
      </c>
      <c r="H55" s="135" t="n"/>
      <c r="I55" s="130" t="n"/>
      <c r="J55" s="201" t="n"/>
      <c r="K55" s="129" t="n"/>
      <c r="L55" s="129" t="n"/>
    </row>
    <row r="56">
      <c r="B56" s="129" t="n"/>
      <c r="C56" s="129" t="n"/>
      <c r="D56" s="130" t="n"/>
      <c r="E56" s="129" t="n"/>
      <c r="F56" s="128" t="str">
        <f>IF(OR(B56="",D56=""),"",Hoje-D56)</f>
        <v/>
      </c>
      <c r="G56" s="138" t="str">
        <f>IF(B56="","",IF(E56="Aceito","✔ Aceito",IF(OR(E56="Recusado",E56="Desisti"),"– Encerrado",IF(AND(I56&lt;&gt;"",I56&lt;Hoje),"✖ Ação atrasada",IF(AND(E56="Aplicado",N(F56)&gt;=FollowUpDias),"▲ Fazer follow-up",IF(AND(I56&lt;&gt;"",I56-Hoje&lt;=3),"▲ Ação em breve","○ Em andamento"))))))</f>
        <v/>
      </c>
      <c r="H56" s="135" t="n"/>
      <c r="I56" s="130" t="n"/>
      <c r="J56" s="201" t="n"/>
      <c r="K56" s="129" t="n"/>
      <c r="L56" s="129" t="n"/>
    </row>
    <row r="57">
      <c r="B57" s="129" t="n"/>
      <c r="C57" s="129" t="n"/>
      <c r="D57" s="130" t="n"/>
      <c r="E57" s="129" t="n"/>
      <c r="F57" s="128" t="str">
        <f>IF(OR(B57="",D57=""),"",Hoje-D57)</f>
        <v/>
      </c>
      <c r="G57" s="138" t="str">
        <f>IF(B57="","",IF(E57="Aceito","✔ Aceito",IF(OR(E57="Recusado",E57="Desisti"),"– Encerrado",IF(AND(I57&lt;&gt;"",I57&lt;Hoje),"✖ Ação atrasada",IF(AND(E57="Aplicado",N(F57)&gt;=FollowUpDias),"▲ Fazer follow-up",IF(AND(I57&lt;&gt;"",I57-Hoje&lt;=3),"▲ Ação em breve","○ Em andamento"))))))</f>
        <v/>
      </c>
      <c r="H57" s="135" t="n"/>
      <c r="I57" s="130" t="n"/>
      <c r="J57" s="201" t="n"/>
      <c r="K57" s="129" t="n"/>
      <c r="L57" s="129" t="n"/>
    </row>
    <row r="58">
      <c r="B58" s="129" t="n"/>
      <c r="C58" s="129" t="n"/>
      <c r="D58" s="130" t="n"/>
      <c r="E58" s="129" t="n"/>
      <c r="F58" s="128" t="str">
        <f>IF(OR(B58="",D58=""),"",Hoje-D58)</f>
        <v/>
      </c>
      <c r="G58" s="138" t="str">
        <f>IF(B58="","",IF(E58="Aceito","✔ Aceito",IF(OR(E58="Recusado",E58="Desisti"),"– Encerrado",IF(AND(I58&lt;&gt;"",I58&lt;Hoje),"✖ Ação atrasada",IF(AND(E58="Aplicado",N(F58)&gt;=FollowUpDias),"▲ Fazer follow-up",IF(AND(I58&lt;&gt;"",I58-Hoje&lt;=3),"▲ Ação em breve","○ Em andamento"))))))</f>
        <v/>
      </c>
      <c r="H58" s="135" t="n"/>
      <c r="I58" s="130" t="n"/>
      <c r="J58" s="201" t="n"/>
      <c r="K58" s="129" t="n"/>
      <c r="L58" s="129" t="n"/>
    </row>
    <row r="59">
      <c r="B59" s="129" t="n"/>
      <c r="C59" s="129" t="n"/>
      <c r="D59" s="130" t="n"/>
      <c r="E59" s="129" t="n"/>
      <c r="F59" s="128" t="str">
        <f>IF(OR(B59="",D59=""),"",Hoje-D59)</f>
        <v/>
      </c>
      <c r="G59" s="138" t="str">
        <f>IF(B59="","",IF(E59="Aceito","✔ Aceito",IF(OR(E59="Recusado",E59="Desisti"),"– Encerrado",IF(AND(I59&lt;&gt;"",I59&lt;Hoje),"✖ Ação atrasada",IF(AND(E59="Aplicado",N(F59)&gt;=FollowUpDias),"▲ Fazer follow-up",IF(AND(I59&lt;&gt;"",I59-Hoje&lt;=3),"▲ Ação em breve","○ Em andamento"))))))</f>
        <v/>
      </c>
      <c r="H59" s="135" t="n"/>
      <c r="I59" s="130" t="n"/>
      <c r="J59" s="201" t="n"/>
      <c r="K59" s="129" t="n"/>
      <c r="L59" s="129" t="n"/>
    </row>
    <row r="60">
      <c r="B60" s="129" t="n"/>
      <c r="C60" s="129" t="n"/>
      <c r="D60" s="130" t="n"/>
      <c r="E60" s="129" t="n"/>
      <c r="F60" s="128" t="str">
        <f>IF(OR(B60="",D60=""),"",Hoje-D60)</f>
        <v/>
      </c>
      <c r="G60" s="138" t="str">
        <f>IF(B60="","",IF(E60="Aceito","✔ Aceito",IF(OR(E60="Recusado",E60="Desisti"),"– Encerrado",IF(AND(I60&lt;&gt;"",I60&lt;Hoje),"✖ Ação atrasada",IF(AND(E60="Aplicado",N(F60)&gt;=FollowUpDias),"▲ Fazer follow-up",IF(AND(I60&lt;&gt;"",I60-Hoje&lt;=3),"▲ Ação em breve","○ Em andamento"))))))</f>
        <v/>
      </c>
      <c r="H60" s="135" t="n"/>
      <c r="I60" s="130" t="n"/>
      <c r="J60" s="201" t="n"/>
      <c r="K60" s="129" t="n"/>
      <c r="L60" s="129" t="n"/>
    </row>
    <row r="61">
      <c r="B61" s="129" t="n"/>
      <c r="C61" s="129" t="n"/>
      <c r="D61" s="130" t="n"/>
      <c r="E61" s="129" t="n"/>
      <c r="F61" s="128" t="str">
        <f>IF(OR(B61="",D61=""),"",Hoje-D61)</f>
        <v/>
      </c>
      <c r="G61" s="138" t="str">
        <f>IF(B61="","",IF(E61="Aceito","✔ Aceito",IF(OR(E61="Recusado",E61="Desisti"),"– Encerrado",IF(AND(I61&lt;&gt;"",I61&lt;Hoje),"✖ Ação atrasada",IF(AND(E61="Aplicado",N(F61)&gt;=FollowUpDias),"▲ Fazer follow-up",IF(AND(I61&lt;&gt;"",I61-Hoje&lt;=3),"▲ Ação em breve","○ Em andamento"))))))</f>
        <v/>
      </c>
      <c r="H61" s="135" t="n"/>
      <c r="I61" s="130" t="n"/>
      <c r="J61" s="201" t="n"/>
      <c r="K61" s="129" t="n"/>
      <c r="L61" s="129" t="n"/>
    </row>
    <row r="62">
      <c r="B62" s="129" t="n"/>
      <c r="C62" s="129" t="n"/>
      <c r="D62" s="130" t="n"/>
      <c r="E62" s="129" t="n"/>
      <c r="F62" s="128" t="str">
        <f>IF(OR(B62="",D62=""),"",Hoje-D62)</f>
        <v/>
      </c>
      <c r="G62" s="138" t="str">
        <f>IF(B62="","",IF(E62="Aceito","✔ Aceito",IF(OR(E62="Recusado",E62="Desisti"),"– Encerrado",IF(AND(I62&lt;&gt;"",I62&lt;Hoje),"✖ Ação atrasada",IF(AND(E62="Aplicado",N(F62)&gt;=FollowUpDias),"▲ Fazer follow-up",IF(AND(I62&lt;&gt;"",I62-Hoje&lt;=3),"▲ Ação em breve","○ Em andamento"))))))</f>
        <v/>
      </c>
      <c r="H62" s="135" t="n"/>
      <c r="I62" s="130" t="n"/>
      <c r="J62" s="201" t="n"/>
      <c r="K62" s="129" t="n"/>
      <c r="L62" s="129" t="n"/>
    </row>
    <row r="64" ht="22" customHeight="1">
      <c r="B64" s="190" t="inlineStr">
        <is>
          <t>CONQUISTAS &amp; MARCOS · registre logo que acontecem</t>
        </is>
      </c>
      <c r="C64" s="191" t="n"/>
      <c r="D64" s="191" t="n"/>
      <c r="E64" s="191" t="n"/>
      <c r="F64" s="191" t="n"/>
      <c r="G64" s="191" t="n"/>
      <c r="H64" s="191" t="n"/>
      <c r="I64" s="191" t="n"/>
      <c r="J64" s="191" t="n"/>
      <c r="K64" s="191" t="n"/>
      <c r="L64" s="191" t="n"/>
    </row>
    <row r="65" ht="30" customHeight="1">
      <c r="B65" s="103" t="inlineStr">
        <is>
          <t>Conquista / marco</t>
        </is>
      </c>
      <c r="C65" s="103" t="inlineStr">
        <is>
          <t>Tipo</t>
        </is>
      </c>
      <c r="D65" s="103" t="inlineStr">
        <is>
          <t>Data</t>
        </is>
      </c>
      <c r="E65" s="103" t="inlineStr">
        <is>
          <t>Impacto (1–5)</t>
        </is>
      </c>
      <c r="F65" s="103" t="inlineStr">
        <is>
          <t>Resultado mensurável</t>
        </is>
      </c>
      <c r="G65" s="112" t="n"/>
      <c r="H65" s="103" t="inlineStr">
        <is>
          <t>Evidência / contexto / quem viu</t>
        </is>
      </c>
      <c r="K65" s="112" t="n"/>
      <c r="L65" s="103" t="inlineStr">
        <is>
          <t>Notas</t>
        </is>
      </c>
    </row>
    <row r="66">
      <c r="B66" s="135" t="n"/>
      <c r="C66" s="135" t="n"/>
      <c r="D66" s="130" t="n"/>
      <c r="E66" s="106" t="n"/>
      <c r="F66" s="135" t="n"/>
      <c r="G66" s="115" t="n"/>
      <c r="H66" s="135" t="n"/>
      <c r="I66" s="114" t="n"/>
      <c r="J66" s="114" t="n"/>
      <c r="K66" s="115" t="n"/>
      <c r="L66" s="135" t="n"/>
    </row>
    <row r="67">
      <c r="B67" s="135" t="n"/>
      <c r="C67" s="135" t="n"/>
      <c r="D67" s="130" t="n"/>
      <c r="E67" s="106" t="n"/>
      <c r="F67" s="135" t="n"/>
      <c r="G67" s="115" t="n"/>
      <c r="H67" s="135" t="n"/>
      <c r="I67" s="114" t="n"/>
      <c r="J67" s="114" t="n"/>
      <c r="K67" s="115" t="n"/>
      <c r="L67" s="135" t="n"/>
    </row>
    <row r="68">
      <c r="B68" s="135" t="n"/>
      <c r="C68" s="135" t="n"/>
      <c r="D68" s="130" t="n"/>
      <c r="E68" s="106" t="n"/>
      <c r="F68" s="135" t="n"/>
      <c r="G68" s="115" t="n"/>
      <c r="H68" s="135" t="n"/>
      <c r="I68" s="114" t="n"/>
      <c r="J68" s="114" t="n"/>
      <c r="K68" s="115" t="n"/>
      <c r="L68" s="135" t="n"/>
    </row>
    <row r="69">
      <c r="B69" s="135" t="n"/>
      <c r="C69" s="135" t="n"/>
      <c r="D69" s="130" t="n"/>
      <c r="E69" s="106" t="n"/>
      <c r="F69" s="135" t="n"/>
      <c r="G69" s="115" t="n"/>
      <c r="H69" s="135" t="n"/>
      <c r="I69" s="114" t="n"/>
      <c r="J69" s="114" t="n"/>
      <c r="K69" s="115" t="n"/>
      <c r="L69" s="135" t="n"/>
    </row>
    <row r="70">
      <c r="B70" s="135" t="n"/>
      <c r="C70" s="135" t="n"/>
      <c r="D70" s="130" t="n"/>
      <c r="E70" s="106" t="n"/>
      <c r="F70" s="135" t="n"/>
      <c r="G70" s="115" t="n"/>
      <c r="H70" s="135" t="n"/>
      <c r="I70" s="114" t="n"/>
      <c r="J70" s="114" t="n"/>
      <c r="K70" s="115" t="n"/>
      <c r="L70" s="135" t="n"/>
    </row>
    <row r="71">
      <c r="B71" s="135" t="n"/>
      <c r="C71" s="135" t="n"/>
      <c r="D71" s="130" t="n"/>
      <c r="E71" s="106" t="n"/>
      <c r="F71" s="135" t="n"/>
      <c r="G71" s="115" t="n"/>
      <c r="H71" s="135" t="n"/>
      <c r="I71" s="114" t="n"/>
      <c r="J71" s="114" t="n"/>
      <c r="K71" s="115" t="n"/>
      <c r="L71" s="135" t="n"/>
    </row>
    <row r="72">
      <c r="B72" s="135" t="n"/>
      <c r="C72" s="135" t="n"/>
      <c r="D72" s="130" t="n"/>
      <c r="E72" s="106" t="n"/>
      <c r="F72" s="135" t="n"/>
      <c r="G72" s="115" t="n"/>
      <c r="H72" s="135" t="n"/>
      <c r="I72" s="114" t="n"/>
      <c r="J72" s="114" t="n"/>
      <c r="K72" s="115" t="n"/>
      <c r="L72" s="135" t="n"/>
    </row>
    <row r="73">
      <c r="B73" s="135" t="n"/>
      <c r="C73" s="135" t="n"/>
      <c r="D73" s="130" t="n"/>
      <c r="E73" s="106" t="n"/>
      <c r="F73" s="135" t="n"/>
      <c r="G73" s="115" t="n"/>
      <c r="H73" s="135" t="n"/>
      <c r="I73" s="114" t="n"/>
      <c r="J73" s="114" t="n"/>
      <c r="K73" s="115" t="n"/>
      <c r="L73" s="135" t="n"/>
    </row>
    <row r="74">
      <c r="B74" s="135" t="n"/>
      <c r="C74" s="135" t="n"/>
      <c r="D74" s="130" t="n"/>
      <c r="E74" s="106" t="n"/>
      <c r="F74" s="135" t="n"/>
      <c r="G74" s="115" t="n"/>
      <c r="H74" s="135" t="n"/>
      <c r="I74" s="114" t="n"/>
      <c r="J74" s="114" t="n"/>
      <c r="K74" s="115" t="n"/>
      <c r="L74" s="135" t="n"/>
    </row>
    <row r="75">
      <c r="B75" s="135" t="n"/>
      <c r="C75" s="135" t="n"/>
      <c r="D75" s="130" t="n"/>
      <c r="E75" s="106" t="n"/>
      <c r="F75" s="135" t="n"/>
      <c r="G75" s="115" t="n"/>
      <c r="H75" s="135" t="n"/>
      <c r="I75" s="114" t="n"/>
      <c r="J75" s="114" t="n"/>
      <c r="K75" s="115" t="n"/>
      <c r="L75" s="135" t="n"/>
    </row>
    <row r="76">
      <c r="B76" s="135" t="n"/>
      <c r="C76" s="135" t="n"/>
      <c r="D76" s="130" t="n"/>
      <c r="E76" s="106" t="n"/>
      <c r="F76" s="135" t="n"/>
      <c r="G76" s="115" t="n"/>
      <c r="H76" s="135" t="n"/>
      <c r="I76" s="114" t="n"/>
      <c r="J76" s="114" t="n"/>
      <c r="K76" s="115" t="n"/>
      <c r="L76" s="135" t="n"/>
    </row>
    <row r="77">
      <c r="B77" s="135" t="n"/>
      <c r="C77" s="135" t="n"/>
      <c r="D77" s="130" t="n"/>
      <c r="E77" s="106" t="n"/>
      <c r="F77" s="135" t="n"/>
      <c r="G77" s="115" t="n"/>
      <c r="H77" s="135" t="n"/>
      <c r="I77" s="114" t="n"/>
      <c r="J77" s="114" t="n"/>
      <c r="K77" s="115" t="n"/>
      <c r="L77" s="135" t="n"/>
    </row>
    <row r="78">
      <c r="B78" s="135" t="n"/>
      <c r="C78" s="135" t="n"/>
      <c r="D78" s="130" t="n"/>
      <c r="E78" s="106" t="n"/>
      <c r="F78" s="135" t="n"/>
      <c r="G78" s="115" t="n"/>
      <c r="H78" s="135" t="n"/>
      <c r="I78" s="114" t="n"/>
      <c r="J78" s="114" t="n"/>
      <c r="K78" s="115" t="n"/>
      <c r="L78" s="135" t="n"/>
    </row>
    <row r="79">
      <c r="B79" s="135" t="n"/>
      <c r="C79" s="135" t="n"/>
      <c r="D79" s="130" t="n"/>
      <c r="E79" s="106" t="n"/>
      <c r="F79" s="135" t="n"/>
      <c r="G79" s="115" t="n"/>
      <c r="H79" s="135" t="n"/>
      <c r="I79" s="114" t="n"/>
      <c r="J79" s="114" t="n"/>
      <c r="K79" s="115" t="n"/>
      <c r="L79" s="135" t="n"/>
    </row>
    <row r="80">
      <c r="B80" s="135" t="n"/>
      <c r="C80" s="135" t="n"/>
      <c r="D80" s="130" t="n"/>
      <c r="E80" s="106" t="n"/>
      <c r="F80" s="135" t="n"/>
      <c r="G80" s="115" t="n"/>
      <c r="H80" s="135" t="n"/>
      <c r="I80" s="114" t="n"/>
      <c r="J80" s="114" t="n"/>
      <c r="K80" s="115" t="n"/>
      <c r="L80" s="135" t="n"/>
    </row>
    <row r="81">
      <c r="B81" s="135" t="n"/>
      <c r="C81" s="135" t="n"/>
      <c r="D81" s="130" t="n"/>
      <c r="E81" s="106" t="n"/>
      <c r="F81" s="135" t="n"/>
      <c r="G81" s="115" t="n"/>
      <c r="H81" s="135" t="n"/>
      <c r="I81" s="114" t="n"/>
      <c r="J81" s="114" t="n"/>
      <c r="K81" s="115" t="n"/>
      <c r="L81" s="135" t="n"/>
    </row>
    <row r="82">
      <c r="B82" s="135" t="n"/>
      <c r="C82" s="135" t="n"/>
      <c r="D82" s="130" t="n"/>
      <c r="E82" s="106" t="n"/>
      <c r="F82" s="135" t="n"/>
      <c r="G82" s="115" t="n"/>
      <c r="H82" s="135" t="n"/>
      <c r="I82" s="114" t="n"/>
      <c r="J82" s="114" t="n"/>
      <c r="K82" s="115" t="n"/>
      <c r="L82" s="135" t="n"/>
    </row>
    <row r="83">
      <c r="B83" s="135" t="n"/>
      <c r="C83" s="135" t="n"/>
      <c r="D83" s="130" t="n"/>
      <c r="E83" s="106" t="n"/>
      <c r="F83" s="135" t="n"/>
      <c r="G83" s="115" t="n"/>
      <c r="H83" s="135" t="n"/>
      <c r="I83" s="114" t="n"/>
      <c r="J83" s="114" t="n"/>
      <c r="K83" s="115" t="n"/>
      <c r="L83" s="135" t="n"/>
    </row>
    <row r="84">
      <c r="B84" s="135" t="n"/>
      <c r="C84" s="135" t="n"/>
      <c r="D84" s="130" t="n"/>
      <c r="E84" s="106" t="n"/>
      <c r="F84" s="135" t="n"/>
      <c r="G84" s="115" t="n"/>
      <c r="H84" s="135" t="n"/>
      <c r="I84" s="114" t="n"/>
      <c r="J84" s="114" t="n"/>
      <c r="K84" s="115" t="n"/>
      <c r="L84" s="135" t="n"/>
    </row>
    <row r="85">
      <c r="B85" s="135" t="n"/>
      <c r="C85" s="135" t="n"/>
      <c r="D85" s="130" t="n"/>
      <c r="E85" s="106" t="n"/>
      <c r="F85" s="135" t="n"/>
      <c r="G85" s="115" t="n"/>
      <c r="H85" s="135" t="n"/>
      <c r="I85" s="114" t="n"/>
      <c r="J85" s="114" t="n"/>
      <c r="K85" s="115" t="n"/>
      <c r="L85" s="135" t="n"/>
    </row>
    <row r="86">
      <c r="B86" s="135" t="n"/>
      <c r="C86" s="135" t="n"/>
      <c r="D86" s="130" t="n"/>
      <c r="E86" s="106" t="n"/>
      <c r="F86" s="135" t="n"/>
      <c r="G86" s="115" t="n"/>
      <c r="H86" s="135" t="n"/>
      <c r="I86" s="114" t="n"/>
      <c r="J86" s="114" t="n"/>
      <c r="K86" s="115" t="n"/>
      <c r="L86" s="135" t="n"/>
    </row>
    <row r="87">
      <c r="B87" s="135" t="n"/>
      <c r="C87" s="135" t="n"/>
      <c r="D87" s="130" t="n"/>
      <c r="E87" s="106" t="n"/>
      <c r="F87" s="135" t="n"/>
      <c r="G87" s="115" t="n"/>
      <c r="H87" s="135" t="n"/>
      <c r="I87" s="114" t="n"/>
      <c r="J87" s="114" t="n"/>
      <c r="K87" s="115" t="n"/>
      <c r="L87" s="135" t="n"/>
    </row>
    <row r="88">
      <c r="B88" s="135" t="n"/>
      <c r="C88" s="135" t="n"/>
      <c r="D88" s="130" t="n"/>
      <c r="E88" s="106" t="n"/>
      <c r="F88" s="135" t="n"/>
      <c r="G88" s="115" t="n"/>
      <c r="H88" s="135" t="n"/>
      <c r="I88" s="114" t="n"/>
      <c r="J88" s="114" t="n"/>
      <c r="K88" s="115" t="n"/>
      <c r="L88" s="135" t="n"/>
    </row>
    <row r="89">
      <c r="B89" s="135" t="n"/>
      <c r="C89" s="135" t="n"/>
      <c r="D89" s="130" t="n"/>
      <c r="E89" s="106" t="n"/>
      <c r="F89" s="135" t="n"/>
      <c r="G89" s="115" t="n"/>
      <c r="H89" s="135" t="n"/>
      <c r="I89" s="114" t="n"/>
      <c r="J89" s="114" t="n"/>
      <c r="K89" s="115" t="n"/>
      <c r="L89" s="135" t="n"/>
    </row>
    <row r="90">
      <c r="B90" s="135" t="n"/>
      <c r="C90" s="135" t="n"/>
      <c r="D90" s="130" t="n"/>
      <c r="E90" s="106" t="n"/>
      <c r="F90" s="135" t="n"/>
      <c r="G90" s="115" t="n"/>
      <c r="H90" s="135" t="n"/>
      <c r="I90" s="114" t="n"/>
      <c r="J90" s="114" t="n"/>
      <c r="K90" s="115" t="n"/>
      <c r="L90" s="135" t="n"/>
    </row>
    <row r="91">
      <c r="B91" s="135" t="n"/>
      <c r="C91" s="135" t="n"/>
      <c r="D91" s="130" t="n"/>
      <c r="E91" s="106" t="n"/>
      <c r="F91" s="135" t="n"/>
      <c r="G91" s="115" t="n"/>
      <c r="H91" s="135" t="n"/>
      <c r="I91" s="114" t="n"/>
      <c r="J91" s="114" t="n"/>
      <c r="K91" s="115" t="n"/>
      <c r="L91" s="135" t="n"/>
    </row>
    <row r="92">
      <c r="B92" s="135" t="n"/>
      <c r="C92" s="135" t="n"/>
      <c r="D92" s="130" t="n"/>
      <c r="E92" s="106" t="n"/>
      <c r="F92" s="135" t="n"/>
      <c r="G92" s="115" t="n"/>
      <c r="H92" s="135" t="n"/>
      <c r="I92" s="114" t="n"/>
      <c r="J92" s="114" t="n"/>
      <c r="K92" s="115" t="n"/>
      <c r="L92" s="135" t="n"/>
    </row>
    <row r="93">
      <c r="B93" s="135" t="n"/>
      <c r="C93" s="135" t="n"/>
      <c r="D93" s="130" t="n"/>
      <c r="E93" s="106" t="n"/>
      <c r="F93" s="135" t="n"/>
      <c r="G93" s="115" t="n"/>
      <c r="H93" s="135" t="n"/>
      <c r="I93" s="114" t="n"/>
      <c r="J93" s="114" t="n"/>
      <c r="K93" s="115" t="n"/>
      <c r="L93" s="135" t="n"/>
    </row>
    <row r="94">
      <c r="B94" s="135" t="n"/>
      <c r="C94" s="135" t="n"/>
      <c r="D94" s="130" t="n"/>
      <c r="E94" s="106" t="n"/>
      <c r="F94" s="135" t="n"/>
      <c r="G94" s="115" t="n"/>
      <c r="H94" s="135" t="n"/>
      <c r="I94" s="114" t="n"/>
      <c r="J94" s="114" t="n"/>
      <c r="K94" s="115" t="n"/>
      <c r="L94" s="135" t="n"/>
    </row>
    <row r="95">
      <c r="B95" s="135" t="n"/>
      <c r="C95" s="135" t="n"/>
      <c r="D95" s="130" t="n"/>
      <c r="E95" s="106" t="n"/>
      <c r="F95" s="135" t="n"/>
      <c r="G95" s="115" t="n"/>
      <c r="H95" s="135" t="n"/>
      <c r="I95" s="114" t="n"/>
      <c r="J95" s="114" t="n"/>
      <c r="K95" s="115" t="n"/>
      <c r="L95" s="135" t="n"/>
    </row>
    <row r="96">
      <c r="B96" s="135" t="n"/>
      <c r="C96" s="135" t="n"/>
      <c r="D96" s="130" t="n"/>
      <c r="E96" s="106" t="n"/>
      <c r="F96" s="135" t="n"/>
      <c r="G96" s="115" t="n"/>
      <c r="H96" s="135" t="n"/>
      <c r="I96" s="114" t="n"/>
      <c r="J96" s="114" t="n"/>
      <c r="K96" s="115" t="n"/>
      <c r="L96" s="135" t="n"/>
    </row>
    <row r="97">
      <c r="B97" s="135" t="n"/>
      <c r="C97" s="135" t="n"/>
      <c r="D97" s="130" t="n"/>
      <c r="E97" s="106" t="n"/>
      <c r="F97" s="135" t="n"/>
      <c r="G97" s="115" t="n"/>
      <c r="H97" s="135" t="n"/>
      <c r="I97" s="114" t="n"/>
      <c r="J97" s="114" t="n"/>
      <c r="K97" s="115" t="n"/>
      <c r="L97" s="135" t="n"/>
    </row>
    <row r="98">
      <c r="B98" s="135" t="n"/>
      <c r="C98" s="135" t="n"/>
      <c r="D98" s="130" t="n"/>
      <c r="E98" s="106" t="n"/>
      <c r="F98" s="135" t="n"/>
      <c r="G98" s="115" t="n"/>
      <c r="H98" s="135" t="n"/>
      <c r="I98" s="114" t="n"/>
      <c r="J98" s="114" t="n"/>
      <c r="K98" s="115" t="n"/>
      <c r="L98" s="135" t="n"/>
    </row>
    <row r="99">
      <c r="B99" s="135" t="n"/>
      <c r="C99" s="135" t="n"/>
      <c r="D99" s="130" t="n"/>
      <c r="E99" s="106" t="n"/>
      <c r="F99" s="135" t="n"/>
      <c r="G99" s="115" t="n"/>
      <c r="H99" s="135" t="n"/>
      <c r="I99" s="114" t="n"/>
      <c r="J99" s="114" t="n"/>
      <c r="K99" s="115" t="n"/>
      <c r="L99" s="135" t="n"/>
    </row>
    <row r="100">
      <c r="B100" s="135" t="n"/>
      <c r="C100" s="135" t="n"/>
      <c r="D100" s="130" t="n"/>
      <c r="E100" s="106" t="n"/>
      <c r="F100" s="135" t="n"/>
      <c r="G100" s="115" t="n"/>
      <c r="H100" s="135" t="n"/>
      <c r="I100" s="114" t="n"/>
      <c r="J100" s="114" t="n"/>
      <c r="K100" s="115" t="n"/>
      <c r="L100" s="135" t="n"/>
    </row>
    <row r="101">
      <c r="B101" s="135" t="n"/>
      <c r="C101" s="135" t="n"/>
      <c r="D101" s="130" t="n"/>
      <c r="E101" s="106" t="n"/>
      <c r="F101" s="135" t="n"/>
      <c r="G101" s="115" t="n"/>
      <c r="H101" s="135" t="n"/>
      <c r="I101" s="114" t="n"/>
      <c r="J101" s="114" t="n"/>
      <c r="K101" s="115" t="n"/>
      <c r="L101" s="135" t="n"/>
    </row>
    <row r="102">
      <c r="B102" s="135" t="n"/>
      <c r="C102" s="135" t="n"/>
      <c r="D102" s="130" t="n"/>
      <c r="E102" s="106" t="n"/>
      <c r="F102" s="135" t="n"/>
      <c r="G102" s="115" t="n"/>
      <c r="H102" s="135" t="n"/>
      <c r="I102" s="114" t="n"/>
      <c r="J102" s="114" t="n"/>
      <c r="K102" s="115" t="n"/>
      <c r="L102" s="135" t="n"/>
    </row>
    <row r="103">
      <c r="B103" s="135" t="n"/>
      <c r="C103" s="135" t="n"/>
      <c r="D103" s="130" t="n"/>
      <c r="E103" s="106" t="n"/>
      <c r="F103" s="135" t="n"/>
      <c r="G103" s="115" t="n"/>
      <c r="H103" s="135" t="n"/>
      <c r="I103" s="114" t="n"/>
      <c r="J103" s="114" t="n"/>
      <c r="K103" s="115" t="n"/>
      <c r="L103" s="135" t="n"/>
    </row>
    <row r="104">
      <c r="B104" s="135" t="n"/>
      <c r="C104" s="135" t="n"/>
      <c r="D104" s="130" t="n"/>
      <c r="E104" s="106" t="n"/>
      <c r="F104" s="135" t="n"/>
      <c r="G104" s="115" t="n"/>
      <c r="H104" s="135" t="n"/>
      <c r="I104" s="114" t="n"/>
      <c r="J104" s="114" t="n"/>
      <c r="K104" s="115" t="n"/>
      <c r="L104" s="135" t="n"/>
    </row>
    <row r="105">
      <c r="B105" s="135" t="n"/>
      <c r="C105" s="135" t="n"/>
      <c r="D105" s="130" t="n"/>
      <c r="E105" s="106" t="n"/>
      <c r="F105" s="135" t="n"/>
      <c r="G105" s="115" t="n"/>
      <c r="H105" s="135" t="n"/>
      <c r="I105" s="114" t="n"/>
      <c r="J105" s="114" t="n"/>
      <c r="K105" s="115" t="n"/>
      <c r="L105" s="135" t="n"/>
    </row>
    <row r="106">
      <c r="B106" s="135" t="n"/>
      <c r="C106" s="135" t="n"/>
      <c r="D106" s="130" t="n"/>
      <c r="E106" s="106" t="n"/>
      <c r="F106" s="135" t="n"/>
      <c r="G106" s="115" t="n"/>
      <c r="H106" s="135" t="n"/>
      <c r="I106" s="114" t="n"/>
      <c r="J106" s="114" t="n"/>
      <c r="K106" s="115" t="n"/>
      <c r="L106" s="135" t="n"/>
    </row>
    <row r="107">
      <c r="B107" s="135" t="n"/>
      <c r="C107" s="135" t="n"/>
      <c r="D107" s="130" t="n"/>
      <c r="E107" s="106" t="n"/>
      <c r="F107" s="135" t="n"/>
      <c r="G107" s="115" t="n"/>
      <c r="H107" s="135" t="n"/>
      <c r="I107" s="114" t="n"/>
      <c r="J107" s="114" t="n"/>
      <c r="K107" s="115" t="n"/>
      <c r="L107" s="135" t="n"/>
    </row>
    <row r="108">
      <c r="B108" s="135" t="n"/>
      <c r="C108" s="135" t="n"/>
      <c r="D108" s="130" t="n"/>
      <c r="E108" s="106" t="n"/>
      <c r="F108" s="135" t="n"/>
      <c r="G108" s="115" t="n"/>
      <c r="H108" s="135" t="n"/>
      <c r="I108" s="114" t="n"/>
      <c r="J108" s="114" t="n"/>
      <c r="K108" s="115" t="n"/>
      <c r="L108" s="135" t="n"/>
    </row>
    <row r="109">
      <c r="B109" s="135" t="n"/>
      <c r="C109" s="135" t="n"/>
      <c r="D109" s="130" t="n"/>
      <c r="E109" s="106" t="n"/>
      <c r="F109" s="135" t="n"/>
      <c r="G109" s="115" t="n"/>
      <c r="H109" s="135" t="n"/>
      <c r="I109" s="114" t="n"/>
      <c r="J109" s="114" t="n"/>
      <c r="K109" s="115" t="n"/>
      <c r="L109" s="135" t="n"/>
    </row>
    <row r="110">
      <c r="B110" s="135" t="n"/>
      <c r="C110" s="135" t="n"/>
      <c r="D110" s="130" t="n"/>
      <c r="E110" s="106" t="n"/>
      <c r="F110" s="135" t="n"/>
      <c r="G110" s="115" t="n"/>
      <c r="H110" s="135" t="n"/>
      <c r="I110" s="114" t="n"/>
      <c r="J110" s="114" t="n"/>
      <c r="K110" s="115" t="n"/>
      <c r="L110" s="135" t="n"/>
    </row>
    <row r="111">
      <c r="B111" s="135" t="n"/>
      <c r="C111" s="135" t="n"/>
      <c r="D111" s="130" t="n"/>
      <c r="E111" s="106" t="n"/>
      <c r="F111" s="135" t="n"/>
      <c r="G111" s="115" t="n"/>
      <c r="H111" s="135" t="n"/>
      <c r="I111" s="114" t="n"/>
      <c r="J111" s="114" t="n"/>
      <c r="K111" s="115" t="n"/>
      <c r="L111" s="135" t="n"/>
    </row>
    <row r="112">
      <c r="B112" s="135" t="n"/>
      <c r="C112" s="135" t="n"/>
      <c r="D112" s="130" t="n"/>
      <c r="E112" s="106" t="n"/>
      <c r="F112" s="135" t="n"/>
      <c r="G112" s="115" t="n"/>
      <c r="H112" s="135" t="n"/>
      <c r="I112" s="114" t="n"/>
      <c r="J112" s="114" t="n"/>
      <c r="K112" s="115" t="n"/>
      <c r="L112" s="135" t="n"/>
    </row>
    <row r="113">
      <c r="B113" s="135" t="n"/>
      <c r="C113" s="135" t="n"/>
      <c r="D113" s="130" t="n"/>
      <c r="E113" s="106" t="n"/>
      <c r="F113" s="135" t="n"/>
      <c r="G113" s="115" t="n"/>
      <c r="H113" s="135" t="n"/>
      <c r="I113" s="114" t="n"/>
      <c r="J113" s="114" t="n"/>
      <c r="K113" s="115" t="n"/>
      <c r="L113" s="135" t="n"/>
    </row>
    <row r="114">
      <c r="B114" s="135" t="n"/>
      <c r="C114" s="135" t="n"/>
      <c r="D114" s="130" t="n"/>
      <c r="E114" s="106" t="n"/>
      <c r="F114" s="135" t="n"/>
      <c r="G114" s="115" t="n"/>
      <c r="H114" s="135" t="n"/>
      <c r="I114" s="114" t="n"/>
      <c r="J114" s="114" t="n"/>
      <c r="K114" s="115" t="n"/>
      <c r="L114" s="135" t="n"/>
    </row>
    <row r="115">
      <c r="B115" s="135" t="n"/>
      <c r="C115" s="135" t="n"/>
      <c r="D115" s="130" t="n"/>
      <c r="E115" s="106" t="n"/>
      <c r="F115" s="135" t="n"/>
      <c r="G115" s="115" t="n"/>
      <c r="H115" s="135" t="n"/>
      <c r="I115" s="114" t="n"/>
      <c r="J115" s="114" t="n"/>
      <c r="K115" s="115" t="n"/>
      <c r="L115" s="135" t="n"/>
    </row>
    <row r="116">
      <c r="B116" s="135" t="n"/>
      <c r="C116" s="135" t="n"/>
      <c r="D116" s="130" t="n"/>
      <c r="E116" s="106" t="n"/>
      <c r="F116" s="135" t="n"/>
      <c r="G116" s="115" t="n"/>
      <c r="H116" s="135" t="n"/>
      <c r="I116" s="114" t="n"/>
      <c r="J116" s="114" t="n"/>
      <c r="K116" s="115" t="n"/>
      <c r="L116" s="135" t="n"/>
    </row>
    <row r="117">
      <c r="B117" s="135" t="n"/>
      <c r="C117" s="135" t="n"/>
      <c r="D117" s="130" t="n"/>
      <c r="E117" s="106" t="n"/>
      <c r="F117" s="135" t="n"/>
      <c r="G117" s="115" t="n"/>
      <c r="H117" s="135" t="n"/>
      <c r="I117" s="114" t="n"/>
      <c r="J117" s="114" t="n"/>
      <c r="K117" s="115" t="n"/>
      <c r="L117" s="135" t="n"/>
    </row>
    <row r="118">
      <c r="B118" s="135" t="n"/>
      <c r="C118" s="135" t="n"/>
      <c r="D118" s="130" t="n"/>
      <c r="E118" s="106" t="n"/>
      <c r="F118" s="135" t="n"/>
      <c r="G118" s="115" t="n"/>
      <c r="H118" s="135" t="n"/>
      <c r="I118" s="114" t="n"/>
      <c r="J118" s="114" t="n"/>
      <c r="K118" s="115" t="n"/>
      <c r="L118" s="135" t="n"/>
    </row>
    <row r="119">
      <c r="B119" s="135" t="n"/>
      <c r="C119" s="135" t="n"/>
      <c r="D119" s="130" t="n"/>
      <c r="E119" s="106" t="n"/>
      <c r="F119" s="135" t="n"/>
      <c r="G119" s="115" t="n"/>
      <c r="H119" s="135" t="n"/>
      <c r="I119" s="114" t="n"/>
      <c r="J119" s="114" t="n"/>
      <c r="K119" s="115" t="n"/>
      <c r="L119" s="135" t="n"/>
    </row>
    <row r="120">
      <c r="B120" s="135" t="n"/>
      <c r="C120" s="135" t="n"/>
      <c r="D120" s="130" t="n"/>
      <c r="E120" s="106" t="n"/>
      <c r="F120" s="135" t="n"/>
      <c r="G120" s="115" t="n"/>
      <c r="H120" s="135" t="n"/>
      <c r="I120" s="114" t="n"/>
      <c r="J120" s="114" t="n"/>
      <c r="K120" s="115" t="n"/>
      <c r="L120" s="135" t="n"/>
    </row>
    <row r="121">
      <c r="B121" s="135" t="n"/>
      <c r="C121" s="135" t="n"/>
      <c r="D121" s="130" t="n"/>
      <c r="E121" s="106" t="n"/>
      <c r="F121" s="135" t="n"/>
      <c r="G121" s="115" t="n"/>
      <c r="H121" s="135" t="n"/>
      <c r="I121" s="114" t="n"/>
      <c r="J121" s="114" t="n"/>
      <c r="K121" s="115" t="n"/>
      <c r="L121" s="135" t="n"/>
    </row>
    <row r="122">
      <c r="B122" s="135" t="n"/>
      <c r="C122" s="135" t="n"/>
      <c r="D122" s="130" t="n"/>
      <c r="E122" s="106" t="n"/>
      <c r="F122" s="135" t="n"/>
      <c r="G122" s="115" t="n"/>
      <c r="H122" s="135" t="n"/>
      <c r="I122" s="114" t="n"/>
      <c r="J122" s="114" t="n"/>
      <c r="K122" s="115" t="n"/>
      <c r="L122" s="135" t="n"/>
    </row>
    <row r="123">
      <c r="B123" s="135" t="n"/>
      <c r="C123" s="135" t="n"/>
      <c r="D123" s="130" t="n"/>
      <c r="E123" s="106" t="n"/>
      <c r="F123" s="135" t="n"/>
      <c r="G123" s="115" t="n"/>
      <c r="H123" s="135" t="n"/>
      <c r="I123" s="114" t="n"/>
      <c r="J123" s="114" t="n"/>
      <c r="K123" s="115" t="n"/>
      <c r="L123" s="135" t="n"/>
    </row>
    <row r="124">
      <c r="B124" s="135" t="n"/>
      <c r="C124" s="135" t="n"/>
      <c r="D124" s="130" t="n"/>
      <c r="E124" s="106" t="n"/>
      <c r="F124" s="135" t="n"/>
      <c r="G124" s="115" t="n"/>
      <c r="H124" s="135" t="n"/>
      <c r="I124" s="114" t="n"/>
      <c r="J124" s="114" t="n"/>
      <c r="K124" s="115" t="n"/>
      <c r="L124" s="135" t="n"/>
    </row>
    <row r="125">
      <c r="B125" s="135" t="n"/>
      <c r="C125" s="135" t="n"/>
      <c r="D125" s="130" t="n"/>
      <c r="E125" s="106" t="n"/>
      <c r="F125" s="135" t="n"/>
      <c r="G125" s="115" t="n"/>
      <c r="H125" s="135" t="n"/>
      <c r="I125" s="114" t="n"/>
      <c r="J125" s="114" t="n"/>
      <c r="K125" s="115" t="n"/>
      <c r="L125" s="135" t="n"/>
    </row>
  </sheetData>
  <mergeCells count="143">
    <mergeCell ref="F116:G116"/>
    <mergeCell ref="F68:G68"/>
    <mergeCell ref="F103:G103"/>
    <mergeCell ref="F108:G108"/>
    <mergeCell ref="H101:K101"/>
    <mergeCell ref="H124:K124"/>
    <mergeCell ref="F84:G84"/>
    <mergeCell ref="H76:K76"/>
    <mergeCell ref="F118:G118"/>
    <mergeCell ref="J11:L11"/>
    <mergeCell ref="F86:G86"/>
    <mergeCell ref="H82:K82"/>
    <mergeCell ref="F80:G80"/>
    <mergeCell ref="H67:K67"/>
    <mergeCell ref="C7:E7"/>
    <mergeCell ref="F70:G70"/>
    <mergeCell ref="F79:G79"/>
    <mergeCell ref="H103:K103"/>
    <mergeCell ref="F122:G122"/>
    <mergeCell ref="H113:K113"/>
    <mergeCell ref="F125:G125"/>
    <mergeCell ref="H118:K118"/>
    <mergeCell ref="F72:G72"/>
    <mergeCell ref="F81:G81"/>
    <mergeCell ref="F121:G121"/>
    <mergeCell ref="F96:G96"/>
    <mergeCell ref="F71:G71"/>
    <mergeCell ref="F105:G105"/>
    <mergeCell ref="H89:K89"/>
    <mergeCell ref="H108:K108"/>
    <mergeCell ref="H79:K79"/>
    <mergeCell ref="F120:G120"/>
    <mergeCell ref="F98:G98"/>
    <mergeCell ref="F107:G107"/>
    <mergeCell ref="H72:K72"/>
    <mergeCell ref="F88:G88"/>
    <mergeCell ref="H81:K81"/>
    <mergeCell ref="G12:H12"/>
    <mergeCell ref="H65:K65"/>
    <mergeCell ref="H96:K96"/>
    <mergeCell ref="H105:K105"/>
    <mergeCell ref="H87:K87"/>
    <mergeCell ref="F99:G99"/>
    <mergeCell ref="H71:K71"/>
    <mergeCell ref="C12:E12"/>
    <mergeCell ref="F74:G74"/>
    <mergeCell ref="H120:K120"/>
    <mergeCell ref="F83:G83"/>
    <mergeCell ref="J7:L7"/>
    <mergeCell ref="H107:K107"/>
    <mergeCell ref="H116:K116"/>
    <mergeCell ref="G7:H7"/>
    <mergeCell ref="H91:K91"/>
    <mergeCell ref="F76:G76"/>
    <mergeCell ref="F85:G85"/>
    <mergeCell ref="F94:G94"/>
    <mergeCell ref="F66:G66"/>
    <mergeCell ref="F75:G75"/>
    <mergeCell ref="H93:K93"/>
    <mergeCell ref="F109:G109"/>
    <mergeCell ref="H102:K102"/>
    <mergeCell ref="H83:K83"/>
    <mergeCell ref="H117:K117"/>
    <mergeCell ref="F111:G111"/>
    <mergeCell ref="H85:K85"/>
    <mergeCell ref="H119:K119"/>
    <mergeCell ref="H94:K94"/>
    <mergeCell ref="H69:K69"/>
    <mergeCell ref="H109:K109"/>
    <mergeCell ref="G9:H9"/>
    <mergeCell ref="C10:E10"/>
    <mergeCell ref="H75:K75"/>
    <mergeCell ref="F73:G73"/>
    <mergeCell ref="J6:L6"/>
    <mergeCell ref="F87:G87"/>
    <mergeCell ref="H80:K80"/>
    <mergeCell ref="H111:K111"/>
    <mergeCell ref="G11:H11"/>
    <mergeCell ref="C9:E9"/>
    <mergeCell ref="H104:K104"/>
    <mergeCell ref="F89:G89"/>
    <mergeCell ref="F124:G124"/>
    <mergeCell ref="C11:E11"/>
    <mergeCell ref="H97:K97"/>
    <mergeCell ref="H106:K106"/>
    <mergeCell ref="F114:G114"/>
    <mergeCell ref="F101:G101"/>
    <mergeCell ref="F110:G110"/>
    <mergeCell ref="H122:K122"/>
    <mergeCell ref="F91:G91"/>
    <mergeCell ref="F100:G100"/>
    <mergeCell ref="H121:K121"/>
    <mergeCell ref="H74:K74"/>
    <mergeCell ref="J8:L8"/>
    <mergeCell ref="F115:G115"/>
    <mergeCell ref="H68:K68"/>
    <mergeCell ref="F93:G93"/>
    <mergeCell ref="F102:G102"/>
    <mergeCell ref="C6:E6"/>
    <mergeCell ref="H123:K123"/>
    <mergeCell ref="F77:G77"/>
    <mergeCell ref="F117:G117"/>
    <mergeCell ref="J10:L10"/>
    <mergeCell ref="F92:G92"/>
    <mergeCell ref="H110:K110"/>
    <mergeCell ref="H100:K100"/>
    <mergeCell ref="J9:L9"/>
    <mergeCell ref="F119:G119"/>
    <mergeCell ref="H84:K84"/>
    <mergeCell ref="H66:K66"/>
    <mergeCell ref="F69:G69"/>
    <mergeCell ref="F78:G78"/>
    <mergeCell ref="F112:G112"/>
    <mergeCell ref="F65:G65"/>
    <mergeCell ref="H77:K77"/>
    <mergeCell ref="H86:K86"/>
    <mergeCell ref="G8:H8"/>
    <mergeCell ref="H95:K95"/>
    <mergeCell ref="H92:K92"/>
    <mergeCell ref="F95:G95"/>
    <mergeCell ref="F104:G104"/>
    <mergeCell ref="G10:H10"/>
    <mergeCell ref="C8:E8"/>
    <mergeCell ref="F113:G113"/>
    <mergeCell ref="H125:K125"/>
    <mergeCell ref="H78:K78"/>
    <mergeCell ref="G6:H6"/>
    <mergeCell ref="J12:L12"/>
    <mergeCell ref="H112:K112"/>
    <mergeCell ref="F97:G97"/>
    <mergeCell ref="F106:G106"/>
    <mergeCell ref="F90:G90"/>
    <mergeCell ref="H114:K114"/>
    <mergeCell ref="H98:K98"/>
    <mergeCell ref="H73:K73"/>
    <mergeCell ref="F67:G67"/>
    <mergeCell ref="H88:K88"/>
    <mergeCell ref="H70:K70"/>
    <mergeCell ref="F82:G82"/>
    <mergeCell ref="H115:K115"/>
    <mergeCell ref="F123:G123"/>
    <mergeCell ref="H90:K90"/>
    <mergeCell ref="H99:K99"/>
  </mergeCells>
  <conditionalFormatting sqref="J6:J12">
    <cfRule type="expression" priority="1" dxfId="5">
      <formula>LEFT(J6,1)="✔"</formula>
    </cfRule>
    <cfRule type="expression" priority="2" dxfId="6">
      <formula>LEFT(J6,1)="▲"</formula>
    </cfRule>
    <cfRule type="expression" priority="3" dxfId="7">
      <formula>LEFT(J6,1)="✖"</formula>
    </cfRule>
    <cfRule type="expression" priority="4" dxfId="8">
      <formula>LEFT(J6,1)="○"</formula>
    </cfRule>
    <cfRule type="expression" priority="5" dxfId="8">
      <formula>LEFT(J6,1)="‖"</formula>
    </cfRule>
    <cfRule type="expression" priority="6" dxfId="8">
      <formula>LEFT(J6,1)="–"</formula>
    </cfRule>
  </conditionalFormatting>
  <conditionalFormatting sqref="K15:K29">
    <cfRule type="dataBar" priority="7">
      <dataBar showValue="1">
        <cfvo type="num" val="0"/>
        <cfvo type="num" val="1"/>
        <color rgb="004A3AA7"/>
      </dataBar>
    </cfRule>
  </conditionalFormatting>
  <conditionalFormatting sqref="F15:F29">
    <cfRule type="expression" priority="8" dxfId="7">
      <formula>N(F15)&gt;=2</formula>
    </cfRule>
  </conditionalFormatting>
  <conditionalFormatting sqref="G33:G62">
    <cfRule type="expression" priority="9" dxfId="5">
      <formula>LEFT(G33,1)="✔"</formula>
    </cfRule>
    <cfRule type="expression" priority="10" dxfId="6">
      <formula>LEFT(G33,1)="▲"</formula>
    </cfRule>
    <cfRule type="expression" priority="11" dxfId="7">
      <formula>LEFT(G33,1)="✖"</formula>
    </cfRule>
    <cfRule type="expression" priority="12" dxfId="8">
      <formula>LEFT(G33,1)="○"</formula>
    </cfRule>
    <cfRule type="expression" priority="13" dxfId="8">
      <formula>LEFT(G33,1)="‖"</formula>
    </cfRule>
    <cfRule type="expression" priority="14" dxfId="8">
      <formula>LEFT(G33,1)="–"</formula>
    </cfRule>
  </conditionalFormatting>
  <conditionalFormatting sqref="E66:E125">
    <cfRule type="colorScale" priority="15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dataValidations count="12">
    <dataValidation sqref="C8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10" showDropDown="0" showInputMessage="1" showErrorMessage="1" allowBlank="1" errorTitle="Valor inválido" error="Use um número entre 0 e 10." promptTitle="" prompt="0 = péssimo · 10 = não trocaria por nada" type="decimal" operator="between">
      <formula1>0</formula1>
      <formula2>10</formula2>
    </dataValidation>
    <dataValidation sqref="C15:C29" showDropDown="0" showInputMessage="0" showErrorMessage="1" allowBlank="1" errorTitle="Valor fora da lista" error="Escolha um item da lista (as listas ficam na aba Config)." type="list" errorStyle="stop">
      <formula1>lst_CatComp</formula1>
    </dataValidation>
    <dataValidation sqref="D15:E29" showDropDown="0" showInputMessage="1" showErrorMessage="1" allowBlank="1" errorTitle="Valor inválido" error="Use um número entre 1 e 5." promptTitle="" prompt="1 iniciante · 2 básico · 3 autônomo · 4 avançado · 5 referência" type="whole" operator="between">
      <formula1>1</formula1>
      <formula2>5</formula2>
    </dataValidation>
    <dataValidation sqref="I15:I2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J15:J29" showDropDown="0" showInputMessage="0" showErrorMessage="1" allowBlank="1" errorTitle="Valor fora da lista" error="Escolha um item da lista (as listas ficam na aba Config)." type="list" errorStyle="stop">
      <formula1>lst_Prioridade</formula1>
    </dataValidation>
    <dataValidation sqref="D33:D62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I33:I62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E33:E62" showDropDown="0" showInputMessage="0" showErrorMessage="1" allowBlank="1" errorTitle="Valor fora da lista" error="Escolha um item da lista (as listas ficam na aba Config)." type="list" errorStyle="stop">
      <formula1>lst_Etapa</formula1>
    </dataValidation>
    <dataValidation sqref="C66:C125" showDropDown="0" showInputMessage="0" showErrorMessage="1" allowBlank="1" errorTitle="Valor fora da lista" error="Escolha um item da lista (as listas ficam na aba Config)." type="list" errorStyle="stop">
      <formula1>lst_TipoMarco</formula1>
    </dataValidation>
    <dataValidation sqref="D66:D125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E66:E125" showDropDown="0" showInputMessage="0" showErrorMessage="1" allowBlank="1" errorTitle="Valor inválido" error="Use um número entre 1 e 5." type="whole" operator="between">
      <formula1>1</formula1>
      <formula2>5</formula2>
    </dataValidation>
  </dataValidations>
  <hyperlinks>
    <hyperlink ref="L1" location="'Dashboard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7BA4"/>
    <outlinePr summaryBelow="1" summaryRight="1"/>
    <pageSetUpPr/>
  </sheetPr>
  <dimension ref="A1:W6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0" customWidth="1" min="4" max="4"/>
    <col width="11" customWidth="1" min="5" max="5"/>
    <col width="12" customWidth="1" min="6" max="6"/>
    <col width="10" customWidth="1" min="7" max="7"/>
    <col width="17" customWidth="1" min="8" max="8"/>
    <col width="12" customWidth="1" min="9" max="9"/>
    <col width="12" customWidth="1" min="10" max="10"/>
    <col width="9" customWidth="1" min="11" max="11"/>
    <col width="10" customWidth="1" min="12" max="12"/>
    <col width="34" customWidth="1" min="13" max="13"/>
    <col hidden="1" width="13" customWidth="1" min="14" max="14"/>
    <col hidden="1" width="13" customWidth="1" min="15" max="15"/>
    <col width="3" customWidth="1" min="16" max="16"/>
    <col width="11" customWidth="1" min="17" max="17"/>
    <col width="22" customWidth="1" min="18" max="18"/>
    <col width="15" customWidth="1" min="19" max="19"/>
    <col width="10" customWidth="1" min="20" max="20"/>
    <col width="10" customWidth="1" min="21" max="21"/>
    <col width="34" customWidth="1" min="22" max="22"/>
    <col width="13" customWidth="1" min="23" max="23"/>
  </cols>
  <sheetData>
    <row r="1" ht="34" customHeight="1">
      <c r="A1" s="202" t="n"/>
      <c r="B1" s="97" t="inlineStr">
        <is>
          <t>Relacionamentos &amp; vida social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98" t="inlineStr">
        <is>
          <t>◀ Dashboard</t>
        </is>
      </c>
    </row>
    <row r="2" ht="18" customHeight="1">
      <c r="A2" s="202" t="n"/>
      <c r="B2" s="99" t="inlineStr">
        <is>
          <t>Cadastre as pessoas importantes e com que frequência quer falar com cada uma. Registre os contatos à direita.</t>
        </is>
      </c>
    </row>
    <row r="3" ht="16" customHeight="1">
      <c r="A3" s="202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03" t="inlineStr">
        <is>
          <t>PESSOAS NO RADAR</t>
        </is>
      </c>
      <c r="C5" s="204" t="inlineStr">
        <is>
          <t>CONTATOS EM DIA</t>
        </is>
      </c>
      <c r="D5" s="205" t="n"/>
      <c r="E5" s="204" t="inlineStr">
        <is>
          <t>CONTATOS ATRASADOS</t>
        </is>
      </c>
      <c r="F5" s="205" t="n"/>
      <c r="G5" s="204" t="inlineStr">
        <is>
          <t>INTERAÇÕES NO MÊS</t>
        </is>
      </c>
      <c r="H5" s="205" t="n"/>
      <c r="I5" s="204" t="inlineStr">
        <is>
          <t>QUALIDADE MÉDIA</t>
        </is>
      </c>
      <c r="J5" s="205" t="n"/>
      <c r="K5" s="204" t="inlineStr">
        <is>
          <t>PRÓXIMO ANIVERSÁRIO</t>
        </is>
      </c>
      <c r="L5" s="206" t="n"/>
      <c r="M5" s="205" t="n"/>
    </row>
    <row r="6" ht="28" customHeight="1">
      <c r="B6" s="122">
        <f>COUNTIF($B$10:$B$69,"?*")</f>
        <v>0</v>
      </c>
      <c r="C6" s="124" t="str">
        <f>IFERROR((COUNTIF($H$10:$H$69,"✔*")+COUNTIF($H$10:$H$69,"▲*"))/COUNTIFS($B$10:$B$69,"?*",$E$10:$E$69,"&gt;0"),"–")</f>
        <v>–</v>
      </c>
      <c r="D6" s="32" t="n"/>
      <c r="E6" s="123">
        <f>COUNTIF($H$10:$H$69,"✖*")</f>
        <v>0</v>
      </c>
      <c r="F6" s="32" t="n"/>
      <c r="G6" s="123">
        <f>COUNTIFS($Q$10:$Q$609,"&gt;="&amp;RefIni,$Q$10:$Q$609,"&lt;="&amp;RefFim)</f>
        <v>0</v>
      </c>
      <c r="H6" s="32" t="n"/>
      <c r="I6" s="169" t="str">
        <f>IFERROR(AVERAGEIFS($T$10:$T$609,$Q$10:$Q$609,"&gt;="&amp;RefIni,$Q$10:$Q$609,"&lt;="&amp;RefFim),"–")</f>
        <v>–</v>
      </c>
      <c r="J6" s="32" t="n"/>
      <c r="K6" s="207" t="str">
        <f>IFERROR(INDEX($B$10:$B$69,MATCH(SMALL($O$10:$O$69,1),$O$10:$O$69,0)),"–")</f>
        <v>–</v>
      </c>
      <c r="L6" s="31" t="n"/>
      <c r="M6" s="32" t="n"/>
    </row>
    <row r="7" ht="25" customHeight="1">
      <c r="B7" s="126" t="str">
        <f>"Família "&amp;COUNTIF($C$10:$C$69,"Família")&amp;" · amigos "&amp;COUNTIF($C$10:$C$69,"Amizade")</f>
        <v>Família 0 · amigos 0</v>
      </c>
      <c r="C7" s="127" t="str">
        <f>IF(ISNUMBER(C6),IF(C6&gt;=0.8,"✔ ","▲ ")&amp;"dentro da frequência que você definiu","○ defina a frequência de contato")</f>
        <v>○ defina a frequência de contato</v>
      </c>
      <c r="D7" s="38" t="n"/>
      <c r="E7" s="127" t="str">
        <f>IF(E6&gt;0,"✖ veja a lista no Dashboard","✔ ninguém esquecido")</f>
        <v>✔ ninguém esquecido</v>
      </c>
      <c r="F7" s="38" t="n"/>
      <c r="G7" s="127" t="str">
        <f>"Tempo junto: "&amp;FIXED(SUMIFS($U$10:$U$609,$Q$10:$Q$609,"&gt;="&amp;RefIni,$Q$10:$Q$609,"&lt;="&amp;RefFim)/60,1)&amp;" h"</f>
        <v>Tempo junto: 0.0 h</v>
      </c>
      <c r="H7" s="38" t="n"/>
      <c r="I7" s="127" t="str">
        <f>"1 = superficial · 5 = profunda"</f>
        <v>1 = superficial · 5 = profunda</v>
      </c>
      <c r="J7" s="38" t="n"/>
      <c r="K7" s="127" t="str">
        <f>IFERROR(IF(INT(SMALL($O$10:$O$69,1))&lt;=AlertaAniv,"▲ ","")&amp;"em "&amp;INT(SMALL($O$10:$O$69,1))&amp;" dias ("&amp;DAY(INDEX($J$10:$J$69,MATCH(SMALL($O$10:$O$69,1),$O$10:$O$69,0)))&amp;"/"&amp;MONTH(INDEX($J$10:$J$69,MATCH(SMALL($O$10:$O$69,1),$O$10:$O$69,0)))&amp;")","")</f>
        <v/>
      </c>
      <c r="L7" s="37" t="n"/>
      <c r="M7" s="38" t="n"/>
    </row>
    <row r="8" ht="22" customHeight="1">
      <c r="B8" s="208" t="inlineStr">
        <is>
          <t>PESSOAS</t>
        </is>
      </c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Q8" s="208" t="inlineStr">
        <is>
          <t>REGISTRO DE CONTATOS</t>
        </is>
      </c>
      <c r="R8" s="209" t="n"/>
      <c r="S8" s="209" t="n"/>
      <c r="T8" s="209" t="n"/>
      <c r="U8" s="209" t="n"/>
      <c r="V8" s="209" t="n"/>
      <c r="W8" s="209" t="n"/>
    </row>
    <row r="9" ht="34" customHeight="1">
      <c r="B9" s="103" t="inlineStr">
        <is>
          <t>Nome</t>
        </is>
      </c>
      <c r="C9" s="103" t="inlineStr">
        <is>
          <t>Relação</t>
        </is>
      </c>
      <c r="D9" s="103" t="inlineStr">
        <is>
          <t>Círculo</t>
        </is>
      </c>
      <c r="E9" s="103" t="inlineStr">
        <is>
          <t>Falar a cada (dias)</t>
        </is>
      </c>
      <c r="F9" s="104" t="inlineStr">
        <is>
          <t>Último contato</t>
        </is>
      </c>
      <c r="G9" s="104" t="inlineStr">
        <is>
          <t>Dias sem contato</t>
        </is>
      </c>
      <c r="H9" s="104" t="inlineStr">
        <is>
          <t>Status</t>
        </is>
      </c>
      <c r="I9" s="103" t="inlineStr">
        <is>
          <t>Aniversário</t>
        </is>
      </c>
      <c r="J9" s="104" t="inlineStr">
        <is>
          <t>Próximo aniversário</t>
        </is>
      </c>
      <c r="K9" s="104" t="inlineStr">
        <is>
          <t>Faltam (dias)</t>
        </is>
      </c>
      <c r="L9" s="104" t="inlineStr">
        <is>
          <t>Contatos no ano</t>
        </is>
      </c>
      <c r="M9" s="103" t="inlineStr">
        <is>
          <t>Notas · interesses, presentes, assuntos</t>
        </is>
      </c>
      <c r="Q9" s="103" t="inlineStr">
        <is>
          <t>Data</t>
        </is>
      </c>
      <c r="R9" s="103" t="inlineStr">
        <is>
          <t>Pessoa</t>
        </is>
      </c>
      <c r="S9" s="103" t="inlineStr">
        <is>
          <t>Tipo</t>
        </is>
      </c>
      <c r="T9" s="103" t="inlineStr">
        <is>
          <t>Qualidade (1–5)</t>
        </is>
      </c>
      <c r="U9" s="103" t="inlineStr">
        <is>
          <t>Duração (min)</t>
        </is>
      </c>
      <c r="V9" s="103" t="inlineStr">
        <is>
          <t>Notas · o que conversamos</t>
        </is>
      </c>
      <c r="W9" s="104" t="inlineStr">
        <is>
          <t>Relação</t>
        </is>
      </c>
    </row>
    <row r="10">
      <c r="B10" s="129" t="n"/>
      <c r="C10" s="129" t="n"/>
      <c r="D10" s="129" t="n"/>
      <c r="E10" s="106" t="n"/>
      <c r="F10" s="137" t="str">
        <f>IF(B10="","",IF(SUMPRODUCT(MAX(($R$10:$R$609=B10)*($Q$10:$Q$609&lt;=Hoje)*$Q$10:$Q$609))=0,"",SUMPRODUCT(MAX(($R$10:$R$609=B10)*($Q$10:$Q$609&lt;=Hoje)*$Q$10:$Q$609))))</f>
        <v/>
      </c>
      <c r="G10" s="210" t="str">
        <f>IF(OR(B10="",F10=""),"",Hoje-F10)</f>
        <v/>
      </c>
      <c r="H10" s="138" t="str">
        <f>IF(B10="","",IF(N(E10)=0,"○ Sem frequência",IF(F10="","✖ Sem registro",IF(G10&gt;E10,"✖ Atrasado",IF(G10&gt;=0.8*E10,"▲ Em breve","✔ Em dia")))))</f>
        <v/>
      </c>
      <c r="I10" s="130" t="n"/>
      <c r="J10" s="137" t="str">
        <f>IF(OR(B10="",I10=""),"",DATE(YEAR(Hoje)+(DATE(YEAR(Hoje),MONTH(I10),DAY(I10))&lt;Hoje),MONTH(I10),DAY(I10)))</f>
        <v/>
      </c>
      <c r="K10" s="210" t="str">
        <f>IF(J10="","",J10-Hoje)</f>
        <v/>
      </c>
      <c r="L10" s="210" t="str">
        <f>IF(B10="","",COUNTIFS($R$10:$R$609,B10,$Q$10:$Q$609,"&gt;="&amp;IniAno,$Q$10:$Q$609,"&lt;="&amp;FimAno))</f>
        <v/>
      </c>
      <c r="M10" s="135" t="n"/>
      <c r="N10" t="str">
        <f>IF(AND(B10&lt;&gt;"",N(E10)&gt;0),IF(F10="",99,G10/E10)+ROW()/1000000,"")</f>
        <v/>
      </c>
      <c r="O10" t="str">
        <f>IF(K10="","",K10+ROW()/1000000)</f>
        <v/>
      </c>
      <c r="Q10" s="130" t="n"/>
      <c r="R10" s="129" t="n"/>
      <c r="S10" s="129" t="n"/>
      <c r="T10" s="106" t="n"/>
      <c r="U10" s="106" t="n"/>
      <c r="V10" s="129" t="n"/>
      <c r="W10" s="138" t="str">
        <f>IF(R10="","",IFERROR(INDEX($C$10:$C$69,MATCH(R10,$B$10:$B$69,0)),"—"))</f>
        <v/>
      </c>
    </row>
    <row r="11">
      <c r="B11" s="129" t="n"/>
      <c r="C11" s="129" t="n"/>
      <c r="D11" s="129" t="n"/>
      <c r="E11" s="106" t="n"/>
      <c r="F11" s="137" t="str">
        <f>IF(B11="","",IF(SUMPRODUCT(MAX(($R$10:$R$609=B11)*($Q$10:$Q$609&lt;=Hoje)*$Q$10:$Q$609))=0,"",SUMPRODUCT(MAX(($R$10:$R$609=B11)*($Q$10:$Q$609&lt;=Hoje)*$Q$10:$Q$609))))</f>
        <v/>
      </c>
      <c r="G11" s="210" t="str">
        <f>IF(OR(B11="",F11=""),"",Hoje-F11)</f>
        <v/>
      </c>
      <c r="H11" s="138" t="str">
        <f>IF(B11="","",IF(N(E11)=0,"○ Sem frequência",IF(F11="","✖ Sem registro",IF(G11&gt;E11,"✖ Atrasado",IF(G11&gt;=0.8*E11,"▲ Em breve","✔ Em dia")))))</f>
        <v/>
      </c>
      <c r="I11" s="130" t="n"/>
      <c r="J11" s="137" t="str">
        <f>IF(OR(B11="",I11=""),"",DATE(YEAR(Hoje)+(DATE(YEAR(Hoje),MONTH(I11),DAY(I11))&lt;Hoje),MONTH(I11),DAY(I11)))</f>
        <v/>
      </c>
      <c r="K11" s="210" t="str">
        <f>IF(J11="","",J11-Hoje)</f>
        <v/>
      </c>
      <c r="L11" s="210" t="str">
        <f>IF(B11="","",COUNTIFS($R$10:$R$609,B11,$Q$10:$Q$609,"&gt;="&amp;IniAno,$Q$10:$Q$609,"&lt;="&amp;FimAno))</f>
        <v/>
      </c>
      <c r="M11" s="135" t="n"/>
      <c r="N11" t="str">
        <f>IF(AND(B11&lt;&gt;"",N(E11)&gt;0),IF(F11="",99,G11/E11)+ROW()/1000000,"")</f>
        <v/>
      </c>
      <c r="O11" t="str">
        <f>IF(K11="","",K11+ROW()/1000000)</f>
        <v/>
      </c>
      <c r="Q11" s="130" t="n"/>
      <c r="R11" s="129" t="n"/>
      <c r="S11" s="129" t="n"/>
      <c r="T11" s="106" t="n"/>
      <c r="U11" s="106" t="n"/>
      <c r="V11" s="129" t="n"/>
      <c r="W11" s="138" t="str">
        <f>IF(R11="","",IFERROR(INDEX($C$10:$C$69,MATCH(R11,$B$10:$B$69,0)),"—"))</f>
        <v/>
      </c>
    </row>
    <row r="12">
      <c r="B12" s="129" t="n"/>
      <c r="C12" s="129" t="n"/>
      <c r="D12" s="129" t="n"/>
      <c r="E12" s="106" t="n"/>
      <c r="F12" s="137" t="str">
        <f>IF(B12="","",IF(SUMPRODUCT(MAX(($R$10:$R$609=B12)*($Q$10:$Q$609&lt;=Hoje)*$Q$10:$Q$609))=0,"",SUMPRODUCT(MAX(($R$10:$R$609=B12)*($Q$10:$Q$609&lt;=Hoje)*$Q$10:$Q$609))))</f>
        <v/>
      </c>
      <c r="G12" s="210" t="str">
        <f>IF(OR(B12="",F12=""),"",Hoje-F12)</f>
        <v/>
      </c>
      <c r="H12" s="138" t="str">
        <f>IF(B12="","",IF(N(E12)=0,"○ Sem frequência",IF(F12="","✖ Sem registro",IF(G12&gt;E12,"✖ Atrasado",IF(G12&gt;=0.8*E12,"▲ Em breve","✔ Em dia")))))</f>
        <v/>
      </c>
      <c r="I12" s="130" t="n"/>
      <c r="J12" s="137" t="str">
        <f>IF(OR(B12="",I12=""),"",DATE(YEAR(Hoje)+(DATE(YEAR(Hoje),MONTH(I12),DAY(I12))&lt;Hoje),MONTH(I12),DAY(I12)))</f>
        <v/>
      </c>
      <c r="K12" s="210" t="str">
        <f>IF(J12="","",J12-Hoje)</f>
        <v/>
      </c>
      <c r="L12" s="210" t="str">
        <f>IF(B12="","",COUNTIFS($R$10:$R$609,B12,$Q$10:$Q$609,"&gt;="&amp;IniAno,$Q$10:$Q$609,"&lt;="&amp;FimAno))</f>
        <v/>
      </c>
      <c r="M12" s="135" t="n"/>
      <c r="N12" t="str">
        <f>IF(AND(B12&lt;&gt;"",N(E12)&gt;0),IF(F12="",99,G12/E12)+ROW()/1000000,"")</f>
        <v/>
      </c>
      <c r="O12" t="str">
        <f>IF(K12="","",K12+ROW()/1000000)</f>
        <v/>
      </c>
      <c r="Q12" s="130" t="n"/>
      <c r="R12" s="129" t="n"/>
      <c r="S12" s="129" t="n"/>
      <c r="T12" s="106" t="n"/>
      <c r="U12" s="106" t="n"/>
      <c r="V12" s="129" t="n"/>
      <c r="W12" s="138" t="str">
        <f>IF(R12="","",IFERROR(INDEX($C$10:$C$69,MATCH(R12,$B$10:$B$69,0)),"—"))</f>
        <v/>
      </c>
    </row>
    <row r="13">
      <c r="B13" s="129" t="n"/>
      <c r="C13" s="129" t="n"/>
      <c r="D13" s="129" t="n"/>
      <c r="E13" s="106" t="n"/>
      <c r="F13" s="137" t="str">
        <f>IF(B13="","",IF(SUMPRODUCT(MAX(($R$10:$R$609=B13)*($Q$10:$Q$609&lt;=Hoje)*$Q$10:$Q$609))=0,"",SUMPRODUCT(MAX(($R$10:$R$609=B13)*($Q$10:$Q$609&lt;=Hoje)*$Q$10:$Q$609))))</f>
        <v/>
      </c>
      <c r="G13" s="210" t="str">
        <f>IF(OR(B13="",F13=""),"",Hoje-F13)</f>
        <v/>
      </c>
      <c r="H13" s="138" t="str">
        <f>IF(B13="","",IF(N(E13)=0,"○ Sem frequência",IF(F13="","✖ Sem registro",IF(G13&gt;E13,"✖ Atrasado",IF(G13&gt;=0.8*E13,"▲ Em breve","✔ Em dia")))))</f>
        <v/>
      </c>
      <c r="I13" s="130" t="n"/>
      <c r="J13" s="137" t="str">
        <f>IF(OR(B13="",I13=""),"",DATE(YEAR(Hoje)+(DATE(YEAR(Hoje),MONTH(I13),DAY(I13))&lt;Hoje),MONTH(I13),DAY(I13)))</f>
        <v/>
      </c>
      <c r="K13" s="210" t="str">
        <f>IF(J13="","",J13-Hoje)</f>
        <v/>
      </c>
      <c r="L13" s="210" t="str">
        <f>IF(B13="","",COUNTIFS($R$10:$R$609,B13,$Q$10:$Q$609,"&gt;="&amp;IniAno,$Q$10:$Q$609,"&lt;="&amp;FimAno))</f>
        <v/>
      </c>
      <c r="M13" s="135" t="n"/>
      <c r="N13" t="str">
        <f>IF(AND(B13&lt;&gt;"",N(E13)&gt;0),IF(F13="",99,G13/E13)+ROW()/1000000,"")</f>
        <v/>
      </c>
      <c r="O13" t="str">
        <f>IF(K13="","",K13+ROW()/1000000)</f>
        <v/>
      </c>
      <c r="Q13" s="130" t="n"/>
      <c r="R13" s="129" t="n"/>
      <c r="S13" s="129" t="n"/>
      <c r="T13" s="106" t="n"/>
      <c r="U13" s="106" t="n"/>
      <c r="V13" s="129" t="n"/>
      <c r="W13" s="138" t="str">
        <f>IF(R13="","",IFERROR(INDEX($C$10:$C$69,MATCH(R13,$B$10:$B$69,0)),"—"))</f>
        <v/>
      </c>
    </row>
    <row r="14">
      <c r="B14" s="129" t="n"/>
      <c r="C14" s="129" t="n"/>
      <c r="D14" s="129" t="n"/>
      <c r="E14" s="106" t="n"/>
      <c r="F14" s="137" t="str">
        <f>IF(B14="","",IF(SUMPRODUCT(MAX(($R$10:$R$609=B14)*($Q$10:$Q$609&lt;=Hoje)*$Q$10:$Q$609))=0,"",SUMPRODUCT(MAX(($R$10:$R$609=B14)*($Q$10:$Q$609&lt;=Hoje)*$Q$10:$Q$609))))</f>
        <v/>
      </c>
      <c r="G14" s="210" t="str">
        <f>IF(OR(B14="",F14=""),"",Hoje-F14)</f>
        <v/>
      </c>
      <c r="H14" s="138" t="str">
        <f>IF(B14="","",IF(N(E14)=0,"○ Sem frequência",IF(F14="","✖ Sem registro",IF(G14&gt;E14,"✖ Atrasado",IF(G14&gt;=0.8*E14,"▲ Em breve","✔ Em dia")))))</f>
        <v/>
      </c>
      <c r="I14" s="130" t="n"/>
      <c r="J14" s="137" t="str">
        <f>IF(OR(B14="",I14=""),"",DATE(YEAR(Hoje)+(DATE(YEAR(Hoje),MONTH(I14),DAY(I14))&lt;Hoje),MONTH(I14),DAY(I14)))</f>
        <v/>
      </c>
      <c r="K14" s="210" t="str">
        <f>IF(J14="","",J14-Hoje)</f>
        <v/>
      </c>
      <c r="L14" s="210" t="str">
        <f>IF(B14="","",COUNTIFS($R$10:$R$609,B14,$Q$10:$Q$609,"&gt;="&amp;IniAno,$Q$10:$Q$609,"&lt;="&amp;FimAno))</f>
        <v/>
      </c>
      <c r="M14" s="135" t="n"/>
      <c r="N14" t="str">
        <f>IF(AND(B14&lt;&gt;"",N(E14)&gt;0),IF(F14="",99,G14/E14)+ROW()/1000000,"")</f>
        <v/>
      </c>
      <c r="O14" t="str">
        <f>IF(K14="","",K14+ROW()/1000000)</f>
        <v/>
      </c>
      <c r="Q14" s="130" t="n"/>
      <c r="R14" s="129" t="n"/>
      <c r="S14" s="129" t="n"/>
      <c r="T14" s="106" t="n"/>
      <c r="U14" s="106" t="n"/>
      <c r="V14" s="129" t="n"/>
      <c r="W14" s="138" t="str">
        <f>IF(R14="","",IFERROR(INDEX($C$10:$C$69,MATCH(R14,$B$10:$B$69,0)),"—"))</f>
        <v/>
      </c>
    </row>
    <row r="15">
      <c r="B15" s="129" t="n"/>
      <c r="C15" s="129" t="n"/>
      <c r="D15" s="129" t="n"/>
      <c r="E15" s="106" t="n"/>
      <c r="F15" s="137" t="str">
        <f>IF(B15="","",IF(SUMPRODUCT(MAX(($R$10:$R$609=B15)*($Q$10:$Q$609&lt;=Hoje)*$Q$10:$Q$609))=0,"",SUMPRODUCT(MAX(($R$10:$R$609=B15)*($Q$10:$Q$609&lt;=Hoje)*$Q$10:$Q$609))))</f>
        <v/>
      </c>
      <c r="G15" s="210" t="str">
        <f>IF(OR(B15="",F15=""),"",Hoje-F15)</f>
        <v/>
      </c>
      <c r="H15" s="138" t="str">
        <f>IF(B15="","",IF(N(E15)=0,"○ Sem frequência",IF(F15="","✖ Sem registro",IF(G15&gt;E15,"✖ Atrasado",IF(G15&gt;=0.8*E15,"▲ Em breve","✔ Em dia")))))</f>
        <v/>
      </c>
      <c r="I15" s="130" t="n"/>
      <c r="J15" s="137" t="str">
        <f>IF(OR(B15="",I15=""),"",DATE(YEAR(Hoje)+(DATE(YEAR(Hoje),MONTH(I15),DAY(I15))&lt;Hoje),MONTH(I15),DAY(I15)))</f>
        <v/>
      </c>
      <c r="K15" s="210" t="str">
        <f>IF(J15="","",J15-Hoje)</f>
        <v/>
      </c>
      <c r="L15" s="210" t="str">
        <f>IF(B15="","",COUNTIFS($R$10:$R$609,B15,$Q$10:$Q$609,"&gt;="&amp;IniAno,$Q$10:$Q$609,"&lt;="&amp;FimAno))</f>
        <v/>
      </c>
      <c r="M15" s="135" t="n"/>
      <c r="N15" t="str">
        <f>IF(AND(B15&lt;&gt;"",N(E15)&gt;0),IF(F15="",99,G15/E15)+ROW()/1000000,"")</f>
        <v/>
      </c>
      <c r="O15" t="str">
        <f>IF(K15="","",K15+ROW()/1000000)</f>
        <v/>
      </c>
      <c r="Q15" s="130" t="n"/>
      <c r="R15" s="129" t="n"/>
      <c r="S15" s="129" t="n"/>
      <c r="T15" s="106" t="n"/>
      <c r="U15" s="106" t="n"/>
      <c r="V15" s="129" t="n"/>
      <c r="W15" s="138" t="str">
        <f>IF(R15="","",IFERROR(INDEX($C$10:$C$69,MATCH(R15,$B$10:$B$69,0)),"—"))</f>
        <v/>
      </c>
    </row>
    <row r="16">
      <c r="B16" s="129" t="n"/>
      <c r="C16" s="129" t="n"/>
      <c r="D16" s="129" t="n"/>
      <c r="E16" s="106" t="n"/>
      <c r="F16" s="137" t="str">
        <f>IF(B16="","",IF(SUMPRODUCT(MAX(($R$10:$R$609=B16)*($Q$10:$Q$609&lt;=Hoje)*$Q$10:$Q$609))=0,"",SUMPRODUCT(MAX(($R$10:$R$609=B16)*($Q$10:$Q$609&lt;=Hoje)*$Q$10:$Q$609))))</f>
        <v/>
      </c>
      <c r="G16" s="210" t="str">
        <f>IF(OR(B16="",F16=""),"",Hoje-F16)</f>
        <v/>
      </c>
      <c r="H16" s="138" t="str">
        <f>IF(B16="","",IF(N(E16)=0,"○ Sem frequência",IF(F16="","✖ Sem registro",IF(G16&gt;E16,"✖ Atrasado",IF(G16&gt;=0.8*E16,"▲ Em breve","✔ Em dia")))))</f>
        <v/>
      </c>
      <c r="I16" s="130" t="n"/>
      <c r="J16" s="137" t="str">
        <f>IF(OR(B16="",I16=""),"",DATE(YEAR(Hoje)+(DATE(YEAR(Hoje),MONTH(I16),DAY(I16))&lt;Hoje),MONTH(I16),DAY(I16)))</f>
        <v/>
      </c>
      <c r="K16" s="210" t="str">
        <f>IF(J16="","",J16-Hoje)</f>
        <v/>
      </c>
      <c r="L16" s="210" t="str">
        <f>IF(B16="","",COUNTIFS($R$10:$R$609,B16,$Q$10:$Q$609,"&gt;="&amp;IniAno,$Q$10:$Q$609,"&lt;="&amp;FimAno))</f>
        <v/>
      </c>
      <c r="M16" s="135" t="n"/>
      <c r="N16" t="str">
        <f>IF(AND(B16&lt;&gt;"",N(E16)&gt;0),IF(F16="",99,G16/E16)+ROW()/1000000,"")</f>
        <v/>
      </c>
      <c r="O16" t="str">
        <f>IF(K16="","",K16+ROW()/1000000)</f>
        <v/>
      </c>
      <c r="Q16" s="130" t="n"/>
      <c r="R16" s="129" t="n"/>
      <c r="S16" s="129" t="n"/>
      <c r="T16" s="106" t="n"/>
      <c r="U16" s="106" t="n"/>
      <c r="V16" s="129" t="n"/>
      <c r="W16" s="138" t="str">
        <f>IF(R16="","",IFERROR(INDEX($C$10:$C$69,MATCH(R16,$B$10:$B$69,0)),"—"))</f>
        <v/>
      </c>
    </row>
    <row r="17">
      <c r="B17" s="129" t="n"/>
      <c r="C17" s="129" t="n"/>
      <c r="D17" s="129" t="n"/>
      <c r="E17" s="106" t="n"/>
      <c r="F17" s="137" t="str">
        <f>IF(B17="","",IF(SUMPRODUCT(MAX(($R$10:$R$609=B17)*($Q$10:$Q$609&lt;=Hoje)*$Q$10:$Q$609))=0,"",SUMPRODUCT(MAX(($R$10:$R$609=B17)*($Q$10:$Q$609&lt;=Hoje)*$Q$10:$Q$609))))</f>
        <v/>
      </c>
      <c r="G17" s="210" t="str">
        <f>IF(OR(B17="",F17=""),"",Hoje-F17)</f>
        <v/>
      </c>
      <c r="H17" s="138" t="str">
        <f>IF(B17="","",IF(N(E17)=0,"○ Sem frequência",IF(F17="","✖ Sem registro",IF(G17&gt;E17,"✖ Atrasado",IF(G17&gt;=0.8*E17,"▲ Em breve","✔ Em dia")))))</f>
        <v/>
      </c>
      <c r="I17" s="130" t="n"/>
      <c r="J17" s="137" t="str">
        <f>IF(OR(B17="",I17=""),"",DATE(YEAR(Hoje)+(DATE(YEAR(Hoje),MONTH(I17),DAY(I17))&lt;Hoje),MONTH(I17),DAY(I17)))</f>
        <v/>
      </c>
      <c r="K17" s="210" t="str">
        <f>IF(J17="","",J17-Hoje)</f>
        <v/>
      </c>
      <c r="L17" s="210" t="str">
        <f>IF(B17="","",COUNTIFS($R$10:$R$609,B17,$Q$10:$Q$609,"&gt;="&amp;IniAno,$Q$10:$Q$609,"&lt;="&amp;FimAno))</f>
        <v/>
      </c>
      <c r="M17" s="135" t="n"/>
      <c r="N17" t="str">
        <f>IF(AND(B17&lt;&gt;"",N(E17)&gt;0),IF(F17="",99,G17/E17)+ROW()/1000000,"")</f>
        <v/>
      </c>
      <c r="O17" t="str">
        <f>IF(K17="","",K17+ROW()/1000000)</f>
        <v/>
      </c>
      <c r="Q17" s="130" t="n"/>
      <c r="R17" s="129" t="n"/>
      <c r="S17" s="129" t="n"/>
      <c r="T17" s="106" t="n"/>
      <c r="U17" s="106" t="n"/>
      <c r="V17" s="129" t="n"/>
      <c r="W17" s="138" t="str">
        <f>IF(R17="","",IFERROR(INDEX($C$10:$C$69,MATCH(R17,$B$10:$B$69,0)),"—"))</f>
        <v/>
      </c>
    </row>
    <row r="18">
      <c r="B18" s="129" t="n"/>
      <c r="C18" s="129" t="n"/>
      <c r="D18" s="129" t="n"/>
      <c r="E18" s="106" t="n"/>
      <c r="F18" s="137" t="str">
        <f>IF(B18="","",IF(SUMPRODUCT(MAX(($R$10:$R$609=B18)*($Q$10:$Q$609&lt;=Hoje)*$Q$10:$Q$609))=0,"",SUMPRODUCT(MAX(($R$10:$R$609=B18)*($Q$10:$Q$609&lt;=Hoje)*$Q$10:$Q$609))))</f>
        <v/>
      </c>
      <c r="G18" s="210" t="str">
        <f>IF(OR(B18="",F18=""),"",Hoje-F18)</f>
        <v/>
      </c>
      <c r="H18" s="138" t="str">
        <f>IF(B18="","",IF(N(E18)=0,"○ Sem frequência",IF(F18="","✖ Sem registro",IF(G18&gt;E18,"✖ Atrasado",IF(G18&gt;=0.8*E18,"▲ Em breve","✔ Em dia")))))</f>
        <v/>
      </c>
      <c r="I18" s="130" t="n"/>
      <c r="J18" s="137" t="str">
        <f>IF(OR(B18="",I18=""),"",DATE(YEAR(Hoje)+(DATE(YEAR(Hoje),MONTH(I18),DAY(I18))&lt;Hoje),MONTH(I18),DAY(I18)))</f>
        <v/>
      </c>
      <c r="K18" s="210" t="str">
        <f>IF(J18="","",J18-Hoje)</f>
        <v/>
      </c>
      <c r="L18" s="210" t="str">
        <f>IF(B18="","",COUNTIFS($R$10:$R$609,B18,$Q$10:$Q$609,"&gt;="&amp;IniAno,$Q$10:$Q$609,"&lt;="&amp;FimAno))</f>
        <v/>
      </c>
      <c r="M18" s="135" t="n"/>
      <c r="N18" t="str">
        <f>IF(AND(B18&lt;&gt;"",N(E18)&gt;0),IF(F18="",99,G18/E18)+ROW()/1000000,"")</f>
        <v/>
      </c>
      <c r="O18" t="str">
        <f>IF(K18="","",K18+ROW()/1000000)</f>
        <v/>
      </c>
      <c r="Q18" s="130" t="n"/>
      <c r="R18" s="129" t="n"/>
      <c r="S18" s="129" t="n"/>
      <c r="T18" s="106" t="n"/>
      <c r="U18" s="106" t="n"/>
      <c r="V18" s="129" t="n"/>
      <c r="W18" s="138" t="str">
        <f>IF(R18="","",IFERROR(INDEX($C$10:$C$69,MATCH(R18,$B$10:$B$69,0)),"—"))</f>
        <v/>
      </c>
    </row>
    <row r="19">
      <c r="B19" s="129" t="n"/>
      <c r="C19" s="129" t="n"/>
      <c r="D19" s="129" t="n"/>
      <c r="E19" s="106" t="n"/>
      <c r="F19" s="137" t="str">
        <f>IF(B19="","",IF(SUMPRODUCT(MAX(($R$10:$R$609=B19)*($Q$10:$Q$609&lt;=Hoje)*$Q$10:$Q$609))=0,"",SUMPRODUCT(MAX(($R$10:$R$609=B19)*($Q$10:$Q$609&lt;=Hoje)*$Q$10:$Q$609))))</f>
        <v/>
      </c>
      <c r="G19" s="210" t="str">
        <f>IF(OR(B19="",F19=""),"",Hoje-F19)</f>
        <v/>
      </c>
      <c r="H19" s="138" t="str">
        <f>IF(B19="","",IF(N(E19)=0,"○ Sem frequência",IF(F19="","✖ Sem registro",IF(G19&gt;E19,"✖ Atrasado",IF(G19&gt;=0.8*E19,"▲ Em breve","✔ Em dia")))))</f>
        <v/>
      </c>
      <c r="I19" s="130" t="n"/>
      <c r="J19" s="137" t="str">
        <f>IF(OR(B19="",I19=""),"",DATE(YEAR(Hoje)+(DATE(YEAR(Hoje),MONTH(I19),DAY(I19))&lt;Hoje),MONTH(I19),DAY(I19)))</f>
        <v/>
      </c>
      <c r="K19" s="210" t="str">
        <f>IF(J19="","",J19-Hoje)</f>
        <v/>
      </c>
      <c r="L19" s="210" t="str">
        <f>IF(B19="","",COUNTIFS($R$10:$R$609,B19,$Q$10:$Q$609,"&gt;="&amp;IniAno,$Q$10:$Q$609,"&lt;="&amp;FimAno))</f>
        <v/>
      </c>
      <c r="M19" s="135" t="n"/>
      <c r="N19" t="str">
        <f>IF(AND(B19&lt;&gt;"",N(E19)&gt;0),IF(F19="",99,G19/E19)+ROW()/1000000,"")</f>
        <v/>
      </c>
      <c r="O19" t="str">
        <f>IF(K19="","",K19+ROW()/1000000)</f>
        <v/>
      </c>
      <c r="Q19" s="130" t="n"/>
      <c r="R19" s="129" t="n"/>
      <c r="S19" s="129" t="n"/>
      <c r="T19" s="106" t="n"/>
      <c r="U19" s="106" t="n"/>
      <c r="V19" s="129" t="n"/>
      <c r="W19" s="138" t="str">
        <f>IF(R19="","",IFERROR(INDEX($C$10:$C$69,MATCH(R19,$B$10:$B$69,0)),"—"))</f>
        <v/>
      </c>
    </row>
    <row r="20">
      <c r="B20" s="129" t="n"/>
      <c r="C20" s="129" t="n"/>
      <c r="D20" s="129" t="n"/>
      <c r="E20" s="106" t="n"/>
      <c r="F20" s="137" t="str">
        <f>IF(B20="","",IF(SUMPRODUCT(MAX(($R$10:$R$609=B20)*($Q$10:$Q$609&lt;=Hoje)*$Q$10:$Q$609))=0,"",SUMPRODUCT(MAX(($R$10:$R$609=B20)*($Q$10:$Q$609&lt;=Hoje)*$Q$10:$Q$609))))</f>
        <v/>
      </c>
      <c r="G20" s="210" t="str">
        <f>IF(OR(B20="",F20=""),"",Hoje-F20)</f>
        <v/>
      </c>
      <c r="H20" s="138" t="str">
        <f>IF(B20="","",IF(N(E20)=0,"○ Sem frequência",IF(F20="","✖ Sem registro",IF(G20&gt;E20,"✖ Atrasado",IF(G20&gt;=0.8*E20,"▲ Em breve","✔ Em dia")))))</f>
        <v/>
      </c>
      <c r="I20" s="130" t="n"/>
      <c r="J20" s="137" t="str">
        <f>IF(OR(B20="",I20=""),"",DATE(YEAR(Hoje)+(DATE(YEAR(Hoje),MONTH(I20),DAY(I20))&lt;Hoje),MONTH(I20),DAY(I20)))</f>
        <v/>
      </c>
      <c r="K20" s="210" t="str">
        <f>IF(J20="","",J20-Hoje)</f>
        <v/>
      </c>
      <c r="L20" s="210" t="str">
        <f>IF(B20="","",COUNTIFS($R$10:$R$609,B20,$Q$10:$Q$609,"&gt;="&amp;IniAno,$Q$10:$Q$609,"&lt;="&amp;FimAno))</f>
        <v/>
      </c>
      <c r="M20" s="135" t="n"/>
      <c r="N20" t="str">
        <f>IF(AND(B20&lt;&gt;"",N(E20)&gt;0),IF(F20="",99,G20/E20)+ROW()/1000000,"")</f>
        <v/>
      </c>
      <c r="O20" t="str">
        <f>IF(K20="","",K20+ROW()/1000000)</f>
        <v/>
      </c>
      <c r="Q20" s="130" t="n"/>
      <c r="R20" s="129" t="n"/>
      <c r="S20" s="129" t="n"/>
      <c r="T20" s="106" t="n"/>
      <c r="U20" s="106" t="n"/>
      <c r="V20" s="129" t="n"/>
      <c r="W20" s="138" t="str">
        <f>IF(R20="","",IFERROR(INDEX($C$10:$C$69,MATCH(R20,$B$10:$B$69,0)),"—"))</f>
        <v/>
      </c>
    </row>
    <row r="21">
      <c r="B21" s="129" t="n"/>
      <c r="C21" s="129" t="n"/>
      <c r="D21" s="129" t="n"/>
      <c r="E21" s="106" t="n"/>
      <c r="F21" s="137" t="str">
        <f>IF(B21="","",IF(SUMPRODUCT(MAX(($R$10:$R$609=B21)*($Q$10:$Q$609&lt;=Hoje)*$Q$10:$Q$609))=0,"",SUMPRODUCT(MAX(($R$10:$R$609=B21)*($Q$10:$Q$609&lt;=Hoje)*$Q$10:$Q$609))))</f>
        <v/>
      </c>
      <c r="G21" s="210" t="str">
        <f>IF(OR(B21="",F21=""),"",Hoje-F21)</f>
        <v/>
      </c>
      <c r="H21" s="138" t="str">
        <f>IF(B21="","",IF(N(E21)=0,"○ Sem frequência",IF(F21="","✖ Sem registro",IF(G21&gt;E21,"✖ Atrasado",IF(G21&gt;=0.8*E21,"▲ Em breve","✔ Em dia")))))</f>
        <v/>
      </c>
      <c r="I21" s="130" t="n"/>
      <c r="J21" s="137" t="str">
        <f>IF(OR(B21="",I21=""),"",DATE(YEAR(Hoje)+(DATE(YEAR(Hoje),MONTH(I21),DAY(I21))&lt;Hoje),MONTH(I21),DAY(I21)))</f>
        <v/>
      </c>
      <c r="K21" s="210" t="str">
        <f>IF(J21="","",J21-Hoje)</f>
        <v/>
      </c>
      <c r="L21" s="210" t="str">
        <f>IF(B21="","",COUNTIFS($R$10:$R$609,B21,$Q$10:$Q$609,"&gt;="&amp;IniAno,$Q$10:$Q$609,"&lt;="&amp;FimAno))</f>
        <v/>
      </c>
      <c r="M21" s="135" t="n"/>
      <c r="N21" t="str">
        <f>IF(AND(B21&lt;&gt;"",N(E21)&gt;0),IF(F21="",99,G21/E21)+ROW()/1000000,"")</f>
        <v/>
      </c>
      <c r="O21" t="str">
        <f>IF(K21="","",K21+ROW()/1000000)</f>
        <v/>
      </c>
      <c r="Q21" s="130" t="n"/>
      <c r="R21" s="129" t="n"/>
      <c r="S21" s="129" t="n"/>
      <c r="T21" s="106" t="n"/>
      <c r="U21" s="106" t="n"/>
      <c r="V21" s="129" t="n"/>
      <c r="W21" s="138" t="str">
        <f>IF(R21="","",IFERROR(INDEX($C$10:$C$69,MATCH(R21,$B$10:$B$69,0)),"—"))</f>
        <v/>
      </c>
    </row>
    <row r="22">
      <c r="B22" s="129" t="n"/>
      <c r="C22" s="129" t="n"/>
      <c r="D22" s="129" t="n"/>
      <c r="E22" s="106" t="n"/>
      <c r="F22" s="137" t="str">
        <f>IF(B22="","",IF(SUMPRODUCT(MAX(($R$10:$R$609=B22)*($Q$10:$Q$609&lt;=Hoje)*$Q$10:$Q$609))=0,"",SUMPRODUCT(MAX(($R$10:$R$609=B22)*($Q$10:$Q$609&lt;=Hoje)*$Q$10:$Q$609))))</f>
        <v/>
      </c>
      <c r="G22" s="210" t="str">
        <f>IF(OR(B22="",F22=""),"",Hoje-F22)</f>
        <v/>
      </c>
      <c r="H22" s="138" t="str">
        <f>IF(B22="","",IF(N(E22)=0,"○ Sem frequência",IF(F22="","✖ Sem registro",IF(G22&gt;E22,"✖ Atrasado",IF(G22&gt;=0.8*E22,"▲ Em breve","✔ Em dia")))))</f>
        <v/>
      </c>
      <c r="I22" s="130" t="n"/>
      <c r="J22" s="137" t="str">
        <f>IF(OR(B22="",I22=""),"",DATE(YEAR(Hoje)+(DATE(YEAR(Hoje),MONTH(I22),DAY(I22))&lt;Hoje),MONTH(I22),DAY(I22)))</f>
        <v/>
      </c>
      <c r="K22" s="210" t="str">
        <f>IF(J22="","",J22-Hoje)</f>
        <v/>
      </c>
      <c r="L22" s="210" t="str">
        <f>IF(B22="","",COUNTIFS($R$10:$R$609,B22,$Q$10:$Q$609,"&gt;="&amp;IniAno,$Q$10:$Q$609,"&lt;="&amp;FimAno))</f>
        <v/>
      </c>
      <c r="M22" s="135" t="n"/>
      <c r="N22" t="str">
        <f>IF(AND(B22&lt;&gt;"",N(E22)&gt;0),IF(F22="",99,G22/E22)+ROW()/1000000,"")</f>
        <v/>
      </c>
      <c r="O22" t="str">
        <f>IF(K22="","",K22+ROW()/1000000)</f>
        <v/>
      </c>
      <c r="Q22" s="130" t="n"/>
      <c r="R22" s="129" t="n"/>
      <c r="S22" s="129" t="n"/>
      <c r="T22" s="106" t="n"/>
      <c r="U22" s="106" t="n"/>
      <c r="V22" s="129" t="n"/>
      <c r="W22" s="138" t="str">
        <f>IF(R22="","",IFERROR(INDEX($C$10:$C$69,MATCH(R22,$B$10:$B$69,0)),"—"))</f>
        <v/>
      </c>
    </row>
    <row r="23">
      <c r="B23" s="129" t="n"/>
      <c r="C23" s="129" t="n"/>
      <c r="D23" s="129" t="n"/>
      <c r="E23" s="106" t="n"/>
      <c r="F23" s="137" t="str">
        <f>IF(B23="","",IF(SUMPRODUCT(MAX(($R$10:$R$609=B23)*($Q$10:$Q$609&lt;=Hoje)*$Q$10:$Q$609))=0,"",SUMPRODUCT(MAX(($R$10:$R$609=B23)*($Q$10:$Q$609&lt;=Hoje)*$Q$10:$Q$609))))</f>
        <v/>
      </c>
      <c r="G23" s="210" t="str">
        <f>IF(OR(B23="",F23=""),"",Hoje-F23)</f>
        <v/>
      </c>
      <c r="H23" s="138" t="str">
        <f>IF(B23="","",IF(N(E23)=0,"○ Sem frequência",IF(F23="","✖ Sem registro",IF(G23&gt;E23,"✖ Atrasado",IF(G23&gt;=0.8*E23,"▲ Em breve","✔ Em dia")))))</f>
        <v/>
      </c>
      <c r="I23" s="130" t="n"/>
      <c r="J23" s="137" t="str">
        <f>IF(OR(B23="",I23=""),"",DATE(YEAR(Hoje)+(DATE(YEAR(Hoje),MONTH(I23),DAY(I23))&lt;Hoje),MONTH(I23),DAY(I23)))</f>
        <v/>
      </c>
      <c r="K23" s="210" t="str">
        <f>IF(J23="","",J23-Hoje)</f>
        <v/>
      </c>
      <c r="L23" s="210" t="str">
        <f>IF(B23="","",COUNTIFS($R$10:$R$609,B23,$Q$10:$Q$609,"&gt;="&amp;IniAno,$Q$10:$Q$609,"&lt;="&amp;FimAno))</f>
        <v/>
      </c>
      <c r="M23" s="135" t="n"/>
      <c r="N23" t="str">
        <f>IF(AND(B23&lt;&gt;"",N(E23)&gt;0),IF(F23="",99,G23/E23)+ROW()/1000000,"")</f>
        <v/>
      </c>
      <c r="O23" t="str">
        <f>IF(K23="","",K23+ROW()/1000000)</f>
        <v/>
      </c>
      <c r="Q23" s="130" t="n"/>
      <c r="R23" s="129" t="n"/>
      <c r="S23" s="129" t="n"/>
      <c r="T23" s="106" t="n"/>
      <c r="U23" s="106" t="n"/>
      <c r="V23" s="129" t="n"/>
      <c r="W23" s="138" t="str">
        <f>IF(R23="","",IFERROR(INDEX($C$10:$C$69,MATCH(R23,$B$10:$B$69,0)),"—"))</f>
        <v/>
      </c>
    </row>
    <row r="24">
      <c r="B24" s="129" t="n"/>
      <c r="C24" s="129" t="n"/>
      <c r="D24" s="129" t="n"/>
      <c r="E24" s="106" t="n"/>
      <c r="F24" s="137" t="str">
        <f>IF(B24="","",IF(SUMPRODUCT(MAX(($R$10:$R$609=B24)*($Q$10:$Q$609&lt;=Hoje)*$Q$10:$Q$609))=0,"",SUMPRODUCT(MAX(($R$10:$R$609=B24)*($Q$10:$Q$609&lt;=Hoje)*$Q$10:$Q$609))))</f>
        <v/>
      </c>
      <c r="G24" s="210" t="str">
        <f>IF(OR(B24="",F24=""),"",Hoje-F24)</f>
        <v/>
      </c>
      <c r="H24" s="138" t="str">
        <f>IF(B24="","",IF(N(E24)=0,"○ Sem frequência",IF(F24="","✖ Sem registro",IF(G24&gt;E24,"✖ Atrasado",IF(G24&gt;=0.8*E24,"▲ Em breve","✔ Em dia")))))</f>
        <v/>
      </c>
      <c r="I24" s="130" t="n"/>
      <c r="J24" s="137" t="str">
        <f>IF(OR(B24="",I24=""),"",DATE(YEAR(Hoje)+(DATE(YEAR(Hoje),MONTH(I24),DAY(I24))&lt;Hoje),MONTH(I24),DAY(I24)))</f>
        <v/>
      </c>
      <c r="K24" s="210" t="str">
        <f>IF(J24="","",J24-Hoje)</f>
        <v/>
      </c>
      <c r="L24" s="210" t="str">
        <f>IF(B24="","",COUNTIFS($R$10:$R$609,B24,$Q$10:$Q$609,"&gt;="&amp;IniAno,$Q$10:$Q$609,"&lt;="&amp;FimAno))</f>
        <v/>
      </c>
      <c r="M24" s="135" t="n"/>
      <c r="N24" t="str">
        <f>IF(AND(B24&lt;&gt;"",N(E24)&gt;0),IF(F24="",99,G24/E24)+ROW()/1000000,"")</f>
        <v/>
      </c>
      <c r="O24" t="str">
        <f>IF(K24="","",K24+ROW()/1000000)</f>
        <v/>
      </c>
      <c r="Q24" s="130" t="n"/>
      <c r="R24" s="129" t="n"/>
      <c r="S24" s="129" t="n"/>
      <c r="T24" s="106" t="n"/>
      <c r="U24" s="106" t="n"/>
      <c r="V24" s="129" t="n"/>
      <c r="W24" s="138" t="str">
        <f>IF(R24="","",IFERROR(INDEX($C$10:$C$69,MATCH(R24,$B$10:$B$69,0)),"—"))</f>
        <v/>
      </c>
    </row>
    <row r="25">
      <c r="B25" s="129" t="n"/>
      <c r="C25" s="129" t="n"/>
      <c r="D25" s="129" t="n"/>
      <c r="E25" s="106" t="n"/>
      <c r="F25" s="137" t="str">
        <f>IF(B25="","",IF(SUMPRODUCT(MAX(($R$10:$R$609=B25)*($Q$10:$Q$609&lt;=Hoje)*$Q$10:$Q$609))=0,"",SUMPRODUCT(MAX(($R$10:$R$609=B25)*($Q$10:$Q$609&lt;=Hoje)*$Q$10:$Q$609))))</f>
        <v/>
      </c>
      <c r="G25" s="210" t="str">
        <f>IF(OR(B25="",F25=""),"",Hoje-F25)</f>
        <v/>
      </c>
      <c r="H25" s="138" t="str">
        <f>IF(B25="","",IF(N(E25)=0,"○ Sem frequência",IF(F25="","✖ Sem registro",IF(G25&gt;E25,"✖ Atrasado",IF(G25&gt;=0.8*E25,"▲ Em breve","✔ Em dia")))))</f>
        <v/>
      </c>
      <c r="I25" s="130" t="n"/>
      <c r="J25" s="137" t="str">
        <f>IF(OR(B25="",I25=""),"",DATE(YEAR(Hoje)+(DATE(YEAR(Hoje),MONTH(I25),DAY(I25))&lt;Hoje),MONTH(I25),DAY(I25)))</f>
        <v/>
      </c>
      <c r="K25" s="210" t="str">
        <f>IF(J25="","",J25-Hoje)</f>
        <v/>
      </c>
      <c r="L25" s="210" t="str">
        <f>IF(B25="","",COUNTIFS($R$10:$R$609,B25,$Q$10:$Q$609,"&gt;="&amp;IniAno,$Q$10:$Q$609,"&lt;="&amp;FimAno))</f>
        <v/>
      </c>
      <c r="M25" s="135" t="n"/>
      <c r="N25" t="str">
        <f>IF(AND(B25&lt;&gt;"",N(E25)&gt;0),IF(F25="",99,G25/E25)+ROW()/1000000,"")</f>
        <v/>
      </c>
      <c r="O25" t="str">
        <f>IF(K25="","",K25+ROW()/1000000)</f>
        <v/>
      </c>
      <c r="Q25" s="130" t="n"/>
      <c r="R25" s="129" t="n"/>
      <c r="S25" s="129" t="n"/>
      <c r="T25" s="106" t="n"/>
      <c r="U25" s="106" t="n"/>
      <c r="V25" s="129" t="n"/>
      <c r="W25" s="138" t="str">
        <f>IF(R25="","",IFERROR(INDEX($C$10:$C$69,MATCH(R25,$B$10:$B$69,0)),"—"))</f>
        <v/>
      </c>
    </row>
    <row r="26">
      <c r="B26" s="129" t="n"/>
      <c r="C26" s="129" t="n"/>
      <c r="D26" s="129" t="n"/>
      <c r="E26" s="106" t="n"/>
      <c r="F26" s="137" t="str">
        <f>IF(B26="","",IF(SUMPRODUCT(MAX(($R$10:$R$609=B26)*($Q$10:$Q$609&lt;=Hoje)*$Q$10:$Q$609))=0,"",SUMPRODUCT(MAX(($R$10:$R$609=B26)*($Q$10:$Q$609&lt;=Hoje)*$Q$10:$Q$609))))</f>
        <v/>
      </c>
      <c r="G26" s="210" t="str">
        <f>IF(OR(B26="",F26=""),"",Hoje-F26)</f>
        <v/>
      </c>
      <c r="H26" s="138" t="str">
        <f>IF(B26="","",IF(N(E26)=0,"○ Sem frequência",IF(F26="","✖ Sem registro",IF(G26&gt;E26,"✖ Atrasado",IF(G26&gt;=0.8*E26,"▲ Em breve","✔ Em dia")))))</f>
        <v/>
      </c>
      <c r="I26" s="130" t="n"/>
      <c r="J26" s="137" t="str">
        <f>IF(OR(B26="",I26=""),"",DATE(YEAR(Hoje)+(DATE(YEAR(Hoje),MONTH(I26),DAY(I26))&lt;Hoje),MONTH(I26),DAY(I26)))</f>
        <v/>
      </c>
      <c r="K26" s="210" t="str">
        <f>IF(J26="","",J26-Hoje)</f>
        <v/>
      </c>
      <c r="L26" s="210" t="str">
        <f>IF(B26="","",COUNTIFS($R$10:$R$609,B26,$Q$10:$Q$609,"&gt;="&amp;IniAno,$Q$10:$Q$609,"&lt;="&amp;FimAno))</f>
        <v/>
      </c>
      <c r="M26" s="135" t="n"/>
      <c r="N26" t="str">
        <f>IF(AND(B26&lt;&gt;"",N(E26)&gt;0),IF(F26="",99,G26/E26)+ROW()/1000000,"")</f>
        <v/>
      </c>
      <c r="O26" t="str">
        <f>IF(K26="","",K26+ROW()/1000000)</f>
        <v/>
      </c>
      <c r="Q26" s="130" t="n"/>
      <c r="R26" s="129" t="n"/>
      <c r="S26" s="129" t="n"/>
      <c r="T26" s="106" t="n"/>
      <c r="U26" s="106" t="n"/>
      <c r="V26" s="129" t="n"/>
      <c r="W26" s="138" t="str">
        <f>IF(R26="","",IFERROR(INDEX($C$10:$C$69,MATCH(R26,$B$10:$B$69,0)),"—"))</f>
        <v/>
      </c>
    </row>
    <row r="27">
      <c r="B27" s="129" t="n"/>
      <c r="C27" s="129" t="n"/>
      <c r="D27" s="129" t="n"/>
      <c r="E27" s="106" t="n"/>
      <c r="F27" s="137" t="str">
        <f>IF(B27="","",IF(SUMPRODUCT(MAX(($R$10:$R$609=B27)*($Q$10:$Q$609&lt;=Hoje)*$Q$10:$Q$609))=0,"",SUMPRODUCT(MAX(($R$10:$R$609=B27)*($Q$10:$Q$609&lt;=Hoje)*$Q$10:$Q$609))))</f>
        <v/>
      </c>
      <c r="G27" s="210" t="str">
        <f>IF(OR(B27="",F27=""),"",Hoje-F27)</f>
        <v/>
      </c>
      <c r="H27" s="138" t="str">
        <f>IF(B27="","",IF(N(E27)=0,"○ Sem frequência",IF(F27="","✖ Sem registro",IF(G27&gt;E27,"✖ Atrasado",IF(G27&gt;=0.8*E27,"▲ Em breve","✔ Em dia")))))</f>
        <v/>
      </c>
      <c r="I27" s="130" t="n"/>
      <c r="J27" s="137" t="str">
        <f>IF(OR(B27="",I27=""),"",DATE(YEAR(Hoje)+(DATE(YEAR(Hoje),MONTH(I27),DAY(I27))&lt;Hoje),MONTH(I27),DAY(I27)))</f>
        <v/>
      </c>
      <c r="K27" s="210" t="str">
        <f>IF(J27="","",J27-Hoje)</f>
        <v/>
      </c>
      <c r="L27" s="210" t="str">
        <f>IF(B27="","",COUNTIFS($R$10:$R$609,B27,$Q$10:$Q$609,"&gt;="&amp;IniAno,$Q$10:$Q$609,"&lt;="&amp;FimAno))</f>
        <v/>
      </c>
      <c r="M27" s="135" t="n"/>
      <c r="N27" t="str">
        <f>IF(AND(B27&lt;&gt;"",N(E27)&gt;0),IF(F27="",99,G27/E27)+ROW()/1000000,"")</f>
        <v/>
      </c>
      <c r="O27" t="str">
        <f>IF(K27="","",K27+ROW()/1000000)</f>
        <v/>
      </c>
      <c r="Q27" s="130" t="n"/>
      <c r="R27" s="129" t="n"/>
      <c r="S27" s="129" t="n"/>
      <c r="T27" s="106" t="n"/>
      <c r="U27" s="106" t="n"/>
      <c r="V27" s="129" t="n"/>
      <c r="W27" s="138" t="str">
        <f>IF(R27="","",IFERROR(INDEX($C$10:$C$69,MATCH(R27,$B$10:$B$69,0)),"—"))</f>
        <v/>
      </c>
    </row>
    <row r="28">
      <c r="B28" s="129" t="n"/>
      <c r="C28" s="129" t="n"/>
      <c r="D28" s="129" t="n"/>
      <c r="E28" s="106" t="n"/>
      <c r="F28" s="137" t="str">
        <f>IF(B28="","",IF(SUMPRODUCT(MAX(($R$10:$R$609=B28)*($Q$10:$Q$609&lt;=Hoje)*$Q$10:$Q$609))=0,"",SUMPRODUCT(MAX(($R$10:$R$609=B28)*($Q$10:$Q$609&lt;=Hoje)*$Q$10:$Q$609))))</f>
        <v/>
      </c>
      <c r="G28" s="210" t="str">
        <f>IF(OR(B28="",F28=""),"",Hoje-F28)</f>
        <v/>
      </c>
      <c r="H28" s="138" t="str">
        <f>IF(B28="","",IF(N(E28)=0,"○ Sem frequência",IF(F28="","✖ Sem registro",IF(G28&gt;E28,"✖ Atrasado",IF(G28&gt;=0.8*E28,"▲ Em breve","✔ Em dia")))))</f>
        <v/>
      </c>
      <c r="I28" s="130" t="n"/>
      <c r="J28" s="137" t="str">
        <f>IF(OR(B28="",I28=""),"",DATE(YEAR(Hoje)+(DATE(YEAR(Hoje),MONTH(I28),DAY(I28))&lt;Hoje),MONTH(I28),DAY(I28)))</f>
        <v/>
      </c>
      <c r="K28" s="210" t="str">
        <f>IF(J28="","",J28-Hoje)</f>
        <v/>
      </c>
      <c r="L28" s="210" t="str">
        <f>IF(B28="","",COUNTIFS($R$10:$R$609,B28,$Q$10:$Q$609,"&gt;="&amp;IniAno,$Q$10:$Q$609,"&lt;="&amp;FimAno))</f>
        <v/>
      </c>
      <c r="M28" s="135" t="n"/>
      <c r="N28" t="str">
        <f>IF(AND(B28&lt;&gt;"",N(E28)&gt;0),IF(F28="",99,G28/E28)+ROW()/1000000,"")</f>
        <v/>
      </c>
      <c r="O28" t="str">
        <f>IF(K28="","",K28+ROW()/1000000)</f>
        <v/>
      </c>
      <c r="Q28" s="130" t="n"/>
      <c r="R28" s="129" t="n"/>
      <c r="S28" s="129" t="n"/>
      <c r="T28" s="106" t="n"/>
      <c r="U28" s="106" t="n"/>
      <c r="V28" s="129" t="n"/>
      <c r="W28" s="138" t="str">
        <f>IF(R28="","",IFERROR(INDEX($C$10:$C$69,MATCH(R28,$B$10:$B$69,0)),"—"))</f>
        <v/>
      </c>
    </row>
    <row r="29">
      <c r="B29" s="129" t="n"/>
      <c r="C29" s="129" t="n"/>
      <c r="D29" s="129" t="n"/>
      <c r="E29" s="106" t="n"/>
      <c r="F29" s="137" t="str">
        <f>IF(B29="","",IF(SUMPRODUCT(MAX(($R$10:$R$609=B29)*($Q$10:$Q$609&lt;=Hoje)*$Q$10:$Q$609))=0,"",SUMPRODUCT(MAX(($R$10:$R$609=B29)*($Q$10:$Q$609&lt;=Hoje)*$Q$10:$Q$609))))</f>
        <v/>
      </c>
      <c r="G29" s="210" t="str">
        <f>IF(OR(B29="",F29=""),"",Hoje-F29)</f>
        <v/>
      </c>
      <c r="H29" s="138" t="str">
        <f>IF(B29="","",IF(N(E29)=0,"○ Sem frequência",IF(F29="","✖ Sem registro",IF(G29&gt;E29,"✖ Atrasado",IF(G29&gt;=0.8*E29,"▲ Em breve","✔ Em dia")))))</f>
        <v/>
      </c>
      <c r="I29" s="130" t="n"/>
      <c r="J29" s="137" t="str">
        <f>IF(OR(B29="",I29=""),"",DATE(YEAR(Hoje)+(DATE(YEAR(Hoje),MONTH(I29),DAY(I29))&lt;Hoje),MONTH(I29),DAY(I29)))</f>
        <v/>
      </c>
      <c r="K29" s="210" t="str">
        <f>IF(J29="","",J29-Hoje)</f>
        <v/>
      </c>
      <c r="L29" s="210" t="str">
        <f>IF(B29="","",COUNTIFS($R$10:$R$609,B29,$Q$10:$Q$609,"&gt;="&amp;IniAno,$Q$10:$Q$609,"&lt;="&amp;FimAno))</f>
        <v/>
      </c>
      <c r="M29" s="135" t="n"/>
      <c r="N29" t="str">
        <f>IF(AND(B29&lt;&gt;"",N(E29)&gt;0),IF(F29="",99,G29/E29)+ROW()/1000000,"")</f>
        <v/>
      </c>
      <c r="O29" t="str">
        <f>IF(K29="","",K29+ROW()/1000000)</f>
        <v/>
      </c>
      <c r="Q29" s="130" t="n"/>
      <c r="R29" s="129" t="n"/>
      <c r="S29" s="129" t="n"/>
      <c r="T29" s="106" t="n"/>
      <c r="U29" s="106" t="n"/>
      <c r="V29" s="129" t="n"/>
      <c r="W29" s="138" t="str">
        <f>IF(R29="","",IFERROR(INDEX($C$10:$C$69,MATCH(R29,$B$10:$B$69,0)),"—"))</f>
        <v/>
      </c>
    </row>
    <row r="30">
      <c r="B30" s="129" t="n"/>
      <c r="C30" s="129" t="n"/>
      <c r="D30" s="129" t="n"/>
      <c r="E30" s="106" t="n"/>
      <c r="F30" s="137" t="str">
        <f>IF(B30="","",IF(SUMPRODUCT(MAX(($R$10:$R$609=B30)*($Q$10:$Q$609&lt;=Hoje)*$Q$10:$Q$609))=0,"",SUMPRODUCT(MAX(($R$10:$R$609=B30)*($Q$10:$Q$609&lt;=Hoje)*$Q$10:$Q$609))))</f>
        <v/>
      </c>
      <c r="G30" s="210" t="str">
        <f>IF(OR(B30="",F30=""),"",Hoje-F30)</f>
        <v/>
      </c>
      <c r="H30" s="138" t="str">
        <f>IF(B30="","",IF(N(E30)=0,"○ Sem frequência",IF(F30="","✖ Sem registro",IF(G30&gt;E30,"✖ Atrasado",IF(G30&gt;=0.8*E30,"▲ Em breve","✔ Em dia")))))</f>
        <v/>
      </c>
      <c r="I30" s="130" t="n"/>
      <c r="J30" s="137" t="str">
        <f>IF(OR(B30="",I30=""),"",DATE(YEAR(Hoje)+(DATE(YEAR(Hoje),MONTH(I30),DAY(I30))&lt;Hoje),MONTH(I30),DAY(I30)))</f>
        <v/>
      </c>
      <c r="K30" s="210" t="str">
        <f>IF(J30="","",J30-Hoje)</f>
        <v/>
      </c>
      <c r="L30" s="210" t="str">
        <f>IF(B30="","",COUNTIFS($R$10:$R$609,B30,$Q$10:$Q$609,"&gt;="&amp;IniAno,$Q$10:$Q$609,"&lt;="&amp;FimAno))</f>
        <v/>
      </c>
      <c r="M30" s="135" t="n"/>
      <c r="N30" t="str">
        <f>IF(AND(B30&lt;&gt;"",N(E30)&gt;0),IF(F30="",99,G30/E30)+ROW()/1000000,"")</f>
        <v/>
      </c>
      <c r="O30" t="str">
        <f>IF(K30="","",K30+ROW()/1000000)</f>
        <v/>
      </c>
      <c r="Q30" s="130" t="n"/>
      <c r="R30" s="129" t="n"/>
      <c r="S30" s="129" t="n"/>
      <c r="T30" s="106" t="n"/>
      <c r="U30" s="106" t="n"/>
      <c r="V30" s="129" t="n"/>
      <c r="W30" s="138" t="str">
        <f>IF(R30="","",IFERROR(INDEX($C$10:$C$69,MATCH(R30,$B$10:$B$69,0)),"—"))</f>
        <v/>
      </c>
    </row>
    <row r="31">
      <c r="B31" s="129" t="n"/>
      <c r="C31" s="129" t="n"/>
      <c r="D31" s="129" t="n"/>
      <c r="E31" s="106" t="n"/>
      <c r="F31" s="137" t="str">
        <f>IF(B31="","",IF(SUMPRODUCT(MAX(($R$10:$R$609=B31)*($Q$10:$Q$609&lt;=Hoje)*$Q$10:$Q$609))=0,"",SUMPRODUCT(MAX(($R$10:$R$609=B31)*($Q$10:$Q$609&lt;=Hoje)*$Q$10:$Q$609))))</f>
        <v/>
      </c>
      <c r="G31" s="210" t="str">
        <f>IF(OR(B31="",F31=""),"",Hoje-F31)</f>
        <v/>
      </c>
      <c r="H31" s="138" t="str">
        <f>IF(B31="","",IF(N(E31)=0,"○ Sem frequência",IF(F31="","✖ Sem registro",IF(G31&gt;E31,"✖ Atrasado",IF(G31&gt;=0.8*E31,"▲ Em breve","✔ Em dia")))))</f>
        <v/>
      </c>
      <c r="I31" s="130" t="n"/>
      <c r="J31" s="137" t="str">
        <f>IF(OR(B31="",I31=""),"",DATE(YEAR(Hoje)+(DATE(YEAR(Hoje),MONTH(I31),DAY(I31))&lt;Hoje),MONTH(I31),DAY(I31)))</f>
        <v/>
      </c>
      <c r="K31" s="210" t="str">
        <f>IF(J31="","",J31-Hoje)</f>
        <v/>
      </c>
      <c r="L31" s="210" t="str">
        <f>IF(B31="","",COUNTIFS($R$10:$R$609,B31,$Q$10:$Q$609,"&gt;="&amp;IniAno,$Q$10:$Q$609,"&lt;="&amp;FimAno))</f>
        <v/>
      </c>
      <c r="M31" s="135" t="n"/>
      <c r="N31" t="str">
        <f>IF(AND(B31&lt;&gt;"",N(E31)&gt;0),IF(F31="",99,G31/E31)+ROW()/1000000,"")</f>
        <v/>
      </c>
      <c r="O31" t="str">
        <f>IF(K31="","",K31+ROW()/1000000)</f>
        <v/>
      </c>
      <c r="Q31" s="130" t="n"/>
      <c r="R31" s="129" t="n"/>
      <c r="S31" s="129" t="n"/>
      <c r="T31" s="106" t="n"/>
      <c r="U31" s="106" t="n"/>
      <c r="V31" s="129" t="n"/>
      <c r="W31" s="138" t="str">
        <f>IF(R31="","",IFERROR(INDEX($C$10:$C$69,MATCH(R31,$B$10:$B$69,0)),"—"))</f>
        <v/>
      </c>
    </row>
    <row r="32">
      <c r="B32" s="129" t="n"/>
      <c r="C32" s="129" t="n"/>
      <c r="D32" s="129" t="n"/>
      <c r="E32" s="106" t="n"/>
      <c r="F32" s="137" t="str">
        <f>IF(B32="","",IF(SUMPRODUCT(MAX(($R$10:$R$609=B32)*($Q$10:$Q$609&lt;=Hoje)*$Q$10:$Q$609))=0,"",SUMPRODUCT(MAX(($R$10:$R$609=B32)*($Q$10:$Q$609&lt;=Hoje)*$Q$10:$Q$609))))</f>
        <v/>
      </c>
      <c r="G32" s="210" t="str">
        <f>IF(OR(B32="",F32=""),"",Hoje-F32)</f>
        <v/>
      </c>
      <c r="H32" s="138" t="str">
        <f>IF(B32="","",IF(N(E32)=0,"○ Sem frequência",IF(F32="","✖ Sem registro",IF(G32&gt;E32,"✖ Atrasado",IF(G32&gt;=0.8*E32,"▲ Em breve","✔ Em dia")))))</f>
        <v/>
      </c>
      <c r="I32" s="130" t="n"/>
      <c r="J32" s="137" t="str">
        <f>IF(OR(B32="",I32=""),"",DATE(YEAR(Hoje)+(DATE(YEAR(Hoje),MONTH(I32),DAY(I32))&lt;Hoje),MONTH(I32),DAY(I32)))</f>
        <v/>
      </c>
      <c r="K32" s="210" t="str">
        <f>IF(J32="","",J32-Hoje)</f>
        <v/>
      </c>
      <c r="L32" s="210" t="str">
        <f>IF(B32="","",COUNTIFS($R$10:$R$609,B32,$Q$10:$Q$609,"&gt;="&amp;IniAno,$Q$10:$Q$609,"&lt;="&amp;FimAno))</f>
        <v/>
      </c>
      <c r="M32" s="135" t="n"/>
      <c r="N32" t="str">
        <f>IF(AND(B32&lt;&gt;"",N(E32)&gt;0),IF(F32="",99,G32/E32)+ROW()/1000000,"")</f>
        <v/>
      </c>
      <c r="O32" t="str">
        <f>IF(K32="","",K32+ROW()/1000000)</f>
        <v/>
      </c>
      <c r="Q32" s="130" t="n"/>
      <c r="R32" s="129" t="n"/>
      <c r="S32" s="129" t="n"/>
      <c r="T32" s="106" t="n"/>
      <c r="U32" s="106" t="n"/>
      <c r="V32" s="129" t="n"/>
      <c r="W32" s="138" t="str">
        <f>IF(R32="","",IFERROR(INDEX($C$10:$C$69,MATCH(R32,$B$10:$B$69,0)),"—"))</f>
        <v/>
      </c>
    </row>
    <row r="33">
      <c r="B33" s="129" t="n"/>
      <c r="C33" s="129" t="n"/>
      <c r="D33" s="129" t="n"/>
      <c r="E33" s="106" t="n"/>
      <c r="F33" s="137" t="str">
        <f>IF(B33="","",IF(SUMPRODUCT(MAX(($R$10:$R$609=B33)*($Q$10:$Q$609&lt;=Hoje)*$Q$10:$Q$609))=0,"",SUMPRODUCT(MAX(($R$10:$R$609=B33)*($Q$10:$Q$609&lt;=Hoje)*$Q$10:$Q$609))))</f>
        <v/>
      </c>
      <c r="G33" s="210" t="str">
        <f>IF(OR(B33="",F33=""),"",Hoje-F33)</f>
        <v/>
      </c>
      <c r="H33" s="138" t="str">
        <f>IF(B33="","",IF(N(E33)=0,"○ Sem frequência",IF(F33="","✖ Sem registro",IF(G33&gt;E33,"✖ Atrasado",IF(G33&gt;=0.8*E33,"▲ Em breve","✔ Em dia")))))</f>
        <v/>
      </c>
      <c r="I33" s="130" t="n"/>
      <c r="J33" s="137" t="str">
        <f>IF(OR(B33="",I33=""),"",DATE(YEAR(Hoje)+(DATE(YEAR(Hoje),MONTH(I33),DAY(I33))&lt;Hoje),MONTH(I33),DAY(I33)))</f>
        <v/>
      </c>
      <c r="K33" s="210" t="str">
        <f>IF(J33="","",J33-Hoje)</f>
        <v/>
      </c>
      <c r="L33" s="210" t="str">
        <f>IF(B33="","",COUNTIFS($R$10:$R$609,B33,$Q$10:$Q$609,"&gt;="&amp;IniAno,$Q$10:$Q$609,"&lt;="&amp;FimAno))</f>
        <v/>
      </c>
      <c r="M33" s="135" t="n"/>
      <c r="N33" t="str">
        <f>IF(AND(B33&lt;&gt;"",N(E33)&gt;0),IF(F33="",99,G33/E33)+ROW()/1000000,"")</f>
        <v/>
      </c>
      <c r="O33" t="str">
        <f>IF(K33="","",K33+ROW()/1000000)</f>
        <v/>
      </c>
      <c r="Q33" s="130" t="n"/>
      <c r="R33" s="129" t="n"/>
      <c r="S33" s="129" t="n"/>
      <c r="T33" s="106" t="n"/>
      <c r="U33" s="106" t="n"/>
      <c r="V33" s="129" t="n"/>
      <c r="W33" s="138" t="str">
        <f>IF(R33="","",IFERROR(INDEX($C$10:$C$69,MATCH(R33,$B$10:$B$69,0)),"—"))</f>
        <v/>
      </c>
    </row>
    <row r="34">
      <c r="B34" s="129" t="n"/>
      <c r="C34" s="129" t="n"/>
      <c r="D34" s="129" t="n"/>
      <c r="E34" s="106" t="n"/>
      <c r="F34" s="137" t="str">
        <f>IF(B34="","",IF(SUMPRODUCT(MAX(($R$10:$R$609=B34)*($Q$10:$Q$609&lt;=Hoje)*$Q$10:$Q$609))=0,"",SUMPRODUCT(MAX(($R$10:$R$609=B34)*($Q$10:$Q$609&lt;=Hoje)*$Q$10:$Q$609))))</f>
        <v/>
      </c>
      <c r="G34" s="210" t="str">
        <f>IF(OR(B34="",F34=""),"",Hoje-F34)</f>
        <v/>
      </c>
      <c r="H34" s="138" t="str">
        <f>IF(B34="","",IF(N(E34)=0,"○ Sem frequência",IF(F34="","✖ Sem registro",IF(G34&gt;E34,"✖ Atrasado",IF(G34&gt;=0.8*E34,"▲ Em breve","✔ Em dia")))))</f>
        <v/>
      </c>
      <c r="I34" s="130" t="n"/>
      <c r="J34" s="137" t="str">
        <f>IF(OR(B34="",I34=""),"",DATE(YEAR(Hoje)+(DATE(YEAR(Hoje),MONTH(I34),DAY(I34))&lt;Hoje),MONTH(I34),DAY(I34)))</f>
        <v/>
      </c>
      <c r="K34" s="210" t="str">
        <f>IF(J34="","",J34-Hoje)</f>
        <v/>
      </c>
      <c r="L34" s="210" t="str">
        <f>IF(B34="","",COUNTIFS($R$10:$R$609,B34,$Q$10:$Q$609,"&gt;="&amp;IniAno,$Q$10:$Q$609,"&lt;="&amp;FimAno))</f>
        <v/>
      </c>
      <c r="M34" s="135" t="n"/>
      <c r="N34" t="str">
        <f>IF(AND(B34&lt;&gt;"",N(E34)&gt;0),IF(F34="",99,G34/E34)+ROW()/1000000,"")</f>
        <v/>
      </c>
      <c r="O34" t="str">
        <f>IF(K34="","",K34+ROW()/1000000)</f>
        <v/>
      </c>
      <c r="Q34" s="130" t="n"/>
      <c r="R34" s="129" t="n"/>
      <c r="S34" s="129" t="n"/>
      <c r="T34" s="106" t="n"/>
      <c r="U34" s="106" t="n"/>
      <c r="V34" s="129" t="n"/>
      <c r="W34" s="138" t="str">
        <f>IF(R34="","",IFERROR(INDEX($C$10:$C$69,MATCH(R34,$B$10:$B$69,0)),"—"))</f>
        <v/>
      </c>
    </row>
    <row r="35">
      <c r="B35" s="129" t="n"/>
      <c r="C35" s="129" t="n"/>
      <c r="D35" s="129" t="n"/>
      <c r="E35" s="106" t="n"/>
      <c r="F35" s="137" t="str">
        <f>IF(B35="","",IF(SUMPRODUCT(MAX(($R$10:$R$609=B35)*($Q$10:$Q$609&lt;=Hoje)*$Q$10:$Q$609))=0,"",SUMPRODUCT(MAX(($R$10:$R$609=B35)*($Q$10:$Q$609&lt;=Hoje)*$Q$10:$Q$609))))</f>
        <v/>
      </c>
      <c r="G35" s="210" t="str">
        <f>IF(OR(B35="",F35=""),"",Hoje-F35)</f>
        <v/>
      </c>
      <c r="H35" s="138" t="str">
        <f>IF(B35="","",IF(N(E35)=0,"○ Sem frequência",IF(F35="","✖ Sem registro",IF(G35&gt;E35,"✖ Atrasado",IF(G35&gt;=0.8*E35,"▲ Em breve","✔ Em dia")))))</f>
        <v/>
      </c>
      <c r="I35" s="130" t="n"/>
      <c r="J35" s="137" t="str">
        <f>IF(OR(B35="",I35=""),"",DATE(YEAR(Hoje)+(DATE(YEAR(Hoje),MONTH(I35),DAY(I35))&lt;Hoje),MONTH(I35),DAY(I35)))</f>
        <v/>
      </c>
      <c r="K35" s="210" t="str">
        <f>IF(J35="","",J35-Hoje)</f>
        <v/>
      </c>
      <c r="L35" s="210" t="str">
        <f>IF(B35="","",COUNTIFS($R$10:$R$609,B35,$Q$10:$Q$609,"&gt;="&amp;IniAno,$Q$10:$Q$609,"&lt;="&amp;FimAno))</f>
        <v/>
      </c>
      <c r="M35" s="135" t="n"/>
      <c r="N35" t="str">
        <f>IF(AND(B35&lt;&gt;"",N(E35)&gt;0),IF(F35="",99,G35/E35)+ROW()/1000000,"")</f>
        <v/>
      </c>
      <c r="O35" t="str">
        <f>IF(K35="","",K35+ROW()/1000000)</f>
        <v/>
      </c>
      <c r="Q35" s="130" t="n"/>
      <c r="R35" s="129" t="n"/>
      <c r="S35" s="129" t="n"/>
      <c r="T35" s="106" t="n"/>
      <c r="U35" s="106" t="n"/>
      <c r="V35" s="129" t="n"/>
      <c r="W35" s="138" t="str">
        <f>IF(R35="","",IFERROR(INDEX($C$10:$C$69,MATCH(R35,$B$10:$B$69,0)),"—"))</f>
        <v/>
      </c>
    </row>
    <row r="36">
      <c r="B36" s="129" t="n"/>
      <c r="C36" s="129" t="n"/>
      <c r="D36" s="129" t="n"/>
      <c r="E36" s="106" t="n"/>
      <c r="F36" s="137" t="str">
        <f>IF(B36="","",IF(SUMPRODUCT(MAX(($R$10:$R$609=B36)*($Q$10:$Q$609&lt;=Hoje)*$Q$10:$Q$609))=0,"",SUMPRODUCT(MAX(($R$10:$R$609=B36)*($Q$10:$Q$609&lt;=Hoje)*$Q$10:$Q$609))))</f>
        <v/>
      </c>
      <c r="G36" s="210" t="str">
        <f>IF(OR(B36="",F36=""),"",Hoje-F36)</f>
        <v/>
      </c>
      <c r="H36" s="138" t="str">
        <f>IF(B36="","",IF(N(E36)=0,"○ Sem frequência",IF(F36="","✖ Sem registro",IF(G36&gt;E36,"✖ Atrasado",IF(G36&gt;=0.8*E36,"▲ Em breve","✔ Em dia")))))</f>
        <v/>
      </c>
      <c r="I36" s="130" t="n"/>
      <c r="J36" s="137" t="str">
        <f>IF(OR(B36="",I36=""),"",DATE(YEAR(Hoje)+(DATE(YEAR(Hoje),MONTH(I36),DAY(I36))&lt;Hoje),MONTH(I36),DAY(I36)))</f>
        <v/>
      </c>
      <c r="K36" s="210" t="str">
        <f>IF(J36="","",J36-Hoje)</f>
        <v/>
      </c>
      <c r="L36" s="210" t="str">
        <f>IF(B36="","",COUNTIFS($R$10:$R$609,B36,$Q$10:$Q$609,"&gt;="&amp;IniAno,$Q$10:$Q$609,"&lt;="&amp;FimAno))</f>
        <v/>
      </c>
      <c r="M36" s="135" t="n"/>
      <c r="N36" t="str">
        <f>IF(AND(B36&lt;&gt;"",N(E36)&gt;0),IF(F36="",99,G36/E36)+ROW()/1000000,"")</f>
        <v/>
      </c>
      <c r="O36" t="str">
        <f>IF(K36="","",K36+ROW()/1000000)</f>
        <v/>
      </c>
      <c r="Q36" s="130" t="n"/>
      <c r="R36" s="129" t="n"/>
      <c r="S36" s="129" t="n"/>
      <c r="T36" s="106" t="n"/>
      <c r="U36" s="106" t="n"/>
      <c r="V36" s="129" t="n"/>
      <c r="W36" s="138" t="str">
        <f>IF(R36="","",IFERROR(INDEX($C$10:$C$69,MATCH(R36,$B$10:$B$69,0)),"—"))</f>
        <v/>
      </c>
    </row>
    <row r="37">
      <c r="B37" s="129" t="n"/>
      <c r="C37" s="129" t="n"/>
      <c r="D37" s="129" t="n"/>
      <c r="E37" s="106" t="n"/>
      <c r="F37" s="137" t="str">
        <f>IF(B37="","",IF(SUMPRODUCT(MAX(($R$10:$R$609=B37)*($Q$10:$Q$609&lt;=Hoje)*$Q$10:$Q$609))=0,"",SUMPRODUCT(MAX(($R$10:$R$609=B37)*($Q$10:$Q$609&lt;=Hoje)*$Q$10:$Q$609))))</f>
        <v/>
      </c>
      <c r="G37" s="210" t="str">
        <f>IF(OR(B37="",F37=""),"",Hoje-F37)</f>
        <v/>
      </c>
      <c r="H37" s="138" t="str">
        <f>IF(B37="","",IF(N(E37)=0,"○ Sem frequência",IF(F37="","✖ Sem registro",IF(G37&gt;E37,"✖ Atrasado",IF(G37&gt;=0.8*E37,"▲ Em breve","✔ Em dia")))))</f>
        <v/>
      </c>
      <c r="I37" s="130" t="n"/>
      <c r="J37" s="137" t="str">
        <f>IF(OR(B37="",I37=""),"",DATE(YEAR(Hoje)+(DATE(YEAR(Hoje),MONTH(I37),DAY(I37))&lt;Hoje),MONTH(I37),DAY(I37)))</f>
        <v/>
      </c>
      <c r="K37" s="210" t="str">
        <f>IF(J37="","",J37-Hoje)</f>
        <v/>
      </c>
      <c r="L37" s="210" t="str">
        <f>IF(B37="","",COUNTIFS($R$10:$R$609,B37,$Q$10:$Q$609,"&gt;="&amp;IniAno,$Q$10:$Q$609,"&lt;="&amp;FimAno))</f>
        <v/>
      </c>
      <c r="M37" s="135" t="n"/>
      <c r="N37" t="str">
        <f>IF(AND(B37&lt;&gt;"",N(E37)&gt;0),IF(F37="",99,G37/E37)+ROW()/1000000,"")</f>
        <v/>
      </c>
      <c r="O37" t="str">
        <f>IF(K37="","",K37+ROW()/1000000)</f>
        <v/>
      </c>
      <c r="Q37" s="130" t="n"/>
      <c r="R37" s="129" t="n"/>
      <c r="S37" s="129" t="n"/>
      <c r="T37" s="106" t="n"/>
      <c r="U37" s="106" t="n"/>
      <c r="V37" s="129" t="n"/>
      <c r="W37" s="138" t="str">
        <f>IF(R37="","",IFERROR(INDEX($C$10:$C$69,MATCH(R37,$B$10:$B$69,0)),"—"))</f>
        <v/>
      </c>
    </row>
    <row r="38">
      <c r="B38" s="129" t="n"/>
      <c r="C38" s="129" t="n"/>
      <c r="D38" s="129" t="n"/>
      <c r="E38" s="106" t="n"/>
      <c r="F38" s="137" t="str">
        <f>IF(B38="","",IF(SUMPRODUCT(MAX(($R$10:$R$609=B38)*($Q$10:$Q$609&lt;=Hoje)*$Q$10:$Q$609))=0,"",SUMPRODUCT(MAX(($R$10:$R$609=B38)*($Q$10:$Q$609&lt;=Hoje)*$Q$10:$Q$609))))</f>
        <v/>
      </c>
      <c r="G38" s="210" t="str">
        <f>IF(OR(B38="",F38=""),"",Hoje-F38)</f>
        <v/>
      </c>
      <c r="H38" s="138" t="str">
        <f>IF(B38="","",IF(N(E38)=0,"○ Sem frequência",IF(F38="","✖ Sem registro",IF(G38&gt;E38,"✖ Atrasado",IF(G38&gt;=0.8*E38,"▲ Em breve","✔ Em dia")))))</f>
        <v/>
      </c>
      <c r="I38" s="130" t="n"/>
      <c r="J38" s="137" t="str">
        <f>IF(OR(B38="",I38=""),"",DATE(YEAR(Hoje)+(DATE(YEAR(Hoje),MONTH(I38),DAY(I38))&lt;Hoje),MONTH(I38),DAY(I38)))</f>
        <v/>
      </c>
      <c r="K38" s="210" t="str">
        <f>IF(J38="","",J38-Hoje)</f>
        <v/>
      </c>
      <c r="L38" s="210" t="str">
        <f>IF(B38="","",COUNTIFS($R$10:$R$609,B38,$Q$10:$Q$609,"&gt;="&amp;IniAno,$Q$10:$Q$609,"&lt;="&amp;FimAno))</f>
        <v/>
      </c>
      <c r="M38" s="135" t="n"/>
      <c r="N38" t="str">
        <f>IF(AND(B38&lt;&gt;"",N(E38)&gt;0),IF(F38="",99,G38/E38)+ROW()/1000000,"")</f>
        <v/>
      </c>
      <c r="O38" t="str">
        <f>IF(K38="","",K38+ROW()/1000000)</f>
        <v/>
      </c>
      <c r="Q38" s="130" t="n"/>
      <c r="R38" s="129" t="n"/>
      <c r="S38" s="129" t="n"/>
      <c r="T38" s="106" t="n"/>
      <c r="U38" s="106" t="n"/>
      <c r="V38" s="129" t="n"/>
      <c r="W38" s="138" t="str">
        <f>IF(R38="","",IFERROR(INDEX($C$10:$C$69,MATCH(R38,$B$10:$B$69,0)),"—"))</f>
        <v/>
      </c>
    </row>
    <row r="39">
      <c r="B39" s="129" t="n"/>
      <c r="C39" s="129" t="n"/>
      <c r="D39" s="129" t="n"/>
      <c r="E39" s="106" t="n"/>
      <c r="F39" s="137" t="str">
        <f>IF(B39="","",IF(SUMPRODUCT(MAX(($R$10:$R$609=B39)*($Q$10:$Q$609&lt;=Hoje)*$Q$10:$Q$609))=0,"",SUMPRODUCT(MAX(($R$10:$R$609=B39)*($Q$10:$Q$609&lt;=Hoje)*$Q$10:$Q$609))))</f>
        <v/>
      </c>
      <c r="G39" s="210" t="str">
        <f>IF(OR(B39="",F39=""),"",Hoje-F39)</f>
        <v/>
      </c>
      <c r="H39" s="138" t="str">
        <f>IF(B39="","",IF(N(E39)=0,"○ Sem frequência",IF(F39="","✖ Sem registro",IF(G39&gt;E39,"✖ Atrasado",IF(G39&gt;=0.8*E39,"▲ Em breve","✔ Em dia")))))</f>
        <v/>
      </c>
      <c r="I39" s="130" t="n"/>
      <c r="J39" s="137" t="str">
        <f>IF(OR(B39="",I39=""),"",DATE(YEAR(Hoje)+(DATE(YEAR(Hoje),MONTH(I39),DAY(I39))&lt;Hoje),MONTH(I39),DAY(I39)))</f>
        <v/>
      </c>
      <c r="K39" s="210" t="str">
        <f>IF(J39="","",J39-Hoje)</f>
        <v/>
      </c>
      <c r="L39" s="210" t="str">
        <f>IF(B39="","",COUNTIFS($R$10:$R$609,B39,$Q$10:$Q$609,"&gt;="&amp;IniAno,$Q$10:$Q$609,"&lt;="&amp;FimAno))</f>
        <v/>
      </c>
      <c r="M39" s="135" t="n"/>
      <c r="N39" t="str">
        <f>IF(AND(B39&lt;&gt;"",N(E39)&gt;0),IF(F39="",99,G39/E39)+ROW()/1000000,"")</f>
        <v/>
      </c>
      <c r="O39" t="str">
        <f>IF(K39="","",K39+ROW()/1000000)</f>
        <v/>
      </c>
      <c r="Q39" s="130" t="n"/>
      <c r="R39" s="129" t="n"/>
      <c r="S39" s="129" t="n"/>
      <c r="T39" s="106" t="n"/>
      <c r="U39" s="106" t="n"/>
      <c r="V39" s="129" t="n"/>
      <c r="W39" s="138" t="str">
        <f>IF(R39="","",IFERROR(INDEX($C$10:$C$69,MATCH(R39,$B$10:$B$69,0)),"—"))</f>
        <v/>
      </c>
    </row>
    <row r="40">
      <c r="B40" s="129" t="n"/>
      <c r="C40" s="129" t="n"/>
      <c r="D40" s="129" t="n"/>
      <c r="E40" s="106" t="n"/>
      <c r="F40" s="137" t="str">
        <f>IF(B40="","",IF(SUMPRODUCT(MAX(($R$10:$R$609=B40)*($Q$10:$Q$609&lt;=Hoje)*$Q$10:$Q$609))=0,"",SUMPRODUCT(MAX(($R$10:$R$609=B40)*($Q$10:$Q$609&lt;=Hoje)*$Q$10:$Q$609))))</f>
        <v/>
      </c>
      <c r="G40" s="210" t="str">
        <f>IF(OR(B40="",F40=""),"",Hoje-F40)</f>
        <v/>
      </c>
      <c r="H40" s="138" t="str">
        <f>IF(B40="","",IF(N(E40)=0,"○ Sem frequência",IF(F40="","✖ Sem registro",IF(G40&gt;E40,"✖ Atrasado",IF(G40&gt;=0.8*E40,"▲ Em breve","✔ Em dia")))))</f>
        <v/>
      </c>
      <c r="I40" s="130" t="n"/>
      <c r="J40" s="137" t="str">
        <f>IF(OR(B40="",I40=""),"",DATE(YEAR(Hoje)+(DATE(YEAR(Hoje),MONTH(I40),DAY(I40))&lt;Hoje),MONTH(I40),DAY(I40)))</f>
        <v/>
      </c>
      <c r="K40" s="210" t="str">
        <f>IF(J40="","",J40-Hoje)</f>
        <v/>
      </c>
      <c r="L40" s="210" t="str">
        <f>IF(B40="","",COUNTIFS($R$10:$R$609,B40,$Q$10:$Q$609,"&gt;="&amp;IniAno,$Q$10:$Q$609,"&lt;="&amp;FimAno))</f>
        <v/>
      </c>
      <c r="M40" s="135" t="n"/>
      <c r="N40" t="str">
        <f>IF(AND(B40&lt;&gt;"",N(E40)&gt;0),IF(F40="",99,G40/E40)+ROW()/1000000,"")</f>
        <v/>
      </c>
      <c r="O40" t="str">
        <f>IF(K40="","",K40+ROW()/1000000)</f>
        <v/>
      </c>
      <c r="Q40" s="130" t="n"/>
      <c r="R40" s="129" t="n"/>
      <c r="S40" s="129" t="n"/>
      <c r="T40" s="106" t="n"/>
      <c r="U40" s="106" t="n"/>
      <c r="V40" s="129" t="n"/>
      <c r="W40" s="138" t="str">
        <f>IF(R40="","",IFERROR(INDEX($C$10:$C$69,MATCH(R40,$B$10:$B$69,0)),"—"))</f>
        <v/>
      </c>
    </row>
    <row r="41">
      <c r="B41" s="129" t="n"/>
      <c r="C41" s="129" t="n"/>
      <c r="D41" s="129" t="n"/>
      <c r="E41" s="106" t="n"/>
      <c r="F41" s="137" t="str">
        <f>IF(B41="","",IF(SUMPRODUCT(MAX(($R$10:$R$609=B41)*($Q$10:$Q$609&lt;=Hoje)*$Q$10:$Q$609))=0,"",SUMPRODUCT(MAX(($R$10:$R$609=B41)*($Q$10:$Q$609&lt;=Hoje)*$Q$10:$Q$609))))</f>
        <v/>
      </c>
      <c r="G41" s="210" t="str">
        <f>IF(OR(B41="",F41=""),"",Hoje-F41)</f>
        <v/>
      </c>
      <c r="H41" s="138" t="str">
        <f>IF(B41="","",IF(N(E41)=0,"○ Sem frequência",IF(F41="","✖ Sem registro",IF(G41&gt;E41,"✖ Atrasado",IF(G41&gt;=0.8*E41,"▲ Em breve","✔ Em dia")))))</f>
        <v/>
      </c>
      <c r="I41" s="130" t="n"/>
      <c r="J41" s="137" t="str">
        <f>IF(OR(B41="",I41=""),"",DATE(YEAR(Hoje)+(DATE(YEAR(Hoje),MONTH(I41),DAY(I41))&lt;Hoje),MONTH(I41),DAY(I41)))</f>
        <v/>
      </c>
      <c r="K41" s="210" t="str">
        <f>IF(J41="","",J41-Hoje)</f>
        <v/>
      </c>
      <c r="L41" s="210" t="str">
        <f>IF(B41="","",COUNTIFS($R$10:$R$609,B41,$Q$10:$Q$609,"&gt;="&amp;IniAno,$Q$10:$Q$609,"&lt;="&amp;FimAno))</f>
        <v/>
      </c>
      <c r="M41" s="135" t="n"/>
      <c r="N41" t="str">
        <f>IF(AND(B41&lt;&gt;"",N(E41)&gt;0),IF(F41="",99,G41/E41)+ROW()/1000000,"")</f>
        <v/>
      </c>
      <c r="O41" t="str">
        <f>IF(K41="","",K41+ROW()/1000000)</f>
        <v/>
      </c>
      <c r="Q41" s="130" t="n"/>
      <c r="R41" s="129" t="n"/>
      <c r="S41" s="129" t="n"/>
      <c r="T41" s="106" t="n"/>
      <c r="U41" s="106" t="n"/>
      <c r="V41" s="129" t="n"/>
      <c r="W41" s="138" t="str">
        <f>IF(R41="","",IFERROR(INDEX($C$10:$C$69,MATCH(R41,$B$10:$B$69,0)),"—"))</f>
        <v/>
      </c>
    </row>
    <row r="42">
      <c r="B42" s="129" t="n"/>
      <c r="C42" s="129" t="n"/>
      <c r="D42" s="129" t="n"/>
      <c r="E42" s="106" t="n"/>
      <c r="F42" s="137" t="str">
        <f>IF(B42="","",IF(SUMPRODUCT(MAX(($R$10:$R$609=B42)*($Q$10:$Q$609&lt;=Hoje)*$Q$10:$Q$609))=0,"",SUMPRODUCT(MAX(($R$10:$R$609=B42)*($Q$10:$Q$609&lt;=Hoje)*$Q$10:$Q$609))))</f>
        <v/>
      </c>
      <c r="G42" s="210" t="str">
        <f>IF(OR(B42="",F42=""),"",Hoje-F42)</f>
        <v/>
      </c>
      <c r="H42" s="138" t="str">
        <f>IF(B42="","",IF(N(E42)=0,"○ Sem frequência",IF(F42="","✖ Sem registro",IF(G42&gt;E42,"✖ Atrasado",IF(G42&gt;=0.8*E42,"▲ Em breve","✔ Em dia")))))</f>
        <v/>
      </c>
      <c r="I42" s="130" t="n"/>
      <c r="J42" s="137" t="str">
        <f>IF(OR(B42="",I42=""),"",DATE(YEAR(Hoje)+(DATE(YEAR(Hoje),MONTH(I42),DAY(I42))&lt;Hoje),MONTH(I42),DAY(I42)))</f>
        <v/>
      </c>
      <c r="K42" s="210" t="str">
        <f>IF(J42="","",J42-Hoje)</f>
        <v/>
      </c>
      <c r="L42" s="210" t="str">
        <f>IF(B42="","",COUNTIFS($R$10:$R$609,B42,$Q$10:$Q$609,"&gt;="&amp;IniAno,$Q$10:$Q$609,"&lt;="&amp;FimAno))</f>
        <v/>
      </c>
      <c r="M42" s="135" t="n"/>
      <c r="N42" t="str">
        <f>IF(AND(B42&lt;&gt;"",N(E42)&gt;0),IF(F42="",99,G42/E42)+ROW()/1000000,"")</f>
        <v/>
      </c>
      <c r="O42" t="str">
        <f>IF(K42="","",K42+ROW()/1000000)</f>
        <v/>
      </c>
      <c r="Q42" s="130" t="n"/>
      <c r="R42" s="129" t="n"/>
      <c r="S42" s="129" t="n"/>
      <c r="T42" s="106" t="n"/>
      <c r="U42" s="106" t="n"/>
      <c r="V42" s="129" t="n"/>
      <c r="W42" s="138" t="str">
        <f>IF(R42="","",IFERROR(INDEX($C$10:$C$69,MATCH(R42,$B$10:$B$69,0)),"—"))</f>
        <v/>
      </c>
    </row>
    <row r="43">
      <c r="B43" s="129" t="n"/>
      <c r="C43" s="129" t="n"/>
      <c r="D43" s="129" t="n"/>
      <c r="E43" s="106" t="n"/>
      <c r="F43" s="137" t="str">
        <f>IF(B43="","",IF(SUMPRODUCT(MAX(($R$10:$R$609=B43)*($Q$10:$Q$609&lt;=Hoje)*$Q$10:$Q$609))=0,"",SUMPRODUCT(MAX(($R$10:$R$609=B43)*($Q$10:$Q$609&lt;=Hoje)*$Q$10:$Q$609))))</f>
        <v/>
      </c>
      <c r="G43" s="210" t="str">
        <f>IF(OR(B43="",F43=""),"",Hoje-F43)</f>
        <v/>
      </c>
      <c r="H43" s="138" t="str">
        <f>IF(B43="","",IF(N(E43)=0,"○ Sem frequência",IF(F43="","✖ Sem registro",IF(G43&gt;E43,"✖ Atrasado",IF(G43&gt;=0.8*E43,"▲ Em breve","✔ Em dia")))))</f>
        <v/>
      </c>
      <c r="I43" s="130" t="n"/>
      <c r="J43" s="137" t="str">
        <f>IF(OR(B43="",I43=""),"",DATE(YEAR(Hoje)+(DATE(YEAR(Hoje),MONTH(I43),DAY(I43))&lt;Hoje),MONTH(I43),DAY(I43)))</f>
        <v/>
      </c>
      <c r="K43" s="210" t="str">
        <f>IF(J43="","",J43-Hoje)</f>
        <v/>
      </c>
      <c r="L43" s="210" t="str">
        <f>IF(B43="","",COUNTIFS($R$10:$R$609,B43,$Q$10:$Q$609,"&gt;="&amp;IniAno,$Q$10:$Q$609,"&lt;="&amp;FimAno))</f>
        <v/>
      </c>
      <c r="M43" s="135" t="n"/>
      <c r="N43" t="str">
        <f>IF(AND(B43&lt;&gt;"",N(E43)&gt;0),IF(F43="",99,G43/E43)+ROW()/1000000,"")</f>
        <v/>
      </c>
      <c r="O43" t="str">
        <f>IF(K43="","",K43+ROW()/1000000)</f>
        <v/>
      </c>
      <c r="Q43" s="130" t="n"/>
      <c r="R43" s="129" t="n"/>
      <c r="S43" s="129" t="n"/>
      <c r="T43" s="106" t="n"/>
      <c r="U43" s="106" t="n"/>
      <c r="V43" s="129" t="n"/>
      <c r="W43" s="138" t="str">
        <f>IF(R43="","",IFERROR(INDEX($C$10:$C$69,MATCH(R43,$B$10:$B$69,0)),"—"))</f>
        <v/>
      </c>
    </row>
    <row r="44">
      <c r="B44" s="129" t="n"/>
      <c r="C44" s="129" t="n"/>
      <c r="D44" s="129" t="n"/>
      <c r="E44" s="106" t="n"/>
      <c r="F44" s="137" t="str">
        <f>IF(B44="","",IF(SUMPRODUCT(MAX(($R$10:$R$609=B44)*($Q$10:$Q$609&lt;=Hoje)*$Q$10:$Q$609))=0,"",SUMPRODUCT(MAX(($R$10:$R$609=B44)*($Q$10:$Q$609&lt;=Hoje)*$Q$10:$Q$609))))</f>
        <v/>
      </c>
      <c r="G44" s="210" t="str">
        <f>IF(OR(B44="",F44=""),"",Hoje-F44)</f>
        <v/>
      </c>
      <c r="H44" s="138" t="str">
        <f>IF(B44="","",IF(N(E44)=0,"○ Sem frequência",IF(F44="","✖ Sem registro",IF(G44&gt;E44,"✖ Atrasado",IF(G44&gt;=0.8*E44,"▲ Em breve","✔ Em dia")))))</f>
        <v/>
      </c>
      <c r="I44" s="130" t="n"/>
      <c r="J44" s="137" t="str">
        <f>IF(OR(B44="",I44=""),"",DATE(YEAR(Hoje)+(DATE(YEAR(Hoje),MONTH(I44),DAY(I44))&lt;Hoje),MONTH(I44),DAY(I44)))</f>
        <v/>
      </c>
      <c r="K44" s="210" t="str">
        <f>IF(J44="","",J44-Hoje)</f>
        <v/>
      </c>
      <c r="L44" s="210" t="str">
        <f>IF(B44="","",COUNTIFS($R$10:$R$609,B44,$Q$10:$Q$609,"&gt;="&amp;IniAno,$Q$10:$Q$609,"&lt;="&amp;FimAno))</f>
        <v/>
      </c>
      <c r="M44" s="135" t="n"/>
      <c r="N44" t="str">
        <f>IF(AND(B44&lt;&gt;"",N(E44)&gt;0),IF(F44="",99,G44/E44)+ROW()/1000000,"")</f>
        <v/>
      </c>
      <c r="O44" t="str">
        <f>IF(K44="","",K44+ROW()/1000000)</f>
        <v/>
      </c>
      <c r="Q44" s="130" t="n"/>
      <c r="R44" s="129" t="n"/>
      <c r="S44" s="129" t="n"/>
      <c r="T44" s="106" t="n"/>
      <c r="U44" s="106" t="n"/>
      <c r="V44" s="129" t="n"/>
      <c r="W44" s="138" t="str">
        <f>IF(R44="","",IFERROR(INDEX($C$10:$C$69,MATCH(R44,$B$10:$B$69,0)),"—"))</f>
        <v/>
      </c>
    </row>
    <row r="45">
      <c r="B45" s="129" t="n"/>
      <c r="C45" s="129" t="n"/>
      <c r="D45" s="129" t="n"/>
      <c r="E45" s="106" t="n"/>
      <c r="F45" s="137" t="str">
        <f>IF(B45="","",IF(SUMPRODUCT(MAX(($R$10:$R$609=B45)*($Q$10:$Q$609&lt;=Hoje)*$Q$10:$Q$609))=0,"",SUMPRODUCT(MAX(($R$10:$R$609=B45)*($Q$10:$Q$609&lt;=Hoje)*$Q$10:$Q$609))))</f>
        <v/>
      </c>
      <c r="G45" s="210" t="str">
        <f>IF(OR(B45="",F45=""),"",Hoje-F45)</f>
        <v/>
      </c>
      <c r="H45" s="138" t="str">
        <f>IF(B45="","",IF(N(E45)=0,"○ Sem frequência",IF(F45="","✖ Sem registro",IF(G45&gt;E45,"✖ Atrasado",IF(G45&gt;=0.8*E45,"▲ Em breve","✔ Em dia")))))</f>
        <v/>
      </c>
      <c r="I45" s="130" t="n"/>
      <c r="J45" s="137" t="str">
        <f>IF(OR(B45="",I45=""),"",DATE(YEAR(Hoje)+(DATE(YEAR(Hoje),MONTH(I45),DAY(I45))&lt;Hoje),MONTH(I45),DAY(I45)))</f>
        <v/>
      </c>
      <c r="K45" s="210" t="str">
        <f>IF(J45="","",J45-Hoje)</f>
        <v/>
      </c>
      <c r="L45" s="210" t="str">
        <f>IF(B45="","",COUNTIFS($R$10:$R$609,B45,$Q$10:$Q$609,"&gt;="&amp;IniAno,$Q$10:$Q$609,"&lt;="&amp;FimAno))</f>
        <v/>
      </c>
      <c r="M45" s="135" t="n"/>
      <c r="N45" t="str">
        <f>IF(AND(B45&lt;&gt;"",N(E45)&gt;0),IF(F45="",99,G45/E45)+ROW()/1000000,"")</f>
        <v/>
      </c>
      <c r="O45" t="str">
        <f>IF(K45="","",K45+ROW()/1000000)</f>
        <v/>
      </c>
      <c r="Q45" s="130" t="n"/>
      <c r="R45" s="129" t="n"/>
      <c r="S45" s="129" t="n"/>
      <c r="T45" s="106" t="n"/>
      <c r="U45" s="106" t="n"/>
      <c r="V45" s="129" t="n"/>
      <c r="W45" s="138" t="str">
        <f>IF(R45="","",IFERROR(INDEX($C$10:$C$69,MATCH(R45,$B$10:$B$69,0)),"—"))</f>
        <v/>
      </c>
    </row>
    <row r="46">
      <c r="B46" s="129" t="n"/>
      <c r="C46" s="129" t="n"/>
      <c r="D46" s="129" t="n"/>
      <c r="E46" s="106" t="n"/>
      <c r="F46" s="137" t="str">
        <f>IF(B46="","",IF(SUMPRODUCT(MAX(($R$10:$R$609=B46)*($Q$10:$Q$609&lt;=Hoje)*$Q$10:$Q$609))=0,"",SUMPRODUCT(MAX(($R$10:$R$609=B46)*($Q$10:$Q$609&lt;=Hoje)*$Q$10:$Q$609))))</f>
        <v/>
      </c>
      <c r="G46" s="210" t="str">
        <f>IF(OR(B46="",F46=""),"",Hoje-F46)</f>
        <v/>
      </c>
      <c r="H46" s="138" t="str">
        <f>IF(B46="","",IF(N(E46)=0,"○ Sem frequência",IF(F46="","✖ Sem registro",IF(G46&gt;E46,"✖ Atrasado",IF(G46&gt;=0.8*E46,"▲ Em breve","✔ Em dia")))))</f>
        <v/>
      </c>
      <c r="I46" s="130" t="n"/>
      <c r="J46" s="137" t="str">
        <f>IF(OR(B46="",I46=""),"",DATE(YEAR(Hoje)+(DATE(YEAR(Hoje),MONTH(I46),DAY(I46))&lt;Hoje),MONTH(I46),DAY(I46)))</f>
        <v/>
      </c>
      <c r="K46" s="210" t="str">
        <f>IF(J46="","",J46-Hoje)</f>
        <v/>
      </c>
      <c r="L46" s="210" t="str">
        <f>IF(B46="","",COUNTIFS($R$10:$R$609,B46,$Q$10:$Q$609,"&gt;="&amp;IniAno,$Q$10:$Q$609,"&lt;="&amp;FimAno))</f>
        <v/>
      </c>
      <c r="M46" s="135" t="n"/>
      <c r="N46" t="str">
        <f>IF(AND(B46&lt;&gt;"",N(E46)&gt;0),IF(F46="",99,G46/E46)+ROW()/1000000,"")</f>
        <v/>
      </c>
      <c r="O46" t="str">
        <f>IF(K46="","",K46+ROW()/1000000)</f>
        <v/>
      </c>
      <c r="Q46" s="130" t="n"/>
      <c r="R46" s="129" t="n"/>
      <c r="S46" s="129" t="n"/>
      <c r="T46" s="106" t="n"/>
      <c r="U46" s="106" t="n"/>
      <c r="V46" s="129" t="n"/>
      <c r="W46" s="138" t="str">
        <f>IF(R46="","",IFERROR(INDEX($C$10:$C$69,MATCH(R46,$B$10:$B$69,0)),"—"))</f>
        <v/>
      </c>
    </row>
    <row r="47">
      <c r="B47" s="129" t="n"/>
      <c r="C47" s="129" t="n"/>
      <c r="D47" s="129" t="n"/>
      <c r="E47" s="106" t="n"/>
      <c r="F47" s="137" t="str">
        <f>IF(B47="","",IF(SUMPRODUCT(MAX(($R$10:$R$609=B47)*($Q$10:$Q$609&lt;=Hoje)*$Q$10:$Q$609))=0,"",SUMPRODUCT(MAX(($R$10:$R$609=B47)*($Q$10:$Q$609&lt;=Hoje)*$Q$10:$Q$609))))</f>
        <v/>
      </c>
      <c r="G47" s="210" t="str">
        <f>IF(OR(B47="",F47=""),"",Hoje-F47)</f>
        <v/>
      </c>
      <c r="H47" s="138" t="str">
        <f>IF(B47="","",IF(N(E47)=0,"○ Sem frequência",IF(F47="","✖ Sem registro",IF(G47&gt;E47,"✖ Atrasado",IF(G47&gt;=0.8*E47,"▲ Em breve","✔ Em dia")))))</f>
        <v/>
      </c>
      <c r="I47" s="130" t="n"/>
      <c r="J47" s="137" t="str">
        <f>IF(OR(B47="",I47=""),"",DATE(YEAR(Hoje)+(DATE(YEAR(Hoje),MONTH(I47),DAY(I47))&lt;Hoje),MONTH(I47),DAY(I47)))</f>
        <v/>
      </c>
      <c r="K47" s="210" t="str">
        <f>IF(J47="","",J47-Hoje)</f>
        <v/>
      </c>
      <c r="L47" s="210" t="str">
        <f>IF(B47="","",COUNTIFS($R$10:$R$609,B47,$Q$10:$Q$609,"&gt;="&amp;IniAno,$Q$10:$Q$609,"&lt;="&amp;FimAno))</f>
        <v/>
      </c>
      <c r="M47" s="135" t="n"/>
      <c r="N47" t="str">
        <f>IF(AND(B47&lt;&gt;"",N(E47)&gt;0),IF(F47="",99,G47/E47)+ROW()/1000000,"")</f>
        <v/>
      </c>
      <c r="O47" t="str">
        <f>IF(K47="","",K47+ROW()/1000000)</f>
        <v/>
      </c>
      <c r="Q47" s="130" t="n"/>
      <c r="R47" s="129" t="n"/>
      <c r="S47" s="129" t="n"/>
      <c r="T47" s="106" t="n"/>
      <c r="U47" s="106" t="n"/>
      <c r="V47" s="129" t="n"/>
      <c r="W47" s="138" t="str">
        <f>IF(R47="","",IFERROR(INDEX($C$10:$C$69,MATCH(R47,$B$10:$B$69,0)),"—"))</f>
        <v/>
      </c>
    </row>
    <row r="48">
      <c r="B48" s="129" t="n"/>
      <c r="C48" s="129" t="n"/>
      <c r="D48" s="129" t="n"/>
      <c r="E48" s="106" t="n"/>
      <c r="F48" s="137" t="str">
        <f>IF(B48="","",IF(SUMPRODUCT(MAX(($R$10:$R$609=B48)*($Q$10:$Q$609&lt;=Hoje)*$Q$10:$Q$609))=0,"",SUMPRODUCT(MAX(($R$10:$R$609=B48)*($Q$10:$Q$609&lt;=Hoje)*$Q$10:$Q$609))))</f>
        <v/>
      </c>
      <c r="G48" s="210" t="str">
        <f>IF(OR(B48="",F48=""),"",Hoje-F48)</f>
        <v/>
      </c>
      <c r="H48" s="138" t="str">
        <f>IF(B48="","",IF(N(E48)=0,"○ Sem frequência",IF(F48="","✖ Sem registro",IF(G48&gt;E48,"✖ Atrasado",IF(G48&gt;=0.8*E48,"▲ Em breve","✔ Em dia")))))</f>
        <v/>
      </c>
      <c r="I48" s="130" t="n"/>
      <c r="J48" s="137" t="str">
        <f>IF(OR(B48="",I48=""),"",DATE(YEAR(Hoje)+(DATE(YEAR(Hoje),MONTH(I48),DAY(I48))&lt;Hoje),MONTH(I48),DAY(I48)))</f>
        <v/>
      </c>
      <c r="K48" s="210" t="str">
        <f>IF(J48="","",J48-Hoje)</f>
        <v/>
      </c>
      <c r="L48" s="210" t="str">
        <f>IF(B48="","",COUNTIFS($R$10:$R$609,B48,$Q$10:$Q$609,"&gt;="&amp;IniAno,$Q$10:$Q$609,"&lt;="&amp;FimAno))</f>
        <v/>
      </c>
      <c r="M48" s="135" t="n"/>
      <c r="N48" t="str">
        <f>IF(AND(B48&lt;&gt;"",N(E48)&gt;0),IF(F48="",99,G48/E48)+ROW()/1000000,"")</f>
        <v/>
      </c>
      <c r="O48" t="str">
        <f>IF(K48="","",K48+ROW()/1000000)</f>
        <v/>
      </c>
      <c r="Q48" s="130" t="n"/>
      <c r="R48" s="129" t="n"/>
      <c r="S48" s="129" t="n"/>
      <c r="T48" s="106" t="n"/>
      <c r="U48" s="106" t="n"/>
      <c r="V48" s="129" t="n"/>
      <c r="W48" s="138" t="str">
        <f>IF(R48="","",IFERROR(INDEX($C$10:$C$69,MATCH(R48,$B$10:$B$69,0)),"—"))</f>
        <v/>
      </c>
    </row>
    <row r="49">
      <c r="B49" s="129" t="n"/>
      <c r="C49" s="129" t="n"/>
      <c r="D49" s="129" t="n"/>
      <c r="E49" s="106" t="n"/>
      <c r="F49" s="137" t="str">
        <f>IF(B49="","",IF(SUMPRODUCT(MAX(($R$10:$R$609=B49)*($Q$10:$Q$609&lt;=Hoje)*$Q$10:$Q$609))=0,"",SUMPRODUCT(MAX(($R$10:$R$609=B49)*($Q$10:$Q$609&lt;=Hoje)*$Q$10:$Q$609))))</f>
        <v/>
      </c>
      <c r="G49" s="210" t="str">
        <f>IF(OR(B49="",F49=""),"",Hoje-F49)</f>
        <v/>
      </c>
      <c r="H49" s="138" t="str">
        <f>IF(B49="","",IF(N(E49)=0,"○ Sem frequência",IF(F49="","✖ Sem registro",IF(G49&gt;E49,"✖ Atrasado",IF(G49&gt;=0.8*E49,"▲ Em breve","✔ Em dia")))))</f>
        <v/>
      </c>
      <c r="I49" s="130" t="n"/>
      <c r="J49" s="137" t="str">
        <f>IF(OR(B49="",I49=""),"",DATE(YEAR(Hoje)+(DATE(YEAR(Hoje),MONTH(I49),DAY(I49))&lt;Hoje),MONTH(I49),DAY(I49)))</f>
        <v/>
      </c>
      <c r="K49" s="210" t="str">
        <f>IF(J49="","",J49-Hoje)</f>
        <v/>
      </c>
      <c r="L49" s="210" t="str">
        <f>IF(B49="","",COUNTIFS($R$10:$R$609,B49,$Q$10:$Q$609,"&gt;="&amp;IniAno,$Q$10:$Q$609,"&lt;="&amp;FimAno))</f>
        <v/>
      </c>
      <c r="M49" s="135" t="n"/>
      <c r="N49" t="str">
        <f>IF(AND(B49&lt;&gt;"",N(E49)&gt;0),IF(F49="",99,G49/E49)+ROW()/1000000,"")</f>
        <v/>
      </c>
      <c r="O49" t="str">
        <f>IF(K49="","",K49+ROW()/1000000)</f>
        <v/>
      </c>
      <c r="Q49" s="130" t="n"/>
      <c r="R49" s="129" t="n"/>
      <c r="S49" s="129" t="n"/>
      <c r="T49" s="106" t="n"/>
      <c r="U49" s="106" t="n"/>
      <c r="V49" s="129" t="n"/>
      <c r="W49" s="138" t="str">
        <f>IF(R49="","",IFERROR(INDEX($C$10:$C$69,MATCH(R49,$B$10:$B$69,0)),"—"))</f>
        <v/>
      </c>
    </row>
    <row r="50">
      <c r="B50" s="129" t="n"/>
      <c r="C50" s="129" t="n"/>
      <c r="D50" s="129" t="n"/>
      <c r="E50" s="106" t="n"/>
      <c r="F50" s="137" t="str">
        <f>IF(B50="","",IF(SUMPRODUCT(MAX(($R$10:$R$609=B50)*($Q$10:$Q$609&lt;=Hoje)*$Q$10:$Q$609))=0,"",SUMPRODUCT(MAX(($R$10:$R$609=B50)*($Q$10:$Q$609&lt;=Hoje)*$Q$10:$Q$609))))</f>
        <v/>
      </c>
      <c r="G50" s="210" t="str">
        <f>IF(OR(B50="",F50=""),"",Hoje-F50)</f>
        <v/>
      </c>
      <c r="H50" s="138" t="str">
        <f>IF(B50="","",IF(N(E50)=0,"○ Sem frequência",IF(F50="","✖ Sem registro",IF(G50&gt;E50,"✖ Atrasado",IF(G50&gt;=0.8*E50,"▲ Em breve","✔ Em dia")))))</f>
        <v/>
      </c>
      <c r="I50" s="130" t="n"/>
      <c r="J50" s="137" t="str">
        <f>IF(OR(B50="",I50=""),"",DATE(YEAR(Hoje)+(DATE(YEAR(Hoje),MONTH(I50),DAY(I50))&lt;Hoje),MONTH(I50),DAY(I50)))</f>
        <v/>
      </c>
      <c r="K50" s="210" t="str">
        <f>IF(J50="","",J50-Hoje)</f>
        <v/>
      </c>
      <c r="L50" s="210" t="str">
        <f>IF(B50="","",COUNTIFS($R$10:$R$609,B50,$Q$10:$Q$609,"&gt;="&amp;IniAno,$Q$10:$Q$609,"&lt;="&amp;FimAno))</f>
        <v/>
      </c>
      <c r="M50" s="135" t="n"/>
      <c r="N50" t="str">
        <f>IF(AND(B50&lt;&gt;"",N(E50)&gt;0),IF(F50="",99,G50/E50)+ROW()/1000000,"")</f>
        <v/>
      </c>
      <c r="O50" t="str">
        <f>IF(K50="","",K50+ROW()/1000000)</f>
        <v/>
      </c>
      <c r="Q50" s="130" t="n"/>
      <c r="R50" s="129" t="n"/>
      <c r="S50" s="129" t="n"/>
      <c r="T50" s="106" t="n"/>
      <c r="U50" s="106" t="n"/>
      <c r="V50" s="129" t="n"/>
      <c r="W50" s="138" t="str">
        <f>IF(R50="","",IFERROR(INDEX($C$10:$C$69,MATCH(R50,$B$10:$B$69,0)),"—"))</f>
        <v/>
      </c>
    </row>
    <row r="51">
      <c r="B51" s="129" t="n"/>
      <c r="C51" s="129" t="n"/>
      <c r="D51" s="129" t="n"/>
      <c r="E51" s="106" t="n"/>
      <c r="F51" s="137" t="str">
        <f>IF(B51="","",IF(SUMPRODUCT(MAX(($R$10:$R$609=B51)*($Q$10:$Q$609&lt;=Hoje)*$Q$10:$Q$609))=0,"",SUMPRODUCT(MAX(($R$10:$R$609=B51)*($Q$10:$Q$609&lt;=Hoje)*$Q$10:$Q$609))))</f>
        <v/>
      </c>
      <c r="G51" s="210" t="str">
        <f>IF(OR(B51="",F51=""),"",Hoje-F51)</f>
        <v/>
      </c>
      <c r="H51" s="138" t="str">
        <f>IF(B51="","",IF(N(E51)=0,"○ Sem frequência",IF(F51="","✖ Sem registro",IF(G51&gt;E51,"✖ Atrasado",IF(G51&gt;=0.8*E51,"▲ Em breve","✔ Em dia")))))</f>
        <v/>
      </c>
      <c r="I51" s="130" t="n"/>
      <c r="J51" s="137" t="str">
        <f>IF(OR(B51="",I51=""),"",DATE(YEAR(Hoje)+(DATE(YEAR(Hoje),MONTH(I51),DAY(I51))&lt;Hoje),MONTH(I51),DAY(I51)))</f>
        <v/>
      </c>
      <c r="K51" s="210" t="str">
        <f>IF(J51="","",J51-Hoje)</f>
        <v/>
      </c>
      <c r="L51" s="210" t="str">
        <f>IF(B51="","",COUNTIFS($R$10:$R$609,B51,$Q$10:$Q$609,"&gt;="&amp;IniAno,$Q$10:$Q$609,"&lt;="&amp;FimAno))</f>
        <v/>
      </c>
      <c r="M51" s="135" t="n"/>
      <c r="N51" t="str">
        <f>IF(AND(B51&lt;&gt;"",N(E51)&gt;0),IF(F51="",99,G51/E51)+ROW()/1000000,"")</f>
        <v/>
      </c>
      <c r="O51" t="str">
        <f>IF(K51="","",K51+ROW()/1000000)</f>
        <v/>
      </c>
      <c r="Q51" s="130" t="n"/>
      <c r="R51" s="129" t="n"/>
      <c r="S51" s="129" t="n"/>
      <c r="T51" s="106" t="n"/>
      <c r="U51" s="106" t="n"/>
      <c r="V51" s="129" t="n"/>
      <c r="W51" s="138" t="str">
        <f>IF(R51="","",IFERROR(INDEX($C$10:$C$69,MATCH(R51,$B$10:$B$69,0)),"—"))</f>
        <v/>
      </c>
    </row>
    <row r="52">
      <c r="B52" s="129" t="n"/>
      <c r="C52" s="129" t="n"/>
      <c r="D52" s="129" t="n"/>
      <c r="E52" s="106" t="n"/>
      <c r="F52" s="137" t="str">
        <f>IF(B52="","",IF(SUMPRODUCT(MAX(($R$10:$R$609=B52)*($Q$10:$Q$609&lt;=Hoje)*$Q$10:$Q$609))=0,"",SUMPRODUCT(MAX(($R$10:$R$609=B52)*($Q$10:$Q$609&lt;=Hoje)*$Q$10:$Q$609))))</f>
        <v/>
      </c>
      <c r="G52" s="210" t="str">
        <f>IF(OR(B52="",F52=""),"",Hoje-F52)</f>
        <v/>
      </c>
      <c r="H52" s="138" t="str">
        <f>IF(B52="","",IF(N(E52)=0,"○ Sem frequência",IF(F52="","✖ Sem registro",IF(G52&gt;E52,"✖ Atrasado",IF(G52&gt;=0.8*E52,"▲ Em breve","✔ Em dia")))))</f>
        <v/>
      </c>
      <c r="I52" s="130" t="n"/>
      <c r="J52" s="137" t="str">
        <f>IF(OR(B52="",I52=""),"",DATE(YEAR(Hoje)+(DATE(YEAR(Hoje),MONTH(I52),DAY(I52))&lt;Hoje),MONTH(I52),DAY(I52)))</f>
        <v/>
      </c>
      <c r="K52" s="210" t="str">
        <f>IF(J52="","",J52-Hoje)</f>
        <v/>
      </c>
      <c r="L52" s="210" t="str">
        <f>IF(B52="","",COUNTIFS($R$10:$R$609,B52,$Q$10:$Q$609,"&gt;="&amp;IniAno,$Q$10:$Q$609,"&lt;="&amp;FimAno))</f>
        <v/>
      </c>
      <c r="M52" s="135" t="n"/>
      <c r="N52" t="str">
        <f>IF(AND(B52&lt;&gt;"",N(E52)&gt;0),IF(F52="",99,G52/E52)+ROW()/1000000,"")</f>
        <v/>
      </c>
      <c r="O52" t="str">
        <f>IF(K52="","",K52+ROW()/1000000)</f>
        <v/>
      </c>
      <c r="Q52" s="130" t="n"/>
      <c r="R52" s="129" t="n"/>
      <c r="S52" s="129" t="n"/>
      <c r="T52" s="106" t="n"/>
      <c r="U52" s="106" t="n"/>
      <c r="V52" s="129" t="n"/>
      <c r="W52" s="138" t="str">
        <f>IF(R52="","",IFERROR(INDEX($C$10:$C$69,MATCH(R52,$B$10:$B$69,0)),"—"))</f>
        <v/>
      </c>
    </row>
    <row r="53">
      <c r="B53" s="129" t="n"/>
      <c r="C53" s="129" t="n"/>
      <c r="D53" s="129" t="n"/>
      <c r="E53" s="106" t="n"/>
      <c r="F53" s="137" t="str">
        <f>IF(B53="","",IF(SUMPRODUCT(MAX(($R$10:$R$609=B53)*($Q$10:$Q$609&lt;=Hoje)*$Q$10:$Q$609))=0,"",SUMPRODUCT(MAX(($R$10:$R$609=B53)*($Q$10:$Q$609&lt;=Hoje)*$Q$10:$Q$609))))</f>
        <v/>
      </c>
      <c r="G53" s="210" t="str">
        <f>IF(OR(B53="",F53=""),"",Hoje-F53)</f>
        <v/>
      </c>
      <c r="H53" s="138" t="str">
        <f>IF(B53="","",IF(N(E53)=0,"○ Sem frequência",IF(F53="","✖ Sem registro",IF(G53&gt;E53,"✖ Atrasado",IF(G53&gt;=0.8*E53,"▲ Em breve","✔ Em dia")))))</f>
        <v/>
      </c>
      <c r="I53" s="130" t="n"/>
      <c r="J53" s="137" t="str">
        <f>IF(OR(B53="",I53=""),"",DATE(YEAR(Hoje)+(DATE(YEAR(Hoje),MONTH(I53),DAY(I53))&lt;Hoje),MONTH(I53),DAY(I53)))</f>
        <v/>
      </c>
      <c r="K53" s="210" t="str">
        <f>IF(J53="","",J53-Hoje)</f>
        <v/>
      </c>
      <c r="L53" s="210" t="str">
        <f>IF(B53="","",COUNTIFS($R$10:$R$609,B53,$Q$10:$Q$609,"&gt;="&amp;IniAno,$Q$10:$Q$609,"&lt;="&amp;FimAno))</f>
        <v/>
      </c>
      <c r="M53" s="135" t="n"/>
      <c r="N53" t="str">
        <f>IF(AND(B53&lt;&gt;"",N(E53)&gt;0),IF(F53="",99,G53/E53)+ROW()/1000000,"")</f>
        <v/>
      </c>
      <c r="O53" t="str">
        <f>IF(K53="","",K53+ROW()/1000000)</f>
        <v/>
      </c>
      <c r="Q53" s="130" t="n"/>
      <c r="R53" s="129" t="n"/>
      <c r="S53" s="129" t="n"/>
      <c r="T53" s="106" t="n"/>
      <c r="U53" s="106" t="n"/>
      <c r="V53" s="129" t="n"/>
      <c r="W53" s="138" t="str">
        <f>IF(R53="","",IFERROR(INDEX($C$10:$C$69,MATCH(R53,$B$10:$B$69,0)),"—"))</f>
        <v/>
      </c>
    </row>
    <row r="54">
      <c r="B54" s="129" t="n"/>
      <c r="C54" s="129" t="n"/>
      <c r="D54" s="129" t="n"/>
      <c r="E54" s="106" t="n"/>
      <c r="F54" s="137" t="str">
        <f>IF(B54="","",IF(SUMPRODUCT(MAX(($R$10:$R$609=B54)*($Q$10:$Q$609&lt;=Hoje)*$Q$10:$Q$609))=0,"",SUMPRODUCT(MAX(($R$10:$R$609=B54)*($Q$10:$Q$609&lt;=Hoje)*$Q$10:$Q$609))))</f>
        <v/>
      </c>
      <c r="G54" s="210" t="str">
        <f>IF(OR(B54="",F54=""),"",Hoje-F54)</f>
        <v/>
      </c>
      <c r="H54" s="138" t="str">
        <f>IF(B54="","",IF(N(E54)=0,"○ Sem frequência",IF(F54="","✖ Sem registro",IF(G54&gt;E54,"✖ Atrasado",IF(G54&gt;=0.8*E54,"▲ Em breve","✔ Em dia")))))</f>
        <v/>
      </c>
      <c r="I54" s="130" t="n"/>
      <c r="J54" s="137" t="str">
        <f>IF(OR(B54="",I54=""),"",DATE(YEAR(Hoje)+(DATE(YEAR(Hoje),MONTH(I54),DAY(I54))&lt;Hoje),MONTH(I54),DAY(I54)))</f>
        <v/>
      </c>
      <c r="K54" s="210" t="str">
        <f>IF(J54="","",J54-Hoje)</f>
        <v/>
      </c>
      <c r="L54" s="210" t="str">
        <f>IF(B54="","",COUNTIFS($R$10:$R$609,B54,$Q$10:$Q$609,"&gt;="&amp;IniAno,$Q$10:$Q$609,"&lt;="&amp;FimAno))</f>
        <v/>
      </c>
      <c r="M54" s="135" t="n"/>
      <c r="N54" t="str">
        <f>IF(AND(B54&lt;&gt;"",N(E54)&gt;0),IF(F54="",99,G54/E54)+ROW()/1000000,"")</f>
        <v/>
      </c>
      <c r="O54" t="str">
        <f>IF(K54="","",K54+ROW()/1000000)</f>
        <v/>
      </c>
      <c r="Q54" s="130" t="n"/>
      <c r="R54" s="129" t="n"/>
      <c r="S54" s="129" t="n"/>
      <c r="T54" s="106" t="n"/>
      <c r="U54" s="106" t="n"/>
      <c r="V54" s="129" t="n"/>
      <c r="W54" s="138" t="str">
        <f>IF(R54="","",IFERROR(INDEX($C$10:$C$69,MATCH(R54,$B$10:$B$69,0)),"—"))</f>
        <v/>
      </c>
    </row>
    <row r="55">
      <c r="B55" s="129" t="n"/>
      <c r="C55" s="129" t="n"/>
      <c r="D55" s="129" t="n"/>
      <c r="E55" s="106" t="n"/>
      <c r="F55" s="137" t="str">
        <f>IF(B55="","",IF(SUMPRODUCT(MAX(($R$10:$R$609=B55)*($Q$10:$Q$609&lt;=Hoje)*$Q$10:$Q$609))=0,"",SUMPRODUCT(MAX(($R$10:$R$609=B55)*($Q$10:$Q$609&lt;=Hoje)*$Q$10:$Q$609))))</f>
        <v/>
      </c>
      <c r="G55" s="210" t="str">
        <f>IF(OR(B55="",F55=""),"",Hoje-F55)</f>
        <v/>
      </c>
      <c r="H55" s="138" t="str">
        <f>IF(B55="","",IF(N(E55)=0,"○ Sem frequência",IF(F55="","✖ Sem registro",IF(G55&gt;E55,"✖ Atrasado",IF(G55&gt;=0.8*E55,"▲ Em breve","✔ Em dia")))))</f>
        <v/>
      </c>
      <c r="I55" s="130" t="n"/>
      <c r="J55" s="137" t="str">
        <f>IF(OR(B55="",I55=""),"",DATE(YEAR(Hoje)+(DATE(YEAR(Hoje),MONTH(I55),DAY(I55))&lt;Hoje),MONTH(I55),DAY(I55)))</f>
        <v/>
      </c>
      <c r="K55" s="210" t="str">
        <f>IF(J55="","",J55-Hoje)</f>
        <v/>
      </c>
      <c r="L55" s="210" t="str">
        <f>IF(B55="","",COUNTIFS($R$10:$R$609,B55,$Q$10:$Q$609,"&gt;="&amp;IniAno,$Q$10:$Q$609,"&lt;="&amp;FimAno))</f>
        <v/>
      </c>
      <c r="M55" s="135" t="n"/>
      <c r="N55" t="str">
        <f>IF(AND(B55&lt;&gt;"",N(E55)&gt;0),IF(F55="",99,G55/E55)+ROW()/1000000,"")</f>
        <v/>
      </c>
      <c r="O55" t="str">
        <f>IF(K55="","",K55+ROW()/1000000)</f>
        <v/>
      </c>
      <c r="Q55" s="130" t="n"/>
      <c r="R55" s="129" t="n"/>
      <c r="S55" s="129" t="n"/>
      <c r="T55" s="106" t="n"/>
      <c r="U55" s="106" t="n"/>
      <c r="V55" s="129" t="n"/>
      <c r="W55" s="138" t="str">
        <f>IF(R55="","",IFERROR(INDEX($C$10:$C$69,MATCH(R55,$B$10:$B$69,0)),"—"))</f>
        <v/>
      </c>
    </row>
    <row r="56">
      <c r="B56" s="129" t="n"/>
      <c r="C56" s="129" t="n"/>
      <c r="D56" s="129" t="n"/>
      <c r="E56" s="106" t="n"/>
      <c r="F56" s="137" t="str">
        <f>IF(B56="","",IF(SUMPRODUCT(MAX(($R$10:$R$609=B56)*($Q$10:$Q$609&lt;=Hoje)*$Q$10:$Q$609))=0,"",SUMPRODUCT(MAX(($R$10:$R$609=B56)*($Q$10:$Q$609&lt;=Hoje)*$Q$10:$Q$609))))</f>
        <v/>
      </c>
      <c r="G56" s="210" t="str">
        <f>IF(OR(B56="",F56=""),"",Hoje-F56)</f>
        <v/>
      </c>
      <c r="H56" s="138" t="str">
        <f>IF(B56="","",IF(N(E56)=0,"○ Sem frequência",IF(F56="","✖ Sem registro",IF(G56&gt;E56,"✖ Atrasado",IF(G56&gt;=0.8*E56,"▲ Em breve","✔ Em dia")))))</f>
        <v/>
      </c>
      <c r="I56" s="130" t="n"/>
      <c r="J56" s="137" t="str">
        <f>IF(OR(B56="",I56=""),"",DATE(YEAR(Hoje)+(DATE(YEAR(Hoje),MONTH(I56),DAY(I56))&lt;Hoje),MONTH(I56),DAY(I56)))</f>
        <v/>
      </c>
      <c r="K56" s="210" t="str">
        <f>IF(J56="","",J56-Hoje)</f>
        <v/>
      </c>
      <c r="L56" s="210" t="str">
        <f>IF(B56="","",COUNTIFS($R$10:$R$609,B56,$Q$10:$Q$609,"&gt;="&amp;IniAno,$Q$10:$Q$609,"&lt;="&amp;FimAno))</f>
        <v/>
      </c>
      <c r="M56" s="135" t="n"/>
      <c r="N56" t="str">
        <f>IF(AND(B56&lt;&gt;"",N(E56)&gt;0),IF(F56="",99,G56/E56)+ROW()/1000000,"")</f>
        <v/>
      </c>
      <c r="O56" t="str">
        <f>IF(K56="","",K56+ROW()/1000000)</f>
        <v/>
      </c>
      <c r="Q56" s="130" t="n"/>
      <c r="R56" s="129" t="n"/>
      <c r="S56" s="129" t="n"/>
      <c r="T56" s="106" t="n"/>
      <c r="U56" s="106" t="n"/>
      <c r="V56" s="129" t="n"/>
      <c r="W56" s="138" t="str">
        <f>IF(R56="","",IFERROR(INDEX($C$10:$C$69,MATCH(R56,$B$10:$B$69,0)),"—"))</f>
        <v/>
      </c>
    </row>
    <row r="57">
      <c r="B57" s="129" t="n"/>
      <c r="C57" s="129" t="n"/>
      <c r="D57" s="129" t="n"/>
      <c r="E57" s="106" t="n"/>
      <c r="F57" s="137" t="str">
        <f>IF(B57="","",IF(SUMPRODUCT(MAX(($R$10:$R$609=B57)*($Q$10:$Q$609&lt;=Hoje)*$Q$10:$Q$609))=0,"",SUMPRODUCT(MAX(($R$10:$R$609=B57)*($Q$10:$Q$609&lt;=Hoje)*$Q$10:$Q$609))))</f>
        <v/>
      </c>
      <c r="G57" s="210" t="str">
        <f>IF(OR(B57="",F57=""),"",Hoje-F57)</f>
        <v/>
      </c>
      <c r="H57" s="138" t="str">
        <f>IF(B57="","",IF(N(E57)=0,"○ Sem frequência",IF(F57="","✖ Sem registro",IF(G57&gt;E57,"✖ Atrasado",IF(G57&gt;=0.8*E57,"▲ Em breve","✔ Em dia")))))</f>
        <v/>
      </c>
      <c r="I57" s="130" t="n"/>
      <c r="J57" s="137" t="str">
        <f>IF(OR(B57="",I57=""),"",DATE(YEAR(Hoje)+(DATE(YEAR(Hoje),MONTH(I57),DAY(I57))&lt;Hoje),MONTH(I57),DAY(I57)))</f>
        <v/>
      </c>
      <c r="K57" s="210" t="str">
        <f>IF(J57="","",J57-Hoje)</f>
        <v/>
      </c>
      <c r="L57" s="210" t="str">
        <f>IF(B57="","",COUNTIFS($R$10:$R$609,B57,$Q$10:$Q$609,"&gt;="&amp;IniAno,$Q$10:$Q$609,"&lt;="&amp;FimAno))</f>
        <v/>
      </c>
      <c r="M57" s="135" t="n"/>
      <c r="N57" t="str">
        <f>IF(AND(B57&lt;&gt;"",N(E57)&gt;0),IF(F57="",99,G57/E57)+ROW()/1000000,"")</f>
        <v/>
      </c>
      <c r="O57" t="str">
        <f>IF(K57="","",K57+ROW()/1000000)</f>
        <v/>
      </c>
      <c r="Q57" s="130" t="n"/>
      <c r="R57" s="129" t="n"/>
      <c r="S57" s="129" t="n"/>
      <c r="T57" s="106" t="n"/>
      <c r="U57" s="106" t="n"/>
      <c r="V57" s="129" t="n"/>
      <c r="W57" s="138" t="str">
        <f>IF(R57="","",IFERROR(INDEX($C$10:$C$69,MATCH(R57,$B$10:$B$69,0)),"—"))</f>
        <v/>
      </c>
    </row>
    <row r="58">
      <c r="B58" s="129" t="n"/>
      <c r="C58" s="129" t="n"/>
      <c r="D58" s="129" t="n"/>
      <c r="E58" s="106" t="n"/>
      <c r="F58" s="137" t="str">
        <f>IF(B58="","",IF(SUMPRODUCT(MAX(($R$10:$R$609=B58)*($Q$10:$Q$609&lt;=Hoje)*$Q$10:$Q$609))=0,"",SUMPRODUCT(MAX(($R$10:$R$609=B58)*($Q$10:$Q$609&lt;=Hoje)*$Q$10:$Q$609))))</f>
        <v/>
      </c>
      <c r="G58" s="210" t="str">
        <f>IF(OR(B58="",F58=""),"",Hoje-F58)</f>
        <v/>
      </c>
      <c r="H58" s="138" t="str">
        <f>IF(B58="","",IF(N(E58)=0,"○ Sem frequência",IF(F58="","✖ Sem registro",IF(G58&gt;E58,"✖ Atrasado",IF(G58&gt;=0.8*E58,"▲ Em breve","✔ Em dia")))))</f>
        <v/>
      </c>
      <c r="I58" s="130" t="n"/>
      <c r="J58" s="137" t="str">
        <f>IF(OR(B58="",I58=""),"",DATE(YEAR(Hoje)+(DATE(YEAR(Hoje),MONTH(I58),DAY(I58))&lt;Hoje),MONTH(I58),DAY(I58)))</f>
        <v/>
      </c>
      <c r="K58" s="210" t="str">
        <f>IF(J58="","",J58-Hoje)</f>
        <v/>
      </c>
      <c r="L58" s="210" t="str">
        <f>IF(B58="","",COUNTIFS($R$10:$R$609,B58,$Q$10:$Q$609,"&gt;="&amp;IniAno,$Q$10:$Q$609,"&lt;="&amp;FimAno))</f>
        <v/>
      </c>
      <c r="M58" s="135" t="n"/>
      <c r="N58" t="str">
        <f>IF(AND(B58&lt;&gt;"",N(E58)&gt;0),IF(F58="",99,G58/E58)+ROW()/1000000,"")</f>
        <v/>
      </c>
      <c r="O58" t="str">
        <f>IF(K58="","",K58+ROW()/1000000)</f>
        <v/>
      </c>
      <c r="Q58" s="130" t="n"/>
      <c r="R58" s="129" t="n"/>
      <c r="S58" s="129" t="n"/>
      <c r="T58" s="106" t="n"/>
      <c r="U58" s="106" t="n"/>
      <c r="V58" s="129" t="n"/>
      <c r="W58" s="138" t="str">
        <f>IF(R58="","",IFERROR(INDEX($C$10:$C$69,MATCH(R58,$B$10:$B$69,0)),"—"))</f>
        <v/>
      </c>
    </row>
    <row r="59">
      <c r="B59" s="129" t="n"/>
      <c r="C59" s="129" t="n"/>
      <c r="D59" s="129" t="n"/>
      <c r="E59" s="106" t="n"/>
      <c r="F59" s="137" t="str">
        <f>IF(B59="","",IF(SUMPRODUCT(MAX(($R$10:$R$609=B59)*($Q$10:$Q$609&lt;=Hoje)*$Q$10:$Q$609))=0,"",SUMPRODUCT(MAX(($R$10:$R$609=B59)*($Q$10:$Q$609&lt;=Hoje)*$Q$10:$Q$609))))</f>
        <v/>
      </c>
      <c r="G59" s="210" t="str">
        <f>IF(OR(B59="",F59=""),"",Hoje-F59)</f>
        <v/>
      </c>
      <c r="H59" s="138" t="str">
        <f>IF(B59="","",IF(N(E59)=0,"○ Sem frequência",IF(F59="","✖ Sem registro",IF(G59&gt;E59,"✖ Atrasado",IF(G59&gt;=0.8*E59,"▲ Em breve","✔ Em dia")))))</f>
        <v/>
      </c>
      <c r="I59" s="130" t="n"/>
      <c r="J59" s="137" t="str">
        <f>IF(OR(B59="",I59=""),"",DATE(YEAR(Hoje)+(DATE(YEAR(Hoje),MONTH(I59),DAY(I59))&lt;Hoje),MONTH(I59),DAY(I59)))</f>
        <v/>
      </c>
      <c r="K59" s="210" t="str">
        <f>IF(J59="","",J59-Hoje)</f>
        <v/>
      </c>
      <c r="L59" s="210" t="str">
        <f>IF(B59="","",COUNTIFS($R$10:$R$609,B59,$Q$10:$Q$609,"&gt;="&amp;IniAno,$Q$10:$Q$609,"&lt;="&amp;FimAno))</f>
        <v/>
      </c>
      <c r="M59" s="135" t="n"/>
      <c r="N59" t="str">
        <f>IF(AND(B59&lt;&gt;"",N(E59)&gt;0),IF(F59="",99,G59/E59)+ROW()/1000000,"")</f>
        <v/>
      </c>
      <c r="O59" t="str">
        <f>IF(K59="","",K59+ROW()/1000000)</f>
        <v/>
      </c>
      <c r="Q59" s="130" t="n"/>
      <c r="R59" s="129" t="n"/>
      <c r="S59" s="129" t="n"/>
      <c r="T59" s="106" t="n"/>
      <c r="U59" s="106" t="n"/>
      <c r="V59" s="129" t="n"/>
      <c r="W59" s="138" t="str">
        <f>IF(R59="","",IFERROR(INDEX($C$10:$C$69,MATCH(R59,$B$10:$B$69,0)),"—"))</f>
        <v/>
      </c>
    </row>
    <row r="60">
      <c r="B60" s="129" t="n"/>
      <c r="C60" s="129" t="n"/>
      <c r="D60" s="129" t="n"/>
      <c r="E60" s="106" t="n"/>
      <c r="F60" s="137" t="str">
        <f>IF(B60="","",IF(SUMPRODUCT(MAX(($R$10:$R$609=B60)*($Q$10:$Q$609&lt;=Hoje)*$Q$10:$Q$609))=0,"",SUMPRODUCT(MAX(($R$10:$R$609=B60)*($Q$10:$Q$609&lt;=Hoje)*$Q$10:$Q$609))))</f>
        <v/>
      </c>
      <c r="G60" s="210" t="str">
        <f>IF(OR(B60="",F60=""),"",Hoje-F60)</f>
        <v/>
      </c>
      <c r="H60" s="138" t="str">
        <f>IF(B60="","",IF(N(E60)=0,"○ Sem frequência",IF(F60="","✖ Sem registro",IF(G60&gt;E60,"✖ Atrasado",IF(G60&gt;=0.8*E60,"▲ Em breve","✔ Em dia")))))</f>
        <v/>
      </c>
      <c r="I60" s="130" t="n"/>
      <c r="J60" s="137" t="str">
        <f>IF(OR(B60="",I60=""),"",DATE(YEAR(Hoje)+(DATE(YEAR(Hoje),MONTH(I60),DAY(I60))&lt;Hoje),MONTH(I60),DAY(I60)))</f>
        <v/>
      </c>
      <c r="K60" s="210" t="str">
        <f>IF(J60="","",J60-Hoje)</f>
        <v/>
      </c>
      <c r="L60" s="210" t="str">
        <f>IF(B60="","",COUNTIFS($R$10:$R$609,B60,$Q$10:$Q$609,"&gt;="&amp;IniAno,$Q$10:$Q$609,"&lt;="&amp;FimAno))</f>
        <v/>
      </c>
      <c r="M60" s="135" t="n"/>
      <c r="N60" t="str">
        <f>IF(AND(B60&lt;&gt;"",N(E60)&gt;0),IF(F60="",99,G60/E60)+ROW()/1000000,"")</f>
        <v/>
      </c>
      <c r="O60" t="str">
        <f>IF(K60="","",K60+ROW()/1000000)</f>
        <v/>
      </c>
      <c r="Q60" s="130" t="n"/>
      <c r="R60" s="129" t="n"/>
      <c r="S60" s="129" t="n"/>
      <c r="T60" s="106" t="n"/>
      <c r="U60" s="106" t="n"/>
      <c r="V60" s="129" t="n"/>
      <c r="W60" s="138" t="str">
        <f>IF(R60="","",IFERROR(INDEX($C$10:$C$69,MATCH(R60,$B$10:$B$69,0)),"—"))</f>
        <v/>
      </c>
    </row>
    <row r="61">
      <c r="B61" s="129" t="n"/>
      <c r="C61" s="129" t="n"/>
      <c r="D61" s="129" t="n"/>
      <c r="E61" s="106" t="n"/>
      <c r="F61" s="137" t="str">
        <f>IF(B61="","",IF(SUMPRODUCT(MAX(($R$10:$R$609=B61)*($Q$10:$Q$609&lt;=Hoje)*$Q$10:$Q$609))=0,"",SUMPRODUCT(MAX(($R$10:$R$609=B61)*($Q$10:$Q$609&lt;=Hoje)*$Q$10:$Q$609))))</f>
        <v/>
      </c>
      <c r="G61" s="210" t="str">
        <f>IF(OR(B61="",F61=""),"",Hoje-F61)</f>
        <v/>
      </c>
      <c r="H61" s="138" t="str">
        <f>IF(B61="","",IF(N(E61)=0,"○ Sem frequência",IF(F61="","✖ Sem registro",IF(G61&gt;E61,"✖ Atrasado",IF(G61&gt;=0.8*E61,"▲ Em breve","✔ Em dia")))))</f>
        <v/>
      </c>
      <c r="I61" s="130" t="n"/>
      <c r="J61" s="137" t="str">
        <f>IF(OR(B61="",I61=""),"",DATE(YEAR(Hoje)+(DATE(YEAR(Hoje),MONTH(I61),DAY(I61))&lt;Hoje),MONTH(I61),DAY(I61)))</f>
        <v/>
      </c>
      <c r="K61" s="210" t="str">
        <f>IF(J61="","",J61-Hoje)</f>
        <v/>
      </c>
      <c r="L61" s="210" t="str">
        <f>IF(B61="","",COUNTIFS($R$10:$R$609,B61,$Q$10:$Q$609,"&gt;="&amp;IniAno,$Q$10:$Q$609,"&lt;="&amp;FimAno))</f>
        <v/>
      </c>
      <c r="M61" s="135" t="n"/>
      <c r="N61" t="str">
        <f>IF(AND(B61&lt;&gt;"",N(E61)&gt;0),IF(F61="",99,G61/E61)+ROW()/1000000,"")</f>
        <v/>
      </c>
      <c r="O61" t="str">
        <f>IF(K61="","",K61+ROW()/1000000)</f>
        <v/>
      </c>
      <c r="Q61" s="130" t="n"/>
      <c r="R61" s="129" t="n"/>
      <c r="S61" s="129" t="n"/>
      <c r="T61" s="106" t="n"/>
      <c r="U61" s="106" t="n"/>
      <c r="V61" s="129" t="n"/>
      <c r="W61" s="138" t="str">
        <f>IF(R61="","",IFERROR(INDEX($C$10:$C$69,MATCH(R61,$B$10:$B$69,0)),"—"))</f>
        <v/>
      </c>
    </row>
    <row r="62">
      <c r="B62" s="129" t="n"/>
      <c r="C62" s="129" t="n"/>
      <c r="D62" s="129" t="n"/>
      <c r="E62" s="106" t="n"/>
      <c r="F62" s="137" t="str">
        <f>IF(B62="","",IF(SUMPRODUCT(MAX(($R$10:$R$609=B62)*($Q$10:$Q$609&lt;=Hoje)*$Q$10:$Q$609))=0,"",SUMPRODUCT(MAX(($R$10:$R$609=B62)*($Q$10:$Q$609&lt;=Hoje)*$Q$10:$Q$609))))</f>
        <v/>
      </c>
      <c r="G62" s="210" t="str">
        <f>IF(OR(B62="",F62=""),"",Hoje-F62)</f>
        <v/>
      </c>
      <c r="H62" s="138" t="str">
        <f>IF(B62="","",IF(N(E62)=0,"○ Sem frequência",IF(F62="","✖ Sem registro",IF(G62&gt;E62,"✖ Atrasado",IF(G62&gt;=0.8*E62,"▲ Em breve","✔ Em dia")))))</f>
        <v/>
      </c>
      <c r="I62" s="130" t="n"/>
      <c r="J62" s="137" t="str">
        <f>IF(OR(B62="",I62=""),"",DATE(YEAR(Hoje)+(DATE(YEAR(Hoje),MONTH(I62),DAY(I62))&lt;Hoje),MONTH(I62),DAY(I62)))</f>
        <v/>
      </c>
      <c r="K62" s="210" t="str">
        <f>IF(J62="","",J62-Hoje)</f>
        <v/>
      </c>
      <c r="L62" s="210" t="str">
        <f>IF(B62="","",COUNTIFS($R$10:$R$609,B62,$Q$10:$Q$609,"&gt;="&amp;IniAno,$Q$10:$Q$609,"&lt;="&amp;FimAno))</f>
        <v/>
      </c>
      <c r="M62" s="135" t="n"/>
      <c r="N62" t="str">
        <f>IF(AND(B62&lt;&gt;"",N(E62)&gt;0),IF(F62="",99,G62/E62)+ROW()/1000000,"")</f>
        <v/>
      </c>
      <c r="O62" t="str">
        <f>IF(K62="","",K62+ROW()/1000000)</f>
        <v/>
      </c>
      <c r="Q62" s="130" t="n"/>
      <c r="R62" s="129" t="n"/>
      <c r="S62" s="129" t="n"/>
      <c r="T62" s="106" t="n"/>
      <c r="U62" s="106" t="n"/>
      <c r="V62" s="129" t="n"/>
      <c r="W62" s="138" t="str">
        <f>IF(R62="","",IFERROR(INDEX($C$10:$C$69,MATCH(R62,$B$10:$B$69,0)),"—"))</f>
        <v/>
      </c>
    </row>
    <row r="63">
      <c r="B63" s="129" t="n"/>
      <c r="C63" s="129" t="n"/>
      <c r="D63" s="129" t="n"/>
      <c r="E63" s="106" t="n"/>
      <c r="F63" s="137" t="str">
        <f>IF(B63="","",IF(SUMPRODUCT(MAX(($R$10:$R$609=B63)*($Q$10:$Q$609&lt;=Hoje)*$Q$10:$Q$609))=0,"",SUMPRODUCT(MAX(($R$10:$R$609=B63)*($Q$10:$Q$609&lt;=Hoje)*$Q$10:$Q$609))))</f>
        <v/>
      </c>
      <c r="G63" s="210" t="str">
        <f>IF(OR(B63="",F63=""),"",Hoje-F63)</f>
        <v/>
      </c>
      <c r="H63" s="138" t="str">
        <f>IF(B63="","",IF(N(E63)=0,"○ Sem frequência",IF(F63="","✖ Sem registro",IF(G63&gt;E63,"✖ Atrasado",IF(G63&gt;=0.8*E63,"▲ Em breve","✔ Em dia")))))</f>
        <v/>
      </c>
      <c r="I63" s="130" t="n"/>
      <c r="J63" s="137" t="str">
        <f>IF(OR(B63="",I63=""),"",DATE(YEAR(Hoje)+(DATE(YEAR(Hoje),MONTH(I63),DAY(I63))&lt;Hoje),MONTH(I63),DAY(I63)))</f>
        <v/>
      </c>
      <c r="K63" s="210" t="str">
        <f>IF(J63="","",J63-Hoje)</f>
        <v/>
      </c>
      <c r="L63" s="210" t="str">
        <f>IF(B63="","",COUNTIFS($R$10:$R$609,B63,$Q$10:$Q$609,"&gt;="&amp;IniAno,$Q$10:$Q$609,"&lt;="&amp;FimAno))</f>
        <v/>
      </c>
      <c r="M63" s="135" t="n"/>
      <c r="N63" t="str">
        <f>IF(AND(B63&lt;&gt;"",N(E63)&gt;0),IF(F63="",99,G63/E63)+ROW()/1000000,"")</f>
        <v/>
      </c>
      <c r="O63" t="str">
        <f>IF(K63="","",K63+ROW()/1000000)</f>
        <v/>
      </c>
      <c r="Q63" s="130" t="n"/>
      <c r="R63" s="129" t="n"/>
      <c r="S63" s="129" t="n"/>
      <c r="T63" s="106" t="n"/>
      <c r="U63" s="106" t="n"/>
      <c r="V63" s="129" t="n"/>
      <c r="W63" s="138" t="str">
        <f>IF(R63="","",IFERROR(INDEX($C$10:$C$69,MATCH(R63,$B$10:$B$69,0)),"—"))</f>
        <v/>
      </c>
    </row>
    <row r="64">
      <c r="B64" s="129" t="n"/>
      <c r="C64" s="129" t="n"/>
      <c r="D64" s="129" t="n"/>
      <c r="E64" s="106" t="n"/>
      <c r="F64" s="137" t="str">
        <f>IF(B64="","",IF(SUMPRODUCT(MAX(($R$10:$R$609=B64)*($Q$10:$Q$609&lt;=Hoje)*$Q$10:$Q$609))=0,"",SUMPRODUCT(MAX(($R$10:$R$609=B64)*($Q$10:$Q$609&lt;=Hoje)*$Q$10:$Q$609))))</f>
        <v/>
      </c>
      <c r="G64" s="210" t="str">
        <f>IF(OR(B64="",F64=""),"",Hoje-F64)</f>
        <v/>
      </c>
      <c r="H64" s="138" t="str">
        <f>IF(B64="","",IF(N(E64)=0,"○ Sem frequência",IF(F64="","✖ Sem registro",IF(G64&gt;E64,"✖ Atrasado",IF(G64&gt;=0.8*E64,"▲ Em breve","✔ Em dia")))))</f>
        <v/>
      </c>
      <c r="I64" s="130" t="n"/>
      <c r="J64" s="137" t="str">
        <f>IF(OR(B64="",I64=""),"",DATE(YEAR(Hoje)+(DATE(YEAR(Hoje),MONTH(I64),DAY(I64))&lt;Hoje),MONTH(I64),DAY(I64)))</f>
        <v/>
      </c>
      <c r="K64" s="210" t="str">
        <f>IF(J64="","",J64-Hoje)</f>
        <v/>
      </c>
      <c r="L64" s="210" t="str">
        <f>IF(B64="","",COUNTIFS($R$10:$R$609,B64,$Q$10:$Q$609,"&gt;="&amp;IniAno,$Q$10:$Q$609,"&lt;="&amp;FimAno))</f>
        <v/>
      </c>
      <c r="M64" s="135" t="n"/>
      <c r="N64" t="str">
        <f>IF(AND(B64&lt;&gt;"",N(E64)&gt;0),IF(F64="",99,G64/E64)+ROW()/1000000,"")</f>
        <v/>
      </c>
      <c r="O64" t="str">
        <f>IF(K64="","",K64+ROW()/1000000)</f>
        <v/>
      </c>
      <c r="Q64" s="130" t="n"/>
      <c r="R64" s="129" t="n"/>
      <c r="S64" s="129" t="n"/>
      <c r="T64" s="106" t="n"/>
      <c r="U64" s="106" t="n"/>
      <c r="V64" s="129" t="n"/>
      <c r="W64" s="138" t="str">
        <f>IF(R64="","",IFERROR(INDEX($C$10:$C$69,MATCH(R64,$B$10:$B$69,0)),"—"))</f>
        <v/>
      </c>
    </row>
    <row r="65">
      <c r="B65" s="129" t="n"/>
      <c r="C65" s="129" t="n"/>
      <c r="D65" s="129" t="n"/>
      <c r="E65" s="106" t="n"/>
      <c r="F65" s="137" t="str">
        <f>IF(B65="","",IF(SUMPRODUCT(MAX(($R$10:$R$609=B65)*($Q$10:$Q$609&lt;=Hoje)*$Q$10:$Q$609))=0,"",SUMPRODUCT(MAX(($R$10:$R$609=B65)*($Q$10:$Q$609&lt;=Hoje)*$Q$10:$Q$609))))</f>
        <v/>
      </c>
      <c r="G65" s="210" t="str">
        <f>IF(OR(B65="",F65=""),"",Hoje-F65)</f>
        <v/>
      </c>
      <c r="H65" s="138" t="str">
        <f>IF(B65="","",IF(N(E65)=0,"○ Sem frequência",IF(F65="","✖ Sem registro",IF(G65&gt;E65,"✖ Atrasado",IF(G65&gt;=0.8*E65,"▲ Em breve","✔ Em dia")))))</f>
        <v/>
      </c>
      <c r="I65" s="130" t="n"/>
      <c r="J65" s="137" t="str">
        <f>IF(OR(B65="",I65=""),"",DATE(YEAR(Hoje)+(DATE(YEAR(Hoje),MONTH(I65),DAY(I65))&lt;Hoje),MONTH(I65),DAY(I65)))</f>
        <v/>
      </c>
      <c r="K65" s="210" t="str">
        <f>IF(J65="","",J65-Hoje)</f>
        <v/>
      </c>
      <c r="L65" s="210" t="str">
        <f>IF(B65="","",COUNTIFS($R$10:$R$609,B65,$Q$10:$Q$609,"&gt;="&amp;IniAno,$Q$10:$Q$609,"&lt;="&amp;FimAno))</f>
        <v/>
      </c>
      <c r="M65" s="135" t="n"/>
      <c r="N65" t="str">
        <f>IF(AND(B65&lt;&gt;"",N(E65)&gt;0),IF(F65="",99,G65/E65)+ROW()/1000000,"")</f>
        <v/>
      </c>
      <c r="O65" t="str">
        <f>IF(K65="","",K65+ROW()/1000000)</f>
        <v/>
      </c>
      <c r="Q65" s="130" t="n"/>
      <c r="R65" s="129" t="n"/>
      <c r="S65" s="129" t="n"/>
      <c r="T65" s="106" t="n"/>
      <c r="U65" s="106" t="n"/>
      <c r="V65" s="129" t="n"/>
      <c r="W65" s="138" t="str">
        <f>IF(R65="","",IFERROR(INDEX($C$10:$C$69,MATCH(R65,$B$10:$B$69,0)),"—"))</f>
        <v/>
      </c>
    </row>
    <row r="66">
      <c r="B66" s="129" t="n"/>
      <c r="C66" s="129" t="n"/>
      <c r="D66" s="129" t="n"/>
      <c r="E66" s="106" t="n"/>
      <c r="F66" s="137" t="str">
        <f>IF(B66="","",IF(SUMPRODUCT(MAX(($R$10:$R$609=B66)*($Q$10:$Q$609&lt;=Hoje)*$Q$10:$Q$609))=0,"",SUMPRODUCT(MAX(($R$10:$R$609=B66)*($Q$10:$Q$609&lt;=Hoje)*$Q$10:$Q$609))))</f>
        <v/>
      </c>
      <c r="G66" s="210" t="str">
        <f>IF(OR(B66="",F66=""),"",Hoje-F66)</f>
        <v/>
      </c>
      <c r="H66" s="138" t="str">
        <f>IF(B66="","",IF(N(E66)=0,"○ Sem frequência",IF(F66="","✖ Sem registro",IF(G66&gt;E66,"✖ Atrasado",IF(G66&gt;=0.8*E66,"▲ Em breve","✔ Em dia")))))</f>
        <v/>
      </c>
      <c r="I66" s="130" t="n"/>
      <c r="J66" s="137" t="str">
        <f>IF(OR(B66="",I66=""),"",DATE(YEAR(Hoje)+(DATE(YEAR(Hoje),MONTH(I66),DAY(I66))&lt;Hoje),MONTH(I66),DAY(I66)))</f>
        <v/>
      </c>
      <c r="K66" s="210" t="str">
        <f>IF(J66="","",J66-Hoje)</f>
        <v/>
      </c>
      <c r="L66" s="210" t="str">
        <f>IF(B66="","",COUNTIFS($R$10:$R$609,B66,$Q$10:$Q$609,"&gt;="&amp;IniAno,$Q$10:$Q$609,"&lt;="&amp;FimAno))</f>
        <v/>
      </c>
      <c r="M66" s="135" t="n"/>
      <c r="N66" t="str">
        <f>IF(AND(B66&lt;&gt;"",N(E66)&gt;0),IF(F66="",99,G66/E66)+ROW()/1000000,"")</f>
        <v/>
      </c>
      <c r="O66" t="str">
        <f>IF(K66="","",K66+ROW()/1000000)</f>
        <v/>
      </c>
      <c r="Q66" s="130" t="n"/>
      <c r="R66" s="129" t="n"/>
      <c r="S66" s="129" t="n"/>
      <c r="T66" s="106" t="n"/>
      <c r="U66" s="106" t="n"/>
      <c r="V66" s="129" t="n"/>
      <c r="W66" s="138" t="str">
        <f>IF(R66="","",IFERROR(INDEX($C$10:$C$69,MATCH(R66,$B$10:$B$69,0)),"—"))</f>
        <v/>
      </c>
    </row>
    <row r="67">
      <c r="B67" s="129" t="n"/>
      <c r="C67" s="129" t="n"/>
      <c r="D67" s="129" t="n"/>
      <c r="E67" s="106" t="n"/>
      <c r="F67" s="137" t="str">
        <f>IF(B67="","",IF(SUMPRODUCT(MAX(($R$10:$R$609=B67)*($Q$10:$Q$609&lt;=Hoje)*$Q$10:$Q$609))=0,"",SUMPRODUCT(MAX(($R$10:$R$609=B67)*($Q$10:$Q$609&lt;=Hoje)*$Q$10:$Q$609))))</f>
        <v/>
      </c>
      <c r="G67" s="210" t="str">
        <f>IF(OR(B67="",F67=""),"",Hoje-F67)</f>
        <v/>
      </c>
      <c r="H67" s="138" t="str">
        <f>IF(B67="","",IF(N(E67)=0,"○ Sem frequência",IF(F67="","✖ Sem registro",IF(G67&gt;E67,"✖ Atrasado",IF(G67&gt;=0.8*E67,"▲ Em breve","✔ Em dia")))))</f>
        <v/>
      </c>
      <c r="I67" s="130" t="n"/>
      <c r="J67" s="137" t="str">
        <f>IF(OR(B67="",I67=""),"",DATE(YEAR(Hoje)+(DATE(YEAR(Hoje),MONTH(I67),DAY(I67))&lt;Hoje),MONTH(I67),DAY(I67)))</f>
        <v/>
      </c>
      <c r="K67" s="210" t="str">
        <f>IF(J67="","",J67-Hoje)</f>
        <v/>
      </c>
      <c r="L67" s="210" t="str">
        <f>IF(B67="","",COUNTIFS($R$10:$R$609,B67,$Q$10:$Q$609,"&gt;="&amp;IniAno,$Q$10:$Q$609,"&lt;="&amp;FimAno))</f>
        <v/>
      </c>
      <c r="M67" s="135" t="n"/>
      <c r="N67" t="str">
        <f>IF(AND(B67&lt;&gt;"",N(E67)&gt;0),IF(F67="",99,G67/E67)+ROW()/1000000,"")</f>
        <v/>
      </c>
      <c r="O67" t="str">
        <f>IF(K67="","",K67+ROW()/1000000)</f>
        <v/>
      </c>
      <c r="Q67" s="130" t="n"/>
      <c r="R67" s="129" t="n"/>
      <c r="S67" s="129" t="n"/>
      <c r="T67" s="106" t="n"/>
      <c r="U67" s="106" t="n"/>
      <c r="V67" s="129" t="n"/>
      <c r="W67" s="138" t="str">
        <f>IF(R67="","",IFERROR(INDEX($C$10:$C$69,MATCH(R67,$B$10:$B$69,0)),"—"))</f>
        <v/>
      </c>
    </row>
    <row r="68">
      <c r="B68" s="129" t="n"/>
      <c r="C68" s="129" t="n"/>
      <c r="D68" s="129" t="n"/>
      <c r="E68" s="106" t="n"/>
      <c r="F68" s="137" t="str">
        <f>IF(B68="","",IF(SUMPRODUCT(MAX(($R$10:$R$609=B68)*($Q$10:$Q$609&lt;=Hoje)*$Q$10:$Q$609))=0,"",SUMPRODUCT(MAX(($R$10:$R$609=B68)*($Q$10:$Q$609&lt;=Hoje)*$Q$10:$Q$609))))</f>
        <v/>
      </c>
      <c r="G68" s="210" t="str">
        <f>IF(OR(B68="",F68=""),"",Hoje-F68)</f>
        <v/>
      </c>
      <c r="H68" s="138" t="str">
        <f>IF(B68="","",IF(N(E68)=0,"○ Sem frequência",IF(F68="","✖ Sem registro",IF(G68&gt;E68,"✖ Atrasado",IF(G68&gt;=0.8*E68,"▲ Em breve","✔ Em dia")))))</f>
        <v/>
      </c>
      <c r="I68" s="130" t="n"/>
      <c r="J68" s="137" t="str">
        <f>IF(OR(B68="",I68=""),"",DATE(YEAR(Hoje)+(DATE(YEAR(Hoje),MONTH(I68),DAY(I68))&lt;Hoje),MONTH(I68),DAY(I68)))</f>
        <v/>
      </c>
      <c r="K68" s="210" t="str">
        <f>IF(J68="","",J68-Hoje)</f>
        <v/>
      </c>
      <c r="L68" s="210" t="str">
        <f>IF(B68="","",COUNTIFS($R$10:$R$609,B68,$Q$10:$Q$609,"&gt;="&amp;IniAno,$Q$10:$Q$609,"&lt;="&amp;FimAno))</f>
        <v/>
      </c>
      <c r="M68" s="135" t="n"/>
      <c r="N68" t="str">
        <f>IF(AND(B68&lt;&gt;"",N(E68)&gt;0),IF(F68="",99,G68/E68)+ROW()/1000000,"")</f>
        <v/>
      </c>
      <c r="O68" t="str">
        <f>IF(K68="","",K68+ROW()/1000000)</f>
        <v/>
      </c>
      <c r="Q68" s="130" t="n"/>
      <c r="R68" s="129" t="n"/>
      <c r="S68" s="129" t="n"/>
      <c r="T68" s="106" t="n"/>
      <c r="U68" s="106" t="n"/>
      <c r="V68" s="129" t="n"/>
      <c r="W68" s="138" t="str">
        <f>IF(R68="","",IFERROR(INDEX($C$10:$C$69,MATCH(R68,$B$10:$B$69,0)),"—"))</f>
        <v/>
      </c>
    </row>
    <row r="69">
      <c r="B69" s="129" t="n"/>
      <c r="C69" s="129" t="n"/>
      <c r="D69" s="129" t="n"/>
      <c r="E69" s="106" t="n"/>
      <c r="F69" s="137" t="str">
        <f>IF(B69="","",IF(SUMPRODUCT(MAX(($R$10:$R$609=B69)*($Q$10:$Q$609&lt;=Hoje)*$Q$10:$Q$609))=0,"",SUMPRODUCT(MAX(($R$10:$R$609=B69)*($Q$10:$Q$609&lt;=Hoje)*$Q$10:$Q$609))))</f>
        <v/>
      </c>
      <c r="G69" s="210" t="str">
        <f>IF(OR(B69="",F69=""),"",Hoje-F69)</f>
        <v/>
      </c>
      <c r="H69" s="138" t="str">
        <f>IF(B69="","",IF(N(E69)=0,"○ Sem frequência",IF(F69="","✖ Sem registro",IF(G69&gt;E69,"✖ Atrasado",IF(G69&gt;=0.8*E69,"▲ Em breve","✔ Em dia")))))</f>
        <v/>
      </c>
      <c r="I69" s="130" t="n"/>
      <c r="J69" s="137" t="str">
        <f>IF(OR(B69="",I69=""),"",DATE(YEAR(Hoje)+(DATE(YEAR(Hoje),MONTH(I69),DAY(I69))&lt;Hoje),MONTH(I69),DAY(I69)))</f>
        <v/>
      </c>
      <c r="K69" s="210" t="str">
        <f>IF(J69="","",J69-Hoje)</f>
        <v/>
      </c>
      <c r="L69" s="210" t="str">
        <f>IF(B69="","",COUNTIFS($R$10:$R$609,B69,$Q$10:$Q$609,"&gt;="&amp;IniAno,$Q$10:$Q$609,"&lt;="&amp;FimAno))</f>
        <v/>
      </c>
      <c r="M69" s="135" t="n"/>
      <c r="N69" t="str">
        <f>IF(AND(B69&lt;&gt;"",N(E69)&gt;0),IF(F69="",99,G69/E69)+ROW()/1000000,"")</f>
        <v/>
      </c>
      <c r="O69" t="str">
        <f>IF(K69="","",K69+ROW()/1000000)</f>
        <v/>
      </c>
      <c r="Q69" s="130" t="n"/>
      <c r="R69" s="129" t="n"/>
      <c r="S69" s="129" t="n"/>
      <c r="T69" s="106" t="n"/>
      <c r="U69" s="106" t="n"/>
      <c r="V69" s="129" t="n"/>
      <c r="W69" s="138" t="str">
        <f>IF(R69="","",IFERROR(INDEX($C$10:$C$69,MATCH(R69,$B$10:$B$69,0)),"—"))</f>
        <v/>
      </c>
    </row>
    <row r="70">
      <c r="Q70" s="130" t="n"/>
      <c r="R70" s="129" t="n"/>
      <c r="S70" s="129" t="n"/>
      <c r="T70" s="106" t="n"/>
      <c r="U70" s="106" t="n"/>
      <c r="V70" s="129" t="n"/>
      <c r="W70" s="138" t="str">
        <f>IF(R70="","",IFERROR(INDEX($C$10:$C$69,MATCH(R70,$B$10:$B$69,0)),"—"))</f>
        <v/>
      </c>
    </row>
    <row r="71">
      <c r="Q71" s="130" t="n"/>
      <c r="R71" s="129" t="n"/>
      <c r="S71" s="129" t="n"/>
      <c r="T71" s="106" t="n"/>
      <c r="U71" s="106" t="n"/>
      <c r="V71" s="129" t="n"/>
      <c r="W71" s="138" t="str">
        <f>IF(R71="","",IFERROR(INDEX($C$10:$C$69,MATCH(R71,$B$10:$B$69,0)),"—"))</f>
        <v/>
      </c>
    </row>
    <row r="72">
      <c r="Q72" s="130" t="n"/>
      <c r="R72" s="129" t="n"/>
      <c r="S72" s="129" t="n"/>
      <c r="T72" s="106" t="n"/>
      <c r="U72" s="106" t="n"/>
      <c r="V72" s="129" t="n"/>
      <c r="W72" s="138" t="str">
        <f>IF(R72="","",IFERROR(INDEX($C$10:$C$69,MATCH(R72,$B$10:$B$69,0)),"—"))</f>
        <v/>
      </c>
    </row>
    <row r="73">
      <c r="Q73" s="130" t="n"/>
      <c r="R73" s="129" t="n"/>
      <c r="S73" s="129" t="n"/>
      <c r="T73" s="106" t="n"/>
      <c r="U73" s="106" t="n"/>
      <c r="V73" s="129" t="n"/>
      <c r="W73" s="138" t="str">
        <f>IF(R73="","",IFERROR(INDEX($C$10:$C$69,MATCH(R73,$B$10:$B$69,0)),"—"))</f>
        <v/>
      </c>
    </row>
    <row r="74">
      <c r="Q74" s="130" t="n"/>
      <c r="R74" s="129" t="n"/>
      <c r="S74" s="129" t="n"/>
      <c r="T74" s="106" t="n"/>
      <c r="U74" s="106" t="n"/>
      <c r="V74" s="129" t="n"/>
      <c r="W74" s="138" t="str">
        <f>IF(R74="","",IFERROR(INDEX($C$10:$C$69,MATCH(R74,$B$10:$B$69,0)),"—"))</f>
        <v/>
      </c>
    </row>
    <row r="75">
      <c r="Q75" s="130" t="n"/>
      <c r="R75" s="129" t="n"/>
      <c r="S75" s="129" t="n"/>
      <c r="T75" s="106" t="n"/>
      <c r="U75" s="106" t="n"/>
      <c r="V75" s="129" t="n"/>
      <c r="W75" s="138" t="str">
        <f>IF(R75="","",IFERROR(INDEX($C$10:$C$69,MATCH(R75,$B$10:$B$69,0)),"—"))</f>
        <v/>
      </c>
    </row>
    <row r="76">
      <c r="Q76" s="130" t="n"/>
      <c r="R76" s="129" t="n"/>
      <c r="S76" s="129" t="n"/>
      <c r="T76" s="106" t="n"/>
      <c r="U76" s="106" t="n"/>
      <c r="V76" s="129" t="n"/>
      <c r="W76" s="138" t="str">
        <f>IF(R76="","",IFERROR(INDEX($C$10:$C$69,MATCH(R76,$B$10:$B$69,0)),"—"))</f>
        <v/>
      </c>
    </row>
    <row r="77">
      <c r="Q77" s="130" t="n"/>
      <c r="R77" s="129" t="n"/>
      <c r="S77" s="129" t="n"/>
      <c r="T77" s="106" t="n"/>
      <c r="U77" s="106" t="n"/>
      <c r="V77" s="129" t="n"/>
      <c r="W77" s="138" t="str">
        <f>IF(R77="","",IFERROR(INDEX($C$10:$C$69,MATCH(R77,$B$10:$B$69,0)),"—"))</f>
        <v/>
      </c>
    </row>
    <row r="78">
      <c r="Q78" s="130" t="n"/>
      <c r="R78" s="129" t="n"/>
      <c r="S78" s="129" t="n"/>
      <c r="T78" s="106" t="n"/>
      <c r="U78" s="106" t="n"/>
      <c r="V78" s="129" t="n"/>
      <c r="W78" s="138" t="str">
        <f>IF(R78="","",IFERROR(INDEX($C$10:$C$69,MATCH(R78,$B$10:$B$69,0)),"—"))</f>
        <v/>
      </c>
    </row>
    <row r="79">
      <c r="Q79" s="130" t="n"/>
      <c r="R79" s="129" t="n"/>
      <c r="S79" s="129" t="n"/>
      <c r="T79" s="106" t="n"/>
      <c r="U79" s="106" t="n"/>
      <c r="V79" s="129" t="n"/>
      <c r="W79" s="138" t="str">
        <f>IF(R79="","",IFERROR(INDEX($C$10:$C$69,MATCH(R79,$B$10:$B$69,0)),"—"))</f>
        <v/>
      </c>
    </row>
    <row r="80">
      <c r="Q80" s="130" t="n"/>
      <c r="R80" s="129" t="n"/>
      <c r="S80" s="129" t="n"/>
      <c r="T80" s="106" t="n"/>
      <c r="U80" s="106" t="n"/>
      <c r="V80" s="129" t="n"/>
      <c r="W80" s="138" t="str">
        <f>IF(R80="","",IFERROR(INDEX($C$10:$C$69,MATCH(R80,$B$10:$B$69,0)),"—"))</f>
        <v/>
      </c>
    </row>
    <row r="81">
      <c r="Q81" s="130" t="n"/>
      <c r="R81" s="129" t="n"/>
      <c r="S81" s="129" t="n"/>
      <c r="T81" s="106" t="n"/>
      <c r="U81" s="106" t="n"/>
      <c r="V81" s="129" t="n"/>
      <c r="W81" s="138" t="str">
        <f>IF(R81="","",IFERROR(INDEX($C$10:$C$69,MATCH(R81,$B$10:$B$69,0)),"—"))</f>
        <v/>
      </c>
    </row>
    <row r="82">
      <c r="Q82" s="130" t="n"/>
      <c r="R82" s="129" t="n"/>
      <c r="S82" s="129" t="n"/>
      <c r="T82" s="106" t="n"/>
      <c r="U82" s="106" t="n"/>
      <c r="V82" s="129" t="n"/>
      <c r="W82" s="138" t="str">
        <f>IF(R82="","",IFERROR(INDEX($C$10:$C$69,MATCH(R82,$B$10:$B$69,0)),"—"))</f>
        <v/>
      </c>
    </row>
    <row r="83">
      <c r="Q83" s="130" t="n"/>
      <c r="R83" s="129" t="n"/>
      <c r="S83" s="129" t="n"/>
      <c r="T83" s="106" t="n"/>
      <c r="U83" s="106" t="n"/>
      <c r="V83" s="129" t="n"/>
      <c r="W83" s="138" t="str">
        <f>IF(R83="","",IFERROR(INDEX($C$10:$C$69,MATCH(R83,$B$10:$B$69,0)),"—"))</f>
        <v/>
      </c>
    </row>
    <row r="84">
      <c r="Q84" s="130" t="n"/>
      <c r="R84" s="129" t="n"/>
      <c r="S84" s="129" t="n"/>
      <c r="T84" s="106" t="n"/>
      <c r="U84" s="106" t="n"/>
      <c r="V84" s="129" t="n"/>
      <c r="W84" s="138" t="str">
        <f>IF(R84="","",IFERROR(INDEX($C$10:$C$69,MATCH(R84,$B$10:$B$69,0)),"—"))</f>
        <v/>
      </c>
    </row>
    <row r="85">
      <c r="Q85" s="130" t="n"/>
      <c r="R85" s="129" t="n"/>
      <c r="S85" s="129" t="n"/>
      <c r="T85" s="106" t="n"/>
      <c r="U85" s="106" t="n"/>
      <c r="V85" s="129" t="n"/>
      <c r="W85" s="138" t="str">
        <f>IF(R85="","",IFERROR(INDEX($C$10:$C$69,MATCH(R85,$B$10:$B$69,0)),"—"))</f>
        <v/>
      </c>
    </row>
    <row r="86">
      <c r="Q86" s="130" t="n"/>
      <c r="R86" s="129" t="n"/>
      <c r="S86" s="129" t="n"/>
      <c r="T86" s="106" t="n"/>
      <c r="U86" s="106" t="n"/>
      <c r="V86" s="129" t="n"/>
      <c r="W86" s="138" t="str">
        <f>IF(R86="","",IFERROR(INDEX($C$10:$C$69,MATCH(R86,$B$10:$B$69,0)),"—"))</f>
        <v/>
      </c>
    </row>
    <row r="87">
      <c r="Q87" s="130" t="n"/>
      <c r="R87" s="129" t="n"/>
      <c r="S87" s="129" t="n"/>
      <c r="T87" s="106" t="n"/>
      <c r="U87" s="106" t="n"/>
      <c r="V87" s="129" t="n"/>
      <c r="W87" s="138" t="str">
        <f>IF(R87="","",IFERROR(INDEX($C$10:$C$69,MATCH(R87,$B$10:$B$69,0)),"—"))</f>
        <v/>
      </c>
    </row>
    <row r="88">
      <c r="Q88" s="130" t="n"/>
      <c r="R88" s="129" t="n"/>
      <c r="S88" s="129" t="n"/>
      <c r="T88" s="106" t="n"/>
      <c r="U88" s="106" t="n"/>
      <c r="V88" s="129" t="n"/>
      <c r="W88" s="138" t="str">
        <f>IF(R88="","",IFERROR(INDEX($C$10:$C$69,MATCH(R88,$B$10:$B$69,0)),"—"))</f>
        <v/>
      </c>
    </row>
    <row r="89">
      <c r="Q89" s="130" t="n"/>
      <c r="R89" s="129" t="n"/>
      <c r="S89" s="129" t="n"/>
      <c r="T89" s="106" t="n"/>
      <c r="U89" s="106" t="n"/>
      <c r="V89" s="129" t="n"/>
      <c r="W89" s="138" t="str">
        <f>IF(R89="","",IFERROR(INDEX($C$10:$C$69,MATCH(R89,$B$10:$B$69,0)),"—"))</f>
        <v/>
      </c>
    </row>
    <row r="90">
      <c r="Q90" s="130" t="n"/>
      <c r="R90" s="129" t="n"/>
      <c r="S90" s="129" t="n"/>
      <c r="T90" s="106" t="n"/>
      <c r="U90" s="106" t="n"/>
      <c r="V90" s="129" t="n"/>
      <c r="W90" s="138" t="str">
        <f>IF(R90="","",IFERROR(INDEX($C$10:$C$69,MATCH(R90,$B$10:$B$69,0)),"—"))</f>
        <v/>
      </c>
    </row>
    <row r="91">
      <c r="Q91" s="130" t="n"/>
      <c r="R91" s="129" t="n"/>
      <c r="S91" s="129" t="n"/>
      <c r="T91" s="106" t="n"/>
      <c r="U91" s="106" t="n"/>
      <c r="V91" s="129" t="n"/>
      <c r="W91" s="138" t="str">
        <f>IF(R91="","",IFERROR(INDEX($C$10:$C$69,MATCH(R91,$B$10:$B$69,0)),"—"))</f>
        <v/>
      </c>
    </row>
    <row r="92">
      <c r="Q92" s="130" t="n"/>
      <c r="R92" s="129" t="n"/>
      <c r="S92" s="129" t="n"/>
      <c r="T92" s="106" t="n"/>
      <c r="U92" s="106" t="n"/>
      <c r="V92" s="129" t="n"/>
      <c r="W92" s="138" t="str">
        <f>IF(R92="","",IFERROR(INDEX($C$10:$C$69,MATCH(R92,$B$10:$B$69,0)),"—"))</f>
        <v/>
      </c>
    </row>
    <row r="93">
      <c r="Q93" s="130" t="n"/>
      <c r="R93" s="129" t="n"/>
      <c r="S93" s="129" t="n"/>
      <c r="T93" s="106" t="n"/>
      <c r="U93" s="106" t="n"/>
      <c r="V93" s="129" t="n"/>
      <c r="W93" s="138" t="str">
        <f>IF(R93="","",IFERROR(INDEX($C$10:$C$69,MATCH(R93,$B$10:$B$69,0)),"—"))</f>
        <v/>
      </c>
    </row>
    <row r="94">
      <c r="Q94" s="130" t="n"/>
      <c r="R94" s="129" t="n"/>
      <c r="S94" s="129" t="n"/>
      <c r="T94" s="106" t="n"/>
      <c r="U94" s="106" t="n"/>
      <c r="V94" s="129" t="n"/>
      <c r="W94" s="138" t="str">
        <f>IF(R94="","",IFERROR(INDEX($C$10:$C$69,MATCH(R94,$B$10:$B$69,0)),"—"))</f>
        <v/>
      </c>
    </row>
    <row r="95">
      <c r="Q95" s="130" t="n"/>
      <c r="R95" s="129" t="n"/>
      <c r="S95" s="129" t="n"/>
      <c r="T95" s="106" t="n"/>
      <c r="U95" s="106" t="n"/>
      <c r="V95" s="129" t="n"/>
      <c r="W95" s="138" t="str">
        <f>IF(R95="","",IFERROR(INDEX($C$10:$C$69,MATCH(R95,$B$10:$B$69,0)),"—"))</f>
        <v/>
      </c>
    </row>
    <row r="96">
      <c r="Q96" s="130" t="n"/>
      <c r="R96" s="129" t="n"/>
      <c r="S96" s="129" t="n"/>
      <c r="T96" s="106" t="n"/>
      <c r="U96" s="106" t="n"/>
      <c r="V96" s="129" t="n"/>
      <c r="W96" s="138" t="str">
        <f>IF(R96="","",IFERROR(INDEX($C$10:$C$69,MATCH(R96,$B$10:$B$69,0)),"—"))</f>
        <v/>
      </c>
    </row>
    <row r="97">
      <c r="Q97" s="130" t="n"/>
      <c r="R97" s="129" t="n"/>
      <c r="S97" s="129" t="n"/>
      <c r="T97" s="106" t="n"/>
      <c r="U97" s="106" t="n"/>
      <c r="V97" s="129" t="n"/>
      <c r="W97" s="138" t="str">
        <f>IF(R97="","",IFERROR(INDEX($C$10:$C$69,MATCH(R97,$B$10:$B$69,0)),"—"))</f>
        <v/>
      </c>
    </row>
    <row r="98">
      <c r="Q98" s="130" t="n"/>
      <c r="R98" s="129" t="n"/>
      <c r="S98" s="129" t="n"/>
      <c r="T98" s="106" t="n"/>
      <c r="U98" s="106" t="n"/>
      <c r="V98" s="129" t="n"/>
      <c r="W98" s="138" t="str">
        <f>IF(R98="","",IFERROR(INDEX($C$10:$C$69,MATCH(R98,$B$10:$B$69,0)),"—"))</f>
        <v/>
      </c>
    </row>
    <row r="99">
      <c r="Q99" s="130" t="n"/>
      <c r="R99" s="129" t="n"/>
      <c r="S99" s="129" t="n"/>
      <c r="T99" s="106" t="n"/>
      <c r="U99" s="106" t="n"/>
      <c r="V99" s="129" t="n"/>
      <c r="W99" s="138" t="str">
        <f>IF(R99="","",IFERROR(INDEX($C$10:$C$69,MATCH(R99,$B$10:$B$69,0)),"—"))</f>
        <v/>
      </c>
    </row>
    <row r="100">
      <c r="Q100" s="130" t="n"/>
      <c r="R100" s="129" t="n"/>
      <c r="S100" s="129" t="n"/>
      <c r="T100" s="106" t="n"/>
      <c r="U100" s="106" t="n"/>
      <c r="V100" s="129" t="n"/>
      <c r="W100" s="138" t="str">
        <f>IF(R100="","",IFERROR(INDEX($C$10:$C$69,MATCH(R100,$B$10:$B$69,0)),"—"))</f>
        <v/>
      </c>
    </row>
    <row r="101">
      <c r="Q101" s="130" t="n"/>
      <c r="R101" s="129" t="n"/>
      <c r="S101" s="129" t="n"/>
      <c r="T101" s="106" t="n"/>
      <c r="U101" s="106" t="n"/>
      <c r="V101" s="129" t="n"/>
      <c r="W101" s="138" t="str">
        <f>IF(R101="","",IFERROR(INDEX($C$10:$C$69,MATCH(R101,$B$10:$B$69,0)),"—"))</f>
        <v/>
      </c>
    </row>
    <row r="102">
      <c r="Q102" s="130" t="n"/>
      <c r="R102" s="129" t="n"/>
      <c r="S102" s="129" t="n"/>
      <c r="T102" s="106" t="n"/>
      <c r="U102" s="106" t="n"/>
      <c r="V102" s="129" t="n"/>
      <c r="W102" s="138" t="str">
        <f>IF(R102="","",IFERROR(INDEX($C$10:$C$69,MATCH(R102,$B$10:$B$69,0)),"—"))</f>
        <v/>
      </c>
    </row>
    <row r="103">
      <c r="Q103" s="130" t="n"/>
      <c r="R103" s="129" t="n"/>
      <c r="S103" s="129" t="n"/>
      <c r="T103" s="106" t="n"/>
      <c r="U103" s="106" t="n"/>
      <c r="V103" s="129" t="n"/>
      <c r="W103" s="138" t="str">
        <f>IF(R103="","",IFERROR(INDEX($C$10:$C$69,MATCH(R103,$B$10:$B$69,0)),"—"))</f>
        <v/>
      </c>
    </row>
    <row r="104">
      <c r="Q104" s="130" t="n"/>
      <c r="R104" s="129" t="n"/>
      <c r="S104" s="129" t="n"/>
      <c r="T104" s="106" t="n"/>
      <c r="U104" s="106" t="n"/>
      <c r="V104" s="129" t="n"/>
      <c r="W104" s="138" t="str">
        <f>IF(R104="","",IFERROR(INDEX($C$10:$C$69,MATCH(R104,$B$10:$B$69,0)),"—"))</f>
        <v/>
      </c>
    </row>
    <row r="105">
      <c r="Q105" s="130" t="n"/>
      <c r="R105" s="129" t="n"/>
      <c r="S105" s="129" t="n"/>
      <c r="T105" s="106" t="n"/>
      <c r="U105" s="106" t="n"/>
      <c r="V105" s="129" t="n"/>
      <c r="W105" s="138" t="str">
        <f>IF(R105="","",IFERROR(INDEX($C$10:$C$69,MATCH(R105,$B$10:$B$69,0)),"—"))</f>
        <v/>
      </c>
    </row>
    <row r="106">
      <c r="Q106" s="130" t="n"/>
      <c r="R106" s="129" t="n"/>
      <c r="S106" s="129" t="n"/>
      <c r="T106" s="106" t="n"/>
      <c r="U106" s="106" t="n"/>
      <c r="V106" s="129" t="n"/>
      <c r="W106" s="138" t="str">
        <f>IF(R106="","",IFERROR(INDEX($C$10:$C$69,MATCH(R106,$B$10:$B$69,0)),"—"))</f>
        <v/>
      </c>
    </row>
    <row r="107">
      <c r="Q107" s="130" t="n"/>
      <c r="R107" s="129" t="n"/>
      <c r="S107" s="129" t="n"/>
      <c r="T107" s="106" t="n"/>
      <c r="U107" s="106" t="n"/>
      <c r="V107" s="129" t="n"/>
      <c r="W107" s="138" t="str">
        <f>IF(R107="","",IFERROR(INDEX($C$10:$C$69,MATCH(R107,$B$10:$B$69,0)),"—"))</f>
        <v/>
      </c>
    </row>
    <row r="108">
      <c r="Q108" s="130" t="n"/>
      <c r="R108" s="129" t="n"/>
      <c r="S108" s="129" t="n"/>
      <c r="T108" s="106" t="n"/>
      <c r="U108" s="106" t="n"/>
      <c r="V108" s="129" t="n"/>
      <c r="W108" s="138" t="str">
        <f>IF(R108="","",IFERROR(INDEX($C$10:$C$69,MATCH(R108,$B$10:$B$69,0)),"—"))</f>
        <v/>
      </c>
    </row>
    <row r="109">
      <c r="Q109" s="130" t="n"/>
      <c r="R109" s="129" t="n"/>
      <c r="S109" s="129" t="n"/>
      <c r="T109" s="106" t="n"/>
      <c r="U109" s="106" t="n"/>
      <c r="V109" s="129" t="n"/>
      <c r="W109" s="138" t="str">
        <f>IF(R109="","",IFERROR(INDEX($C$10:$C$69,MATCH(R109,$B$10:$B$69,0)),"—"))</f>
        <v/>
      </c>
    </row>
    <row r="110">
      <c r="Q110" s="130" t="n"/>
      <c r="R110" s="129" t="n"/>
      <c r="S110" s="129" t="n"/>
      <c r="T110" s="106" t="n"/>
      <c r="U110" s="106" t="n"/>
      <c r="V110" s="129" t="n"/>
      <c r="W110" s="138" t="str">
        <f>IF(R110="","",IFERROR(INDEX($C$10:$C$69,MATCH(R110,$B$10:$B$69,0)),"—"))</f>
        <v/>
      </c>
    </row>
    <row r="111">
      <c r="Q111" s="130" t="n"/>
      <c r="R111" s="129" t="n"/>
      <c r="S111" s="129" t="n"/>
      <c r="T111" s="106" t="n"/>
      <c r="U111" s="106" t="n"/>
      <c r="V111" s="129" t="n"/>
      <c r="W111" s="138" t="str">
        <f>IF(R111="","",IFERROR(INDEX($C$10:$C$69,MATCH(R111,$B$10:$B$69,0)),"—"))</f>
        <v/>
      </c>
    </row>
    <row r="112">
      <c r="Q112" s="130" t="n"/>
      <c r="R112" s="129" t="n"/>
      <c r="S112" s="129" t="n"/>
      <c r="T112" s="106" t="n"/>
      <c r="U112" s="106" t="n"/>
      <c r="V112" s="129" t="n"/>
      <c r="W112" s="138" t="str">
        <f>IF(R112="","",IFERROR(INDEX($C$10:$C$69,MATCH(R112,$B$10:$B$69,0)),"—"))</f>
        <v/>
      </c>
    </row>
    <row r="113">
      <c r="Q113" s="130" t="n"/>
      <c r="R113" s="129" t="n"/>
      <c r="S113" s="129" t="n"/>
      <c r="T113" s="106" t="n"/>
      <c r="U113" s="106" t="n"/>
      <c r="V113" s="129" t="n"/>
      <c r="W113" s="138" t="str">
        <f>IF(R113="","",IFERROR(INDEX($C$10:$C$69,MATCH(R113,$B$10:$B$69,0)),"—"))</f>
        <v/>
      </c>
    </row>
    <row r="114">
      <c r="Q114" s="130" t="n"/>
      <c r="R114" s="129" t="n"/>
      <c r="S114" s="129" t="n"/>
      <c r="T114" s="106" t="n"/>
      <c r="U114" s="106" t="n"/>
      <c r="V114" s="129" t="n"/>
      <c r="W114" s="138" t="str">
        <f>IF(R114="","",IFERROR(INDEX($C$10:$C$69,MATCH(R114,$B$10:$B$69,0)),"—"))</f>
        <v/>
      </c>
    </row>
    <row r="115">
      <c r="Q115" s="130" t="n"/>
      <c r="R115" s="129" t="n"/>
      <c r="S115" s="129" t="n"/>
      <c r="T115" s="106" t="n"/>
      <c r="U115" s="106" t="n"/>
      <c r="V115" s="129" t="n"/>
      <c r="W115" s="138" t="str">
        <f>IF(R115="","",IFERROR(INDEX($C$10:$C$69,MATCH(R115,$B$10:$B$69,0)),"—"))</f>
        <v/>
      </c>
    </row>
    <row r="116">
      <c r="Q116" s="130" t="n"/>
      <c r="R116" s="129" t="n"/>
      <c r="S116" s="129" t="n"/>
      <c r="T116" s="106" t="n"/>
      <c r="U116" s="106" t="n"/>
      <c r="V116" s="129" t="n"/>
      <c r="W116" s="138" t="str">
        <f>IF(R116="","",IFERROR(INDEX($C$10:$C$69,MATCH(R116,$B$10:$B$69,0)),"—"))</f>
        <v/>
      </c>
    </row>
    <row r="117">
      <c r="Q117" s="130" t="n"/>
      <c r="R117" s="129" t="n"/>
      <c r="S117" s="129" t="n"/>
      <c r="T117" s="106" t="n"/>
      <c r="U117" s="106" t="n"/>
      <c r="V117" s="129" t="n"/>
      <c r="W117" s="138" t="str">
        <f>IF(R117="","",IFERROR(INDEX($C$10:$C$69,MATCH(R117,$B$10:$B$69,0)),"—"))</f>
        <v/>
      </c>
    </row>
    <row r="118">
      <c r="Q118" s="130" t="n"/>
      <c r="R118" s="129" t="n"/>
      <c r="S118" s="129" t="n"/>
      <c r="T118" s="106" t="n"/>
      <c r="U118" s="106" t="n"/>
      <c r="V118" s="129" t="n"/>
      <c r="W118" s="138" t="str">
        <f>IF(R118="","",IFERROR(INDEX($C$10:$C$69,MATCH(R118,$B$10:$B$69,0)),"—"))</f>
        <v/>
      </c>
    </row>
    <row r="119">
      <c r="Q119" s="130" t="n"/>
      <c r="R119" s="129" t="n"/>
      <c r="S119" s="129" t="n"/>
      <c r="T119" s="106" t="n"/>
      <c r="U119" s="106" t="n"/>
      <c r="V119" s="129" t="n"/>
      <c r="W119" s="138" t="str">
        <f>IF(R119="","",IFERROR(INDEX($C$10:$C$69,MATCH(R119,$B$10:$B$69,0)),"—"))</f>
        <v/>
      </c>
    </row>
    <row r="120">
      <c r="Q120" s="130" t="n"/>
      <c r="R120" s="129" t="n"/>
      <c r="S120" s="129" t="n"/>
      <c r="T120" s="106" t="n"/>
      <c r="U120" s="106" t="n"/>
      <c r="V120" s="129" t="n"/>
      <c r="W120" s="138" t="str">
        <f>IF(R120="","",IFERROR(INDEX($C$10:$C$69,MATCH(R120,$B$10:$B$69,0)),"—"))</f>
        <v/>
      </c>
    </row>
    <row r="121">
      <c r="Q121" s="130" t="n"/>
      <c r="R121" s="129" t="n"/>
      <c r="S121" s="129" t="n"/>
      <c r="T121" s="106" t="n"/>
      <c r="U121" s="106" t="n"/>
      <c r="V121" s="129" t="n"/>
      <c r="W121" s="138" t="str">
        <f>IF(R121="","",IFERROR(INDEX($C$10:$C$69,MATCH(R121,$B$10:$B$69,0)),"—"))</f>
        <v/>
      </c>
    </row>
    <row r="122">
      <c r="Q122" s="130" t="n"/>
      <c r="R122" s="129" t="n"/>
      <c r="S122" s="129" t="n"/>
      <c r="T122" s="106" t="n"/>
      <c r="U122" s="106" t="n"/>
      <c r="V122" s="129" t="n"/>
      <c r="W122" s="138" t="str">
        <f>IF(R122="","",IFERROR(INDEX($C$10:$C$69,MATCH(R122,$B$10:$B$69,0)),"—"))</f>
        <v/>
      </c>
    </row>
    <row r="123">
      <c r="Q123" s="130" t="n"/>
      <c r="R123" s="129" t="n"/>
      <c r="S123" s="129" t="n"/>
      <c r="T123" s="106" t="n"/>
      <c r="U123" s="106" t="n"/>
      <c r="V123" s="129" t="n"/>
      <c r="W123" s="138" t="str">
        <f>IF(R123="","",IFERROR(INDEX($C$10:$C$69,MATCH(R123,$B$10:$B$69,0)),"—"))</f>
        <v/>
      </c>
    </row>
    <row r="124">
      <c r="Q124" s="130" t="n"/>
      <c r="R124" s="129" t="n"/>
      <c r="S124" s="129" t="n"/>
      <c r="T124" s="106" t="n"/>
      <c r="U124" s="106" t="n"/>
      <c r="V124" s="129" t="n"/>
      <c r="W124" s="138" t="str">
        <f>IF(R124="","",IFERROR(INDEX($C$10:$C$69,MATCH(R124,$B$10:$B$69,0)),"—"))</f>
        <v/>
      </c>
    </row>
    <row r="125">
      <c r="Q125" s="130" t="n"/>
      <c r="R125" s="129" t="n"/>
      <c r="S125" s="129" t="n"/>
      <c r="T125" s="106" t="n"/>
      <c r="U125" s="106" t="n"/>
      <c r="V125" s="129" t="n"/>
      <c r="W125" s="138" t="str">
        <f>IF(R125="","",IFERROR(INDEX($C$10:$C$69,MATCH(R125,$B$10:$B$69,0)),"—"))</f>
        <v/>
      </c>
    </row>
    <row r="126">
      <c r="Q126" s="130" t="n"/>
      <c r="R126" s="129" t="n"/>
      <c r="S126" s="129" t="n"/>
      <c r="T126" s="106" t="n"/>
      <c r="U126" s="106" t="n"/>
      <c r="V126" s="129" t="n"/>
      <c r="W126" s="138" t="str">
        <f>IF(R126="","",IFERROR(INDEX($C$10:$C$69,MATCH(R126,$B$10:$B$69,0)),"—"))</f>
        <v/>
      </c>
    </row>
    <row r="127">
      <c r="Q127" s="130" t="n"/>
      <c r="R127" s="129" t="n"/>
      <c r="S127" s="129" t="n"/>
      <c r="T127" s="106" t="n"/>
      <c r="U127" s="106" t="n"/>
      <c r="V127" s="129" t="n"/>
      <c r="W127" s="138" t="str">
        <f>IF(R127="","",IFERROR(INDEX($C$10:$C$69,MATCH(R127,$B$10:$B$69,0)),"—"))</f>
        <v/>
      </c>
    </row>
    <row r="128">
      <c r="Q128" s="130" t="n"/>
      <c r="R128" s="129" t="n"/>
      <c r="S128" s="129" t="n"/>
      <c r="T128" s="106" t="n"/>
      <c r="U128" s="106" t="n"/>
      <c r="V128" s="129" t="n"/>
      <c r="W128" s="138" t="str">
        <f>IF(R128="","",IFERROR(INDEX($C$10:$C$69,MATCH(R128,$B$10:$B$69,0)),"—"))</f>
        <v/>
      </c>
    </row>
    <row r="129">
      <c r="Q129" s="130" t="n"/>
      <c r="R129" s="129" t="n"/>
      <c r="S129" s="129" t="n"/>
      <c r="T129" s="106" t="n"/>
      <c r="U129" s="106" t="n"/>
      <c r="V129" s="129" t="n"/>
      <c r="W129" s="138" t="str">
        <f>IF(R129="","",IFERROR(INDEX($C$10:$C$69,MATCH(R129,$B$10:$B$69,0)),"—"))</f>
        <v/>
      </c>
    </row>
    <row r="130">
      <c r="Q130" s="130" t="n"/>
      <c r="R130" s="129" t="n"/>
      <c r="S130" s="129" t="n"/>
      <c r="T130" s="106" t="n"/>
      <c r="U130" s="106" t="n"/>
      <c r="V130" s="129" t="n"/>
      <c r="W130" s="138" t="str">
        <f>IF(R130="","",IFERROR(INDEX($C$10:$C$69,MATCH(R130,$B$10:$B$69,0)),"—"))</f>
        <v/>
      </c>
    </row>
    <row r="131">
      <c r="Q131" s="130" t="n"/>
      <c r="R131" s="129" t="n"/>
      <c r="S131" s="129" t="n"/>
      <c r="T131" s="106" t="n"/>
      <c r="U131" s="106" t="n"/>
      <c r="V131" s="129" t="n"/>
      <c r="W131" s="138" t="str">
        <f>IF(R131="","",IFERROR(INDEX($C$10:$C$69,MATCH(R131,$B$10:$B$69,0)),"—"))</f>
        <v/>
      </c>
    </row>
    <row r="132">
      <c r="Q132" s="130" t="n"/>
      <c r="R132" s="129" t="n"/>
      <c r="S132" s="129" t="n"/>
      <c r="T132" s="106" t="n"/>
      <c r="U132" s="106" t="n"/>
      <c r="V132" s="129" t="n"/>
      <c r="W132" s="138" t="str">
        <f>IF(R132="","",IFERROR(INDEX($C$10:$C$69,MATCH(R132,$B$10:$B$69,0)),"—"))</f>
        <v/>
      </c>
    </row>
    <row r="133">
      <c r="Q133" s="130" t="n"/>
      <c r="R133" s="129" t="n"/>
      <c r="S133" s="129" t="n"/>
      <c r="T133" s="106" t="n"/>
      <c r="U133" s="106" t="n"/>
      <c r="V133" s="129" t="n"/>
      <c r="W133" s="138" t="str">
        <f>IF(R133="","",IFERROR(INDEX($C$10:$C$69,MATCH(R133,$B$10:$B$69,0)),"—"))</f>
        <v/>
      </c>
    </row>
    <row r="134">
      <c r="Q134" s="130" t="n"/>
      <c r="R134" s="129" t="n"/>
      <c r="S134" s="129" t="n"/>
      <c r="T134" s="106" t="n"/>
      <c r="U134" s="106" t="n"/>
      <c r="V134" s="129" t="n"/>
      <c r="W134" s="138" t="str">
        <f>IF(R134="","",IFERROR(INDEX($C$10:$C$69,MATCH(R134,$B$10:$B$69,0)),"—"))</f>
        <v/>
      </c>
    </row>
    <row r="135">
      <c r="Q135" s="130" t="n"/>
      <c r="R135" s="129" t="n"/>
      <c r="S135" s="129" t="n"/>
      <c r="T135" s="106" t="n"/>
      <c r="U135" s="106" t="n"/>
      <c r="V135" s="129" t="n"/>
      <c r="W135" s="138" t="str">
        <f>IF(R135="","",IFERROR(INDEX($C$10:$C$69,MATCH(R135,$B$10:$B$69,0)),"—"))</f>
        <v/>
      </c>
    </row>
    <row r="136">
      <c r="Q136" s="130" t="n"/>
      <c r="R136" s="129" t="n"/>
      <c r="S136" s="129" t="n"/>
      <c r="T136" s="106" t="n"/>
      <c r="U136" s="106" t="n"/>
      <c r="V136" s="129" t="n"/>
      <c r="W136" s="138" t="str">
        <f>IF(R136="","",IFERROR(INDEX($C$10:$C$69,MATCH(R136,$B$10:$B$69,0)),"—"))</f>
        <v/>
      </c>
    </row>
    <row r="137">
      <c r="Q137" s="130" t="n"/>
      <c r="R137" s="129" t="n"/>
      <c r="S137" s="129" t="n"/>
      <c r="T137" s="106" t="n"/>
      <c r="U137" s="106" t="n"/>
      <c r="V137" s="129" t="n"/>
      <c r="W137" s="138" t="str">
        <f>IF(R137="","",IFERROR(INDEX($C$10:$C$69,MATCH(R137,$B$10:$B$69,0)),"—"))</f>
        <v/>
      </c>
    </row>
    <row r="138">
      <c r="Q138" s="130" t="n"/>
      <c r="R138" s="129" t="n"/>
      <c r="S138" s="129" t="n"/>
      <c r="T138" s="106" t="n"/>
      <c r="U138" s="106" t="n"/>
      <c r="V138" s="129" t="n"/>
      <c r="W138" s="138" t="str">
        <f>IF(R138="","",IFERROR(INDEX($C$10:$C$69,MATCH(R138,$B$10:$B$69,0)),"—"))</f>
        <v/>
      </c>
    </row>
    <row r="139">
      <c r="Q139" s="130" t="n"/>
      <c r="R139" s="129" t="n"/>
      <c r="S139" s="129" t="n"/>
      <c r="T139" s="106" t="n"/>
      <c r="U139" s="106" t="n"/>
      <c r="V139" s="129" t="n"/>
      <c r="W139" s="138" t="str">
        <f>IF(R139="","",IFERROR(INDEX($C$10:$C$69,MATCH(R139,$B$10:$B$69,0)),"—"))</f>
        <v/>
      </c>
    </row>
    <row r="140">
      <c r="Q140" s="130" t="n"/>
      <c r="R140" s="129" t="n"/>
      <c r="S140" s="129" t="n"/>
      <c r="T140" s="106" t="n"/>
      <c r="U140" s="106" t="n"/>
      <c r="V140" s="129" t="n"/>
      <c r="W140" s="138" t="str">
        <f>IF(R140="","",IFERROR(INDEX($C$10:$C$69,MATCH(R140,$B$10:$B$69,0)),"—"))</f>
        <v/>
      </c>
    </row>
    <row r="141">
      <c r="Q141" s="130" t="n"/>
      <c r="R141" s="129" t="n"/>
      <c r="S141" s="129" t="n"/>
      <c r="T141" s="106" t="n"/>
      <c r="U141" s="106" t="n"/>
      <c r="V141" s="129" t="n"/>
      <c r="W141" s="138" t="str">
        <f>IF(R141="","",IFERROR(INDEX($C$10:$C$69,MATCH(R141,$B$10:$B$69,0)),"—"))</f>
        <v/>
      </c>
    </row>
    <row r="142">
      <c r="Q142" s="130" t="n"/>
      <c r="R142" s="129" t="n"/>
      <c r="S142" s="129" t="n"/>
      <c r="T142" s="106" t="n"/>
      <c r="U142" s="106" t="n"/>
      <c r="V142" s="129" t="n"/>
      <c r="W142" s="138" t="str">
        <f>IF(R142="","",IFERROR(INDEX($C$10:$C$69,MATCH(R142,$B$10:$B$69,0)),"—"))</f>
        <v/>
      </c>
    </row>
    <row r="143">
      <c r="Q143" s="130" t="n"/>
      <c r="R143" s="129" t="n"/>
      <c r="S143" s="129" t="n"/>
      <c r="T143" s="106" t="n"/>
      <c r="U143" s="106" t="n"/>
      <c r="V143" s="129" t="n"/>
      <c r="W143" s="138" t="str">
        <f>IF(R143="","",IFERROR(INDEX($C$10:$C$69,MATCH(R143,$B$10:$B$69,0)),"—"))</f>
        <v/>
      </c>
    </row>
    <row r="144">
      <c r="Q144" s="130" t="n"/>
      <c r="R144" s="129" t="n"/>
      <c r="S144" s="129" t="n"/>
      <c r="T144" s="106" t="n"/>
      <c r="U144" s="106" t="n"/>
      <c r="V144" s="129" t="n"/>
      <c r="W144" s="138" t="str">
        <f>IF(R144="","",IFERROR(INDEX($C$10:$C$69,MATCH(R144,$B$10:$B$69,0)),"—"))</f>
        <v/>
      </c>
    </row>
    <row r="145">
      <c r="Q145" s="130" t="n"/>
      <c r="R145" s="129" t="n"/>
      <c r="S145" s="129" t="n"/>
      <c r="T145" s="106" t="n"/>
      <c r="U145" s="106" t="n"/>
      <c r="V145" s="129" t="n"/>
      <c r="W145" s="138" t="str">
        <f>IF(R145="","",IFERROR(INDEX($C$10:$C$69,MATCH(R145,$B$10:$B$69,0)),"—"))</f>
        <v/>
      </c>
    </row>
    <row r="146">
      <c r="Q146" s="130" t="n"/>
      <c r="R146" s="129" t="n"/>
      <c r="S146" s="129" t="n"/>
      <c r="T146" s="106" t="n"/>
      <c r="U146" s="106" t="n"/>
      <c r="V146" s="129" t="n"/>
      <c r="W146" s="138" t="str">
        <f>IF(R146="","",IFERROR(INDEX($C$10:$C$69,MATCH(R146,$B$10:$B$69,0)),"—"))</f>
        <v/>
      </c>
    </row>
    <row r="147">
      <c r="Q147" s="130" t="n"/>
      <c r="R147" s="129" t="n"/>
      <c r="S147" s="129" t="n"/>
      <c r="T147" s="106" t="n"/>
      <c r="U147" s="106" t="n"/>
      <c r="V147" s="129" t="n"/>
      <c r="W147" s="138" t="str">
        <f>IF(R147="","",IFERROR(INDEX($C$10:$C$69,MATCH(R147,$B$10:$B$69,0)),"—"))</f>
        <v/>
      </c>
    </row>
    <row r="148">
      <c r="Q148" s="130" t="n"/>
      <c r="R148" s="129" t="n"/>
      <c r="S148" s="129" t="n"/>
      <c r="T148" s="106" t="n"/>
      <c r="U148" s="106" t="n"/>
      <c r="V148" s="129" t="n"/>
      <c r="W148" s="138" t="str">
        <f>IF(R148="","",IFERROR(INDEX($C$10:$C$69,MATCH(R148,$B$10:$B$69,0)),"—"))</f>
        <v/>
      </c>
    </row>
    <row r="149">
      <c r="Q149" s="130" t="n"/>
      <c r="R149" s="129" t="n"/>
      <c r="S149" s="129" t="n"/>
      <c r="T149" s="106" t="n"/>
      <c r="U149" s="106" t="n"/>
      <c r="V149" s="129" t="n"/>
      <c r="W149" s="138" t="str">
        <f>IF(R149="","",IFERROR(INDEX($C$10:$C$69,MATCH(R149,$B$10:$B$69,0)),"—"))</f>
        <v/>
      </c>
    </row>
    <row r="150">
      <c r="Q150" s="130" t="n"/>
      <c r="R150" s="129" t="n"/>
      <c r="S150" s="129" t="n"/>
      <c r="T150" s="106" t="n"/>
      <c r="U150" s="106" t="n"/>
      <c r="V150" s="129" t="n"/>
      <c r="W150" s="138" t="str">
        <f>IF(R150="","",IFERROR(INDEX($C$10:$C$69,MATCH(R150,$B$10:$B$69,0)),"—"))</f>
        <v/>
      </c>
    </row>
    <row r="151">
      <c r="Q151" s="130" t="n"/>
      <c r="R151" s="129" t="n"/>
      <c r="S151" s="129" t="n"/>
      <c r="T151" s="106" t="n"/>
      <c r="U151" s="106" t="n"/>
      <c r="V151" s="129" t="n"/>
      <c r="W151" s="138" t="str">
        <f>IF(R151="","",IFERROR(INDEX($C$10:$C$69,MATCH(R151,$B$10:$B$69,0)),"—"))</f>
        <v/>
      </c>
    </row>
    <row r="152">
      <c r="Q152" s="130" t="n"/>
      <c r="R152" s="129" t="n"/>
      <c r="S152" s="129" t="n"/>
      <c r="T152" s="106" t="n"/>
      <c r="U152" s="106" t="n"/>
      <c r="V152" s="129" t="n"/>
      <c r="W152" s="138" t="str">
        <f>IF(R152="","",IFERROR(INDEX($C$10:$C$69,MATCH(R152,$B$10:$B$69,0)),"—"))</f>
        <v/>
      </c>
    </row>
    <row r="153">
      <c r="Q153" s="130" t="n"/>
      <c r="R153" s="129" t="n"/>
      <c r="S153" s="129" t="n"/>
      <c r="T153" s="106" t="n"/>
      <c r="U153" s="106" t="n"/>
      <c r="V153" s="129" t="n"/>
      <c r="W153" s="138" t="str">
        <f>IF(R153="","",IFERROR(INDEX($C$10:$C$69,MATCH(R153,$B$10:$B$69,0)),"—"))</f>
        <v/>
      </c>
    </row>
    <row r="154">
      <c r="Q154" s="130" t="n"/>
      <c r="R154" s="129" t="n"/>
      <c r="S154" s="129" t="n"/>
      <c r="T154" s="106" t="n"/>
      <c r="U154" s="106" t="n"/>
      <c r="V154" s="129" t="n"/>
      <c r="W154" s="138" t="str">
        <f>IF(R154="","",IFERROR(INDEX($C$10:$C$69,MATCH(R154,$B$10:$B$69,0)),"—"))</f>
        <v/>
      </c>
    </row>
    <row r="155">
      <c r="Q155" s="130" t="n"/>
      <c r="R155" s="129" t="n"/>
      <c r="S155" s="129" t="n"/>
      <c r="T155" s="106" t="n"/>
      <c r="U155" s="106" t="n"/>
      <c r="V155" s="129" t="n"/>
      <c r="W155" s="138" t="str">
        <f>IF(R155="","",IFERROR(INDEX($C$10:$C$69,MATCH(R155,$B$10:$B$69,0)),"—"))</f>
        <v/>
      </c>
    </row>
    <row r="156">
      <c r="Q156" s="130" t="n"/>
      <c r="R156" s="129" t="n"/>
      <c r="S156" s="129" t="n"/>
      <c r="T156" s="106" t="n"/>
      <c r="U156" s="106" t="n"/>
      <c r="V156" s="129" t="n"/>
      <c r="W156" s="138" t="str">
        <f>IF(R156="","",IFERROR(INDEX($C$10:$C$69,MATCH(R156,$B$10:$B$69,0)),"—"))</f>
        <v/>
      </c>
    </row>
    <row r="157">
      <c r="Q157" s="130" t="n"/>
      <c r="R157" s="129" t="n"/>
      <c r="S157" s="129" t="n"/>
      <c r="T157" s="106" t="n"/>
      <c r="U157" s="106" t="n"/>
      <c r="V157" s="129" t="n"/>
      <c r="W157" s="138" t="str">
        <f>IF(R157="","",IFERROR(INDEX($C$10:$C$69,MATCH(R157,$B$10:$B$69,0)),"—"))</f>
        <v/>
      </c>
    </row>
    <row r="158">
      <c r="Q158" s="130" t="n"/>
      <c r="R158" s="129" t="n"/>
      <c r="S158" s="129" t="n"/>
      <c r="T158" s="106" t="n"/>
      <c r="U158" s="106" t="n"/>
      <c r="V158" s="129" t="n"/>
      <c r="W158" s="138" t="str">
        <f>IF(R158="","",IFERROR(INDEX($C$10:$C$69,MATCH(R158,$B$10:$B$69,0)),"—"))</f>
        <v/>
      </c>
    </row>
    <row r="159">
      <c r="Q159" s="130" t="n"/>
      <c r="R159" s="129" t="n"/>
      <c r="S159" s="129" t="n"/>
      <c r="T159" s="106" t="n"/>
      <c r="U159" s="106" t="n"/>
      <c r="V159" s="129" t="n"/>
      <c r="W159" s="138" t="str">
        <f>IF(R159="","",IFERROR(INDEX($C$10:$C$69,MATCH(R159,$B$10:$B$69,0)),"—"))</f>
        <v/>
      </c>
    </row>
    <row r="160">
      <c r="Q160" s="130" t="n"/>
      <c r="R160" s="129" t="n"/>
      <c r="S160" s="129" t="n"/>
      <c r="T160" s="106" t="n"/>
      <c r="U160" s="106" t="n"/>
      <c r="V160" s="129" t="n"/>
      <c r="W160" s="138" t="str">
        <f>IF(R160="","",IFERROR(INDEX($C$10:$C$69,MATCH(R160,$B$10:$B$69,0)),"—"))</f>
        <v/>
      </c>
    </row>
    <row r="161">
      <c r="Q161" s="130" t="n"/>
      <c r="R161" s="129" t="n"/>
      <c r="S161" s="129" t="n"/>
      <c r="T161" s="106" t="n"/>
      <c r="U161" s="106" t="n"/>
      <c r="V161" s="129" t="n"/>
      <c r="W161" s="138" t="str">
        <f>IF(R161="","",IFERROR(INDEX($C$10:$C$69,MATCH(R161,$B$10:$B$69,0)),"—"))</f>
        <v/>
      </c>
    </row>
    <row r="162">
      <c r="Q162" s="130" t="n"/>
      <c r="R162" s="129" t="n"/>
      <c r="S162" s="129" t="n"/>
      <c r="T162" s="106" t="n"/>
      <c r="U162" s="106" t="n"/>
      <c r="V162" s="129" t="n"/>
      <c r="W162" s="138" t="str">
        <f>IF(R162="","",IFERROR(INDEX($C$10:$C$69,MATCH(R162,$B$10:$B$69,0)),"—"))</f>
        <v/>
      </c>
    </row>
    <row r="163">
      <c r="Q163" s="130" t="n"/>
      <c r="R163" s="129" t="n"/>
      <c r="S163" s="129" t="n"/>
      <c r="T163" s="106" t="n"/>
      <c r="U163" s="106" t="n"/>
      <c r="V163" s="129" t="n"/>
      <c r="W163" s="138" t="str">
        <f>IF(R163="","",IFERROR(INDEX($C$10:$C$69,MATCH(R163,$B$10:$B$69,0)),"—"))</f>
        <v/>
      </c>
    </row>
    <row r="164">
      <c r="Q164" s="130" t="n"/>
      <c r="R164" s="129" t="n"/>
      <c r="S164" s="129" t="n"/>
      <c r="T164" s="106" t="n"/>
      <c r="U164" s="106" t="n"/>
      <c r="V164" s="129" t="n"/>
      <c r="W164" s="138" t="str">
        <f>IF(R164="","",IFERROR(INDEX($C$10:$C$69,MATCH(R164,$B$10:$B$69,0)),"—"))</f>
        <v/>
      </c>
    </row>
    <row r="165">
      <c r="Q165" s="130" t="n"/>
      <c r="R165" s="129" t="n"/>
      <c r="S165" s="129" t="n"/>
      <c r="T165" s="106" t="n"/>
      <c r="U165" s="106" t="n"/>
      <c r="V165" s="129" t="n"/>
      <c r="W165" s="138" t="str">
        <f>IF(R165="","",IFERROR(INDEX($C$10:$C$69,MATCH(R165,$B$10:$B$69,0)),"—"))</f>
        <v/>
      </c>
    </row>
    <row r="166">
      <c r="Q166" s="130" t="n"/>
      <c r="R166" s="129" t="n"/>
      <c r="S166" s="129" t="n"/>
      <c r="T166" s="106" t="n"/>
      <c r="U166" s="106" t="n"/>
      <c r="V166" s="129" t="n"/>
      <c r="W166" s="138" t="str">
        <f>IF(R166="","",IFERROR(INDEX($C$10:$C$69,MATCH(R166,$B$10:$B$69,0)),"—"))</f>
        <v/>
      </c>
    </row>
    <row r="167">
      <c r="Q167" s="130" t="n"/>
      <c r="R167" s="129" t="n"/>
      <c r="S167" s="129" t="n"/>
      <c r="T167" s="106" t="n"/>
      <c r="U167" s="106" t="n"/>
      <c r="V167" s="129" t="n"/>
      <c r="W167" s="138" t="str">
        <f>IF(R167="","",IFERROR(INDEX($C$10:$C$69,MATCH(R167,$B$10:$B$69,0)),"—"))</f>
        <v/>
      </c>
    </row>
    <row r="168">
      <c r="Q168" s="130" t="n"/>
      <c r="R168" s="129" t="n"/>
      <c r="S168" s="129" t="n"/>
      <c r="T168" s="106" t="n"/>
      <c r="U168" s="106" t="n"/>
      <c r="V168" s="129" t="n"/>
      <c r="W168" s="138" t="str">
        <f>IF(R168="","",IFERROR(INDEX($C$10:$C$69,MATCH(R168,$B$10:$B$69,0)),"—"))</f>
        <v/>
      </c>
    </row>
    <row r="169">
      <c r="Q169" s="130" t="n"/>
      <c r="R169" s="129" t="n"/>
      <c r="S169" s="129" t="n"/>
      <c r="T169" s="106" t="n"/>
      <c r="U169" s="106" t="n"/>
      <c r="V169" s="129" t="n"/>
      <c r="W169" s="138" t="str">
        <f>IF(R169="","",IFERROR(INDEX($C$10:$C$69,MATCH(R169,$B$10:$B$69,0)),"—"))</f>
        <v/>
      </c>
    </row>
    <row r="170">
      <c r="Q170" s="130" t="n"/>
      <c r="R170" s="129" t="n"/>
      <c r="S170" s="129" t="n"/>
      <c r="T170" s="106" t="n"/>
      <c r="U170" s="106" t="n"/>
      <c r="V170" s="129" t="n"/>
      <c r="W170" s="138" t="str">
        <f>IF(R170="","",IFERROR(INDEX($C$10:$C$69,MATCH(R170,$B$10:$B$69,0)),"—"))</f>
        <v/>
      </c>
    </row>
    <row r="171">
      <c r="Q171" s="130" t="n"/>
      <c r="R171" s="129" t="n"/>
      <c r="S171" s="129" t="n"/>
      <c r="T171" s="106" t="n"/>
      <c r="U171" s="106" t="n"/>
      <c r="V171" s="129" t="n"/>
      <c r="W171" s="138" t="str">
        <f>IF(R171="","",IFERROR(INDEX($C$10:$C$69,MATCH(R171,$B$10:$B$69,0)),"—"))</f>
        <v/>
      </c>
    </row>
    <row r="172">
      <c r="Q172" s="130" t="n"/>
      <c r="R172" s="129" t="n"/>
      <c r="S172" s="129" t="n"/>
      <c r="T172" s="106" t="n"/>
      <c r="U172" s="106" t="n"/>
      <c r="V172" s="129" t="n"/>
      <c r="W172" s="138" t="str">
        <f>IF(R172="","",IFERROR(INDEX($C$10:$C$69,MATCH(R172,$B$10:$B$69,0)),"—"))</f>
        <v/>
      </c>
    </row>
    <row r="173">
      <c r="Q173" s="130" t="n"/>
      <c r="R173" s="129" t="n"/>
      <c r="S173" s="129" t="n"/>
      <c r="T173" s="106" t="n"/>
      <c r="U173" s="106" t="n"/>
      <c r="V173" s="129" t="n"/>
      <c r="W173" s="138" t="str">
        <f>IF(R173="","",IFERROR(INDEX($C$10:$C$69,MATCH(R173,$B$10:$B$69,0)),"—"))</f>
        <v/>
      </c>
    </row>
    <row r="174">
      <c r="Q174" s="130" t="n"/>
      <c r="R174" s="129" t="n"/>
      <c r="S174" s="129" t="n"/>
      <c r="T174" s="106" t="n"/>
      <c r="U174" s="106" t="n"/>
      <c r="V174" s="129" t="n"/>
      <c r="W174" s="138" t="str">
        <f>IF(R174="","",IFERROR(INDEX($C$10:$C$69,MATCH(R174,$B$10:$B$69,0)),"—"))</f>
        <v/>
      </c>
    </row>
    <row r="175">
      <c r="Q175" s="130" t="n"/>
      <c r="R175" s="129" t="n"/>
      <c r="S175" s="129" t="n"/>
      <c r="T175" s="106" t="n"/>
      <c r="U175" s="106" t="n"/>
      <c r="V175" s="129" t="n"/>
      <c r="W175" s="138" t="str">
        <f>IF(R175="","",IFERROR(INDEX($C$10:$C$69,MATCH(R175,$B$10:$B$69,0)),"—"))</f>
        <v/>
      </c>
    </row>
    <row r="176">
      <c r="Q176" s="130" t="n"/>
      <c r="R176" s="129" t="n"/>
      <c r="S176" s="129" t="n"/>
      <c r="T176" s="106" t="n"/>
      <c r="U176" s="106" t="n"/>
      <c r="V176" s="129" t="n"/>
      <c r="W176" s="138" t="str">
        <f>IF(R176="","",IFERROR(INDEX($C$10:$C$69,MATCH(R176,$B$10:$B$69,0)),"—"))</f>
        <v/>
      </c>
    </row>
    <row r="177">
      <c r="Q177" s="130" t="n"/>
      <c r="R177" s="129" t="n"/>
      <c r="S177" s="129" t="n"/>
      <c r="T177" s="106" t="n"/>
      <c r="U177" s="106" t="n"/>
      <c r="V177" s="129" t="n"/>
      <c r="W177" s="138" t="str">
        <f>IF(R177="","",IFERROR(INDEX($C$10:$C$69,MATCH(R177,$B$10:$B$69,0)),"—"))</f>
        <v/>
      </c>
    </row>
    <row r="178">
      <c r="Q178" s="130" t="n"/>
      <c r="R178" s="129" t="n"/>
      <c r="S178" s="129" t="n"/>
      <c r="T178" s="106" t="n"/>
      <c r="U178" s="106" t="n"/>
      <c r="V178" s="129" t="n"/>
      <c r="W178" s="138" t="str">
        <f>IF(R178="","",IFERROR(INDEX($C$10:$C$69,MATCH(R178,$B$10:$B$69,0)),"—"))</f>
        <v/>
      </c>
    </row>
    <row r="179">
      <c r="Q179" s="130" t="n"/>
      <c r="R179" s="129" t="n"/>
      <c r="S179" s="129" t="n"/>
      <c r="T179" s="106" t="n"/>
      <c r="U179" s="106" t="n"/>
      <c r="V179" s="129" t="n"/>
      <c r="W179" s="138" t="str">
        <f>IF(R179="","",IFERROR(INDEX($C$10:$C$69,MATCH(R179,$B$10:$B$69,0)),"—"))</f>
        <v/>
      </c>
    </row>
    <row r="180">
      <c r="Q180" s="130" t="n"/>
      <c r="R180" s="129" t="n"/>
      <c r="S180" s="129" t="n"/>
      <c r="T180" s="106" t="n"/>
      <c r="U180" s="106" t="n"/>
      <c r="V180" s="129" t="n"/>
      <c r="W180" s="138" t="str">
        <f>IF(R180="","",IFERROR(INDEX($C$10:$C$69,MATCH(R180,$B$10:$B$69,0)),"—"))</f>
        <v/>
      </c>
    </row>
    <row r="181">
      <c r="Q181" s="130" t="n"/>
      <c r="R181" s="129" t="n"/>
      <c r="S181" s="129" t="n"/>
      <c r="T181" s="106" t="n"/>
      <c r="U181" s="106" t="n"/>
      <c r="V181" s="129" t="n"/>
      <c r="W181" s="138" t="str">
        <f>IF(R181="","",IFERROR(INDEX($C$10:$C$69,MATCH(R181,$B$10:$B$69,0)),"—"))</f>
        <v/>
      </c>
    </row>
    <row r="182">
      <c r="Q182" s="130" t="n"/>
      <c r="R182" s="129" t="n"/>
      <c r="S182" s="129" t="n"/>
      <c r="T182" s="106" t="n"/>
      <c r="U182" s="106" t="n"/>
      <c r="V182" s="129" t="n"/>
      <c r="W182" s="138" t="str">
        <f>IF(R182="","",IFERROR(INDEX($C$10:$C$69,MATCH(R182,$B$10:$B$69,0)),"—"))</f>
        <v/>
      </c>
    </row>
    <row r="183">
      <c r="Q183" s="130" t="n"/>
      <c r="R183" s="129" t="n"/>
      <c r="S183" s="129" t="n"/>
      <c r="T183" s="106" t="n"/>
      <c r="U183" s="106" t="n"/>
      <c r="V183" s="129" t="n"/>
      <c r="W183" s="138" t="str">
        <f>IF(R183="","",IFERROR(INDEX($C$10:$C$69,MATCH(R183,$B$10:$B$69,0)),"—"))</f>
        <v/>
      </c>
    </row>
    <row r="184">
      <c r="Q184" s="130" t="n"/>
      <c r="R184" s="129" t="n"/>
      <c r="S184" s="129" t="n"/>
      <c r="T184" s="106" t="n"/>
      <c r="U184" s="106" t="n"/>
      <c r="V184" s="129" t="n"/>
      <c r="W184" s="138" t="str">
        <f>IF(R184="","",IFERROR(INDEX($C$10:$C$69,MATCH(R184,$B$10:$B$69,0)),"—"))</f>
        <v/>
      </c>
    </row>
    <row r="185">
      <c r="Q185" s="130" t="n"/>
      <c r="R185" s="129" t="n"/>
      <c r="S185" s="129" t="n"/>
      <c r="T185" s="106" t="n"/>
      <c r="U185" s="106" t="n"/>
      <c r="V185" s="129" t="n"/>
      <c r="W185" s="138" t="str">
        <f>IF(R185="","",IFERROR(INDEX($C$10:$C$69,MATCH(R185,$B$10:$B$69,0)),"—"))</f>
        <v/>
      </c>
    </row>
    <row r="186">
      <c r="Q186" s="130" t="n"/>
      <c r="R186" s="129" t="n"/>
      <c r="S186" s="129" t="n"/>
      <c r="T186" s="106" t="n"/>
      <c r="U186" s="106" t="n"/>
      <c r="V186" s="129" t="n"/>
      <c r="W186" s="138" t="str">
        <f>IF(R186="","",IFERROR(INDEX($C$10:$C$69,MATCH(R186,$B$10:$B$69,0)),"—"))</f>
        <v/>
      </c>
    </row>
    <row r="187">
      <c r="Q187" s="130" t="n"/>
      <c r="R187" s="129" t="n"/>
      <c r="S187" s="129" t="n"/>
      <c r="T187" s="106" t="n"/>
      <c r="U187" s="106" t="n"/>
      <c r="V187" s="129" t="n"/>
      <c r="W187" s="138" t="str">
        <f>IF(R187="","",IFERROR(INDEX($C$10:$C$69,MATCH(R187,$B$10:$B$69,0)),"—"))</f>
        <v/>
      </c>
    </row>
    <row r="188">
      <c r="Q188" s="130" t="n"/>
      <c r="R188" s="129" t="n"/>
      <c r="S188" s="129" t="n"/>
      <c r="T188" s="106" t="n"/>
      <c r="U188" s="106" t="n"/>
      <c r="V188" s="129" t="n"/>
      <c r="W188" s="138" t="str">
        <f>IF(R188="","",IFERROR(INDEX($C$10:$C$69,MATCH(R188,$B$10:$B$69,0)),"—"))</f>
        <v/>
      </c>
    </row>
    <row r="189">
      <c r="Q189" s="130" t="n"/>
      <c r="R189" s="129" t="n"/>
      <c r="S189" s="129" t="n"/>
      <c r="T189" s="106" t="n"/>
      <c r="U189" s="106" t="n"/>
      <c r="V189" s="129" t="n"/>
      <c r="W189" s="138" t="str">
        <f>IF(R189="","",IFERROR(INDEX($C$10:$C$69,MATCH(R189,$B$10:$B$69,0)),"—"))</f>
        <v/>
      </c>
    </row>
    <row r="190">
      <c r="Q190" s="130" t="n"/>
      <c r="R190" s="129" t="n"/>
      <c r="S190" s="129" t="n"/>
      <c r="T190" s="106" t="n"/>
      <c r="U190" s="106" t="n"/>
      <c r="V190" s="129" t="n"/>
      <c r="W190" s="138" t="str">
        <f>IF(R190="","",IFERROR(INDEX($C$10:$C$69,MATCH(R190,$B$10:$B$69,0)),"—"))</f>
        <v/>
      </c>
    </row>
    <row r="191">
      <c r="Q191" s="130" t="n"/>
      <c r="R191" s="129" t="n"/>
      <c r="S191" s="129" t="n"/>
      <c r="T191" s="106" t="n"/>
      <c r="U191" s="106" t="n"/>
      <c r="V191" s="129" t="n"/>
      <c r="W191" s="138" t="str">
        <f>IF(R191="","",IFERROR(INDEX($C$10:$C$69,MATCH(R191,$B$10:$B$69,0)),"—"))</f>
        <v/>
      </c>
    </row>
    <row r="192">
      <c r="Q192" s="130" t="n"/>
      <c r="R192" s="129" t="n"/>
      <c r="S192" s="129" t="n"/>
      <c r="T192" s="106" t="n"/>
      <c r="U192" s="106" t="n"/>
      <c r="V192" s="129" t="n"/>
      <c r="W192" s="138" t="str">
        <f>IF(R192="","",IFERROR(INDEX($C$10:$C$69,MATCH(R192,$B$10:$B$69,0)),"—"))</f>
        <v/>
      </c>
    </row>
    <row r="193">
      <c r="Q193" s="130" t="n"/>
      <c r="R193" s="129" t="n"/>
      <c r="S193" s="129" t="n"/>
      <c r="T193" s="106" t="n"/>
      <c r="U193" s="106" t="n"/>
      <c r="V193" s="129" t="n"/>
      <c r="W193" s="138" t="str">
        <f>IF(R193="","",IFERROR(INDEX($C$10:$C$69,MATCH(R193,$B$10:$B$69,0)),"—"))</f>
        <v/>
      </c>
    </row>
    <row r="194">
      <c r="Q194" s="130" t="n"/>
      <c r="R194" s="129" t="n"/>
      <c r="S194" s="129" t="n"/>
      <c r="T194" s="106" t="n"/>
      <c r="U194" s="106" t="n"/>
      <c r="V194" s="129" t="n"/>
      <c r="W194" s="138" t="str">
        <f>IF(R194="","",IFERROR(INDEX($C$10:$C$69,MATCH(R194,$B$10:$B$69,0)),"—"))</f>
        <v/>
      </c>
    </row>
    <row r="195">
      <c r="Q195" s="130" t="n"/>
      <c r="R195" s="129" t="n"/>
      <c r="S195" s="129" t="n"/>
      <c r="T195" s="106" t="n"/>
      <c r="U195" s="106" t="n"/>
      <c r="V195" s="129" t="n"/>
      <c r="W195" s="138" t="str">
        <f>IF(R195="","",IFERROR(INDEX($C$10:$C$69,MATCH(R195,$B$10:$B$69,0)),"—"))</f>
        <v/>
      </c>
    </row>
    <row r="196">
      <c r="Q196" s="130" t="n"/>
      <c r="R196" s="129" t="n"/>
      <c r="S196" s="129" t="n"/>
      <c r="T196" s="106" t="n"/>
      <c r="U196" s="106" t="n"/>
      <c r="V196" s="129" t="n"/>
      <c r="W196" s="138" t="str">
        <f>IF(R196="","",IFERROR(INDEX($C$10:$C$69,MATCH(R196,$B$10:$B$69,0)),"—"))</f>
        <v/>
      </c>
    </row>
    <row r="197">
      <c r="Q197" s="130" t="n"/>
      <c r="R197" s="129" t="n"/>
      <c r="S197" s="129" t="n"/>
      <c r="T197" s="106" t="n"/>
      <c r="U197" s="106" t="n"/>
      <c r="V197" s="129" t="n"/>
      <c r="W197" s="138" t="str">
        <f>IF(R197="","",IFERROR(INDEX($C$10:$C$69,MATCH(R197,$B$10:$B$69,0)),"—"))</f>
        <v/>
      </c>
    </row>
    <row r="198">
      <c r="Q198" s="130" t="n"/>
      <c r="R198" s="129" t="n"/>
      <c r="S198" s="129" t="n"/>
      <c r="T198" s="106" t="n"/>
      <c r="U198" s="106" t="n"/>
      <c r="V198" s="129" t="n"/>
      <c r="W198" s="138" t="str">
        <f>IF(R198="","",IFERROR(INDEX($C$10:$C$69,MATCH(R198,$B$10:$B$69,0)),"—"))</f>
        <v/>
      </c>
    </row>
    <row r="199">
      <c r="Q199" s="130" t="n"/>
      <c r="R199" s="129" t="n"/>
      <c r="S199" s="129" t="n"/>
      <c r="T199" s="106" t="n"/>
      <c r="U199" s="106" t="n"/>
      <c r="V199" s="129" t="n"/>
      <c r="W199" s="138" t="str">
        <f>IF(R199="","",IFERROR(INDEX($C$10:$C$69,MATCH(R199,$B$10:$B$69,0)),"—"))</f>
        <v/>
      </c>
    </row>
    <row r="200">
      <c r="Q200" s="130" t="n"/>
      <c r="R200" s="129" t="n"/>
      <c r="S200" s="129" t="n"/>
      <c r="T200" s="106" t="n"/>
      <c r="U200" s="106" t="n"/>
      <c r="V200" s="129" t="n"/>
      <c r="W200" s="138" t="str">
        <f>IF(R200="","",IFERROR(INDEX($C$10:$C$69,MATCH(R200,$B$10:$B$69,0)),"—"))</f>
        <v/>
      </c>
    </row>
    <row r="201">
      <c r="Q201" s="130" t="n"/>
      <c r="R201" s="129" t="n"/>
      <c r="S201" s="129" t="n"/>
      <c r="T201" s="106" t="n"/>
      <c r="U201" s="106" t="n"/>
      <c r="V201" s="129" t="n"/>
      <c r="W201" s="138" t="str">
        <f>IF(R201="","",IFERROR(INDEX($C$10:$C$69,MATCH(R201,$B$10:$B$69,0)),"—"))</f>
        <v/>
      </c>
    </row>
    <row r="202">
      <c r="Q202" s="130" t="n"/>
      <c r="R202" s="129" t="n"/>
      <c r="S202" s="129" t="n"/>
      <c r="T202" s="106" t="n"/>
      <c r="U202" s="106" t="n"/>
      <c r="V202" s="129" t="n"/>
      <c r="W202" s="138" t="str">
        <f>IF(R202="","",IFERROR(INDEX($C$10:$C$69,MATCH(R202,$B$10:$B$69,0)),"—"))</f>
        <v/>
      </c>
    </row>
    <row r="203">
      <c r="Q203" s="130" t="n"/>
      <c r="R203" s="129" t="n"/>
      <c r="S203" s="129" t="n"/>
      <c r="T203" s="106" t="n"/>
      <c r="U203" s="106" t="n"/>
      <c r="V203" s="129" t="n"/>
      <c r="W203" s="138" t="str">
        <f>IF(R203="","",IFERROR(INDEX($C$10:$C$69,MATCH(R203,$B$10:$B$69,0)),"—"))</f>
        <v/>
      </c>
    </row>
    <row r="204">
      <c r="Q204" s="130" t="n"/>
      <c r="R204" s="129" t="n"/>
      <c r="S204" s="129" t="n"/>
      <c r="T204" s="106" t="n"/>
      <c r="U204" s="106" t="n"/>
      <c r="V204" s="129" t="n"/>
      <c r="W204" s="138" t="str">
        <f>IF(R204="","",IFERROR(INDEX($C$10:$C$69,MATCH(R204,$B$10:$B$69,0)),"—"))</f>
        <v/>
      </c>
    </row>
    <row r="205">
      <c r="Q205" s="130" t="n"/>
      <c r="R205" s="129" t="n"/>
      <c r="S205" s="129" t="n"/>
      <c r="T205" s="106" t="n"/>
      <c r="U205" s="106" t="n"/>
      <c r="V205" s="129" t="n"/>
      <c r="W205" s="138" t="str">
        <f>IF(R205="","",IFERROR(INDEX($C$10:$C$69,MATCH(R205,$B$10:$B$69,0)),"—"))</f>
        <v/>
      </c>
    </row>
    <row r="206">
      <c r="Q206" s="130" t="n"/>
      <c r="R206" s="129" t="n"/>
      <c r="S206" s="129" t="n"/>
      <c r="T206" s="106" t="n"/>
      <c r="U206" s="106" t="n"/>
      <c r="V206" s="129" t="n"/>
      <c r="W206" s="138" t="str">
        <f>IF(R206="","",IFERROR(INDEX($C$10:$C$69,MATCH(R206,$B$10:$B$69,0)),"—"))</f>
        <v/>
      </c>
    </row>
    <row r="207">
      <c r="Q207" s="130" t="n"/>
      <c r="R207" s="129" t="n"/>
      <c r="S207" s="129" t="n"/>
      <c r="T207" s="106" t="n"/>
      <c r="U207" s="106" t="n"/>
      <c r="V207" s="129" t="n"/>
      <c r="W207" s="138" t="str">
        <f>IF(R207="","",IFERROR(INDEX($C$10:$C$69,MATCH(R207,$B$10:$B$69,0)),"—"))</f>
        <v/>
      </c>
    </row>
    <row r="208">
      <c r="Q208" s="130" t="n"/>
      <c r="R208" s="129" t="n"/>
      <c r="S208" s="129" t="n"/>
      <c r="T208" s="106" t="n"/>
      <c r="U208" s="106" t="n"/>
      <c r="V208" s="129" t="n"/>
      <c r="W208" s="138" t="str">
        <f>IF(R208="","",IFERROR(INDEX($C$10:$C$69,MATCH(R208,$B$10:$B$69,0)),"—"))</f>
        <v/>
      </c>
    </row>
    <row r="209">
      <c r="Q209" s="130" t="n"/>
      <c r="R209" s="129" t="n"/>
      <c r="S209" s="129" t="n"/>
      <c r="T209" s="106" t="n"/>
      <c r="U209" s="106" t="n"/>
      <c r="V209" s="129" t="n"/>
      <c r="W209" s="138" t="str">
        <f>IF(R209="","",IFERROR(INDEX($C$10:$C$69,MATCH(R209,$B$10:$B$69,0)),"—"))</f>
        <v/>
      </c>
    </row>
    <row r="210">
      <c r="Q210" s="130" t="n"/>
      <c r="R210" s="129" t="n"/>
      <c r="S210" s="129" t="n"/>
      <c r="T210" s="106" t="n"/>
      <c r="U210" s="106" t="n"/>
      <c r="V210" s="129" t="n"/>
      <c r="W210" s="138" t="str">
        <f>IF(R210="","",IFERROR(INDEX($C$10:$C$69,MATCH(R210,$B$10:$B$69,0)),"—"))</f>
        <v/>
      </c>
    </row>
    <row r="211">
      <c r="Q211" s="130" t="n"/>
      <c r="R211" s="129" t="n"/>
      <c r="S211" s="129" t="n"/>
      <c r="T211" s="106" t="n"/>
      <c r="U211" s="106" t="n"/>
      <c r="V211" s="129" t="n"/>
      <c r="W211" s="138" t="str">
        <f>IF(R211="","",IFERROR(INDEX($C$10:$C$69,MATCH(R211,$B$10:$B$69,0)),"—"))</f>
        <v/>
      </c>
    </row>
    <row r="212">
      <c r="Q212" s="130" t="n"/>
      <c r="R212" s="129" t="n"/>
      <c r="S212" s="129" t="n"/>
      <c r="T212" s="106" t="n"/>
      <c r="U212" s="106" t="n"/>
      <c r="V212" s="129" t="n"/>
      <c r="W212" s="138" t="str">
        <f>IF(R212="","",IFERROR(INDEX($C$10:$C$69,MATCH(R212,$B$10:$B$69,0)),"—"))</f>
        <v/>
      </c>
    </row>
    <row r="213">
      <c r="Q213" s="130" t="n"/>
      <c r="R213" s="129" t="n"/>
      <c r="S213" s="129" t="n"/>
      <c r="T213" s="106" t="n"/>
      <c r="U213" s="106" t="n"/>
      <c r="V213" s="129" t="n"/>
      <c r="W213" s="138" t="str">
        <f>IF(R213="","",IFERROR(INDEX($C$10:$C$69,MATCH(R213,$B$10:$B$69,0)),"—"))</f>
        <v/>
      </c>
    </row>
    <row r="214">
      <c r="Q214" s="130" t="n"/>
      <c r="R214" s="129" t="n"/>
      <c r="S214" s="129" t="n"/>
      <c r="T214" s="106" t="n"/>
      <c r="U214" s="106" t="n"/>
      <c r="V214" s="129" t="n"/>
      <c r="W214" s="138" t="str">
        <f>IF(R214="","",IFERROR(INDEX($C$10:$C$69,MATCH(R214,$B$10:$B$69,0)),"—"))</f>
        <v/>
      </c>
    </row>
    <row r="215">
      <c r="Q215" s="130" t="n"/>
      <c r="R215" s="129" t="n"/>
      <c r="S215" s="129" t="n"/>
      <c r="T215" s="106" t="n"/>
      <c r="U215" s="106" t="n"/>
      <c r="V215" s="129" t="n"/>
      <c r="W215" s="138" t="str">
        <f>IF(R215="","",IFERROR(INDEX($C$10:$C$69,MATCH(R215,$B$10:$B$69,0)),"—"))</f>
        <v/>
      </c>
    </row>
    <row r="216">
      <c r="Q216" s="130" t="n"/>
      <c r="R216" s="129" t="n"/>
      <c r="S216" s="129" t="n"/>
      <c r="T216" s="106" t="n"/>
      <c r="U216" s="106" t="n"/>
      <c r="V216" s="129" t="n"/>
      <c r="W216" s="138" t="str">
        <f>IF(R216="","",IFERROR(INDEX($C$10:$C$69,MATCH(R216,$B$10:$B$69,0)),"—"))</f>
        <v/>
      </c>
    </row>
    <row r="217">
      <c r="Q217" s="130" t="n"/>
      <c r="R217" s="129" t="n"/>
      <c r="S217" s="129" t="n"/>
      <c r="T217" s="106" t="n"/>
      <c r="U217" s="106" t="n"/>
      <c r="V217" s="129" t="n"/>
      <c r="W217" s="138" t="str">
        <f>IF(R217="","",IFERROR(INDEX($C$10:$C$69,MATCH(R217,$B$10:$B$69,0)),"—"))</f>
        <v/>
      </c>
    </row>
    <row r="218">
      <c r="Q218" s="130" t="n"/>
      <c r="R218" s="129" t="n"/>
      <c r="S218" s="129" t="n"/>
      <c r="T218" s="106" t="n"/>
      <c r="U218" s="106" t="n"/>
      <c r="V218" s="129" t="n"/>
      <c r="W218" s="138" t="str">
        <f>IF(R218="","",IFERROR(INDEX($C$10:$C$69,MATCH(R218,$B$10:$B$69,0)),"—"))</f>
        <v/>
      </c>
    </row>
    <row r="219">
      <c r="Q219" s="130" t="n"/>
      <c r="R219" s="129" t="n"/>
      <c r="S219" s="129" t="n"/>
      <c r="T219" s="106" t="n"/>
      <c r="U219" s="106" t="n"/>
      <c r="V219" s="129" t="n"/>
      <c r="W219" s="138" t="str">
        <f>IF(R219="","",IFERROR(INDEX($C$10:$C$69,MATCH(R219,$B$10:$B$69,0)),"—"))</f>
        <v/>
      </c>
    </row>
    <row r="220">
      <c r="Q220" s="130" t="n"/>
      <c r="R220" s="129" t="n"/>
      <c r="S220" s="129" t="n"/>
      <c r="T220" s="106" t="n"/>
      <c r="U220" s="106" t="n"/>
      <c r="V220" s="129" t="n"/>
      <c r="W220" s="138" t="str">
        <f>IF(R220="","",IFERROR(INDEX($C$10:$C$69,MATCH(R220,$B$10:$B$69,0)),"—"))</f>
        <v/>
      </c>
    </row>
    <row r="221">
      <c r="Q221" s="130" t="n"/>
      <c r="R221" s="129" t="n"/>
      <c r="S221" s="129" t="n"/>
      <c r="T221" s="106" t="n"/>
      <c r="U221" s="106" t="n"/>
      <c r="V221" s="129" t="n"/>
      <c r="W221" s="138" t="str">
        <f>IF(R221="","",IFERROR(INDEX($C$10:$C$69,MATCH(R221,$B$10:$B$69,0)),"—"))</f>
        <v/>
      </c>
    </row>
    <row r="222">
      <c r="Q222" s="130" t="n"/>
      <c r="R222" s="129" t="n"/>
      <c r="S222" s="129" t="n"/>
      <c r="T222" s="106" t="n"/>
      <c r="U222" s="106" t="n"/>
      <c r="V222" s="129" t="n"/>
      <c r="W222" s="138" t="str">
        <f>IF(R222="","",IFERROR(INDEX($C$10:$C$69,MATCH(R222,$B$10:$B$69,0)),"—"))</f>
        <v/>
      </c>
    </row>
    <row r="223">
      <c r="Q223" s="130" t="n"/>
      <c r="R223" s="129" t="n"/>
      <c r="S223" s="129" t="n"/>
      <c r="T223" s="106" t="n"/>
      <c r="U223" s="106" t="n"/>
      <c r="V223" s="129" t="n"/>
      <c r="W223" s="138" t="str">
        <f>IF(R223="","",IFERROR(INDEX($C$10:$C$69,MATCH(R223,$B$10:$B$69,0)),"—"))</f>
        <v/>
      </c>
    </row>
    <row r="224">
      <c r="Q224" s="130" t="n"/>
      <c r="R224" s="129" t="n"/>
      <c r="S224" s="129" t="n"/>
      <c r="T224" s="106" t="n"/>
      <c r="U224" s="106" t="n"/>
      <c r="V224" s="129" t="n"/>
      <c r="W224" s="138" t="str">
        <f>IF(R224="","",IFERROR(INDEX($C$10:$C$69,MATCH(R224,$B$10:$B$69,0)),"—"))</f>
        <v/>
      </c>
    </row>
    <row r="225">
      <c r="Q225" s="130" t="n"/>
      <c r="R225" s="129" t="n"/>
      <c r="S225" s="129" t="n"/>
      <c r="T225" s="106" t="n"/>
      <c r="U225" s="106" t="n"/>
      <c r="V225" s="129" t="n"/>
      <c r="W225" s="138" t="str">
        <f>IF(R225="","",IFERROR(INDEX($C$10:$C$69,MATCH(R225,$B$10:$B$69,0)),"—"))</f>
        <v/>
      </c>
    </row>
    <row r="226">
      <c r="Q226" s="130" t="n"/>
      <c r="R226" s="129" t="n"/>
      <c r="S226" s="129" t="n"/>
      <c r="T226" s="106" t="n"/>
      <c r="U226" s="106" t="n"/>
      <c r="V226" s="129" t="n"/>
      <c r="W226" s="138" t="str">
        <f>IF(R226="","",IFERROR(INDEX($C$10:$C$69,MATCH(R226,$B$10:$B$69,0)),"—"))</f>
        <v/>
      </c>
    </row>
    <row r="227">
      <c r="Q227" s="130" t="n"/>
      <c r="R227" s="129" t="n"/>
      <c r="S227" s="129" t="n"/>
      <c r="T227" s="106" t="n"/>
      <c r="U227" s="106" t="n"/>
      <c r="V227" s="129" t="n"/>
      <c r="W227" s="138" t="str">
        <f>IF(R227="","",IFERROR(INDEX($C$10:$C$69,MATCH(R227,$B$10:$B$69,0)),"—"))</f>
        <v/>
      </c>
    </row>
    <row r="228">
      <c r="Q228" s="130" t="n"/>
      <c r="R228" s="129" t="n"/>
      <c r="S228" s="129" t="n"/>
      <c r="T228" s="106" t="n"/>
      <c r="U228" s="106" t="n"/>
      <c r="V228" s="129" t="n"/>
      <c r="W228" s="138" t="str">
        <f>IF(R228="","",IFERROR(INDEX($C$10:$C$69,MATCH(R228,$B$10:$B$69,0)),"—"))</f>
        <v/>
      </c>
    </row>
    <row r="229">
      <c r="Q229" s="130" t="n"/>
      <c r="R229" s="129" t="n"/>
      <c r="S229" s="129" t="n"/>
      <c r="T229" s="106" t="n"/>
      <c r="U229" s="106" t="n"/>
      <c r="V229" s="129" t="n"/>
      <c r="W229" s="138" t="str">
        <f>IF(R229="","",IFERROR(INDEX($C$10:$C$69,MATCH(R229,$B$10:$B$69,0)),"—"))</f>
        <v/>
      </c>
    </row>
    <row r="230">
      <c r="Q230" s="130" t="n"/>
      <c r="R230" s="129" t="n"/>
      <c r="S230" s="129" t="n"/>
      <c r="T230" s="106" t="n"/>
      <c r="U230" s="106" t="n"/>
      <c r="V230" s="129" t="n"/>
      <c r="W230" s="138" t="str">
        <f>IF(R230="","",IFERROR(INDEX($C$10:$C$69,MATCH(R230,$B$10:$B$69,0)),"—"))</f>
        <v/>
      </c>
    </row>
    <row r="231">
      <c r="Q231" s="130" t="n"/>
      <c r="R231" s="129" t="n"/>
      <c r="S231" s="129" t="n"/>
      <c r="T231" s="106" t="n"/>
      <c r="U231" s="106" t="n"/>
      <c r="V231" s="129" t="n"/>
      <c r="W231" s="138" t="str">
        <f>IF(R231="","",IFERROR(INDEX($C$10:$C$69,MATCH(R231,$B$10:$B$69,0)),"—"))</f>
        <v/>
      </c>
    </row>
    <row r="232">
      <c r="Q232" s="130" t="n"/>
      <c r="R232" s="129" t="n"/>
      <c r="S232" s="129" t="n"/>
      <c r="T232" s="106" t="n"/>
      <c r="U232" s="106" t="n"/>
      <c r="V232" s="129" t="n"/>
      <c r="W232" s="138" t="str">
        <f>IF(R232="","",IFERROR(INDEX($C$10:$C$69,MATCH(R232,$B$10:$B$69,0)),"—"))</f>
        <v/>
      </c>
    </row>
    <row r="233">
      <c r="Q233" s="130" t="n"/>
      <c r="R233" s="129" t="n"/>
      <c r="S233" s="129" t="n"/>
      <c r="T233" s="106" t="n"/>
      <c r="U233" s="106" t="n"/>
      <c r="V233" s="129" t="n"/>
      <c r="W233" s="138" t="str">
        <f>IF(R233="","",IFERROR(INDEX($C$10:$C$69,MATCH(R233,$B$10:$B$69,0)),"—"))</f>
        <v/>
      </c>
    </row>
    <row r="234">
      <c r="Q234" s="130" t="n"/>
      <c r="R234" s="129" t="n"/>
      <c r="S234" s="129" t="n"/>
      <c r="T234" s="106" t="n"/>
      <c r="U234" s="106" t="n"/>
      <c r="V234" s="129" t="n"/>
      <c r="W234" s="138" t="str">
        <f>IF(R234="","",IFERROR(INDEX($C$10:$C$69,MATCH(R234,$B$10:$B$69,0)),"—"))</f>
        <v/>
      </c>
    </row>
    <row r="235">
      <c r="Q235" s="130" t="n"/>
      <c r="R235" s="129" t="n"/>
      <c r="S235" s="129" t="n"/>
      <c r="T235" s="106" t="n"/>
      <c r="U235" s="106" t="n"/>
      <c r="V235" s="129" t="n"/>
      <c r="W235" s="138" t="str">
        <f>IF(R235="","",IFERROR(INDEX($C$10:$C$69,MATCH(R235,$B$10:$B$69,0)),"—"))</f>
        <v/>
      </c>
    </row>
    <row r="236">
      <c r="Q236" s="130" t="n"/>
      <c r="R236" s="129" t="n"/>
      <c r="S236" s="129" t="n"/>
      <c r="T236" s="106" t="n"/>
      <c r="U236" s="106" t="n"/>
      <c r="V236" s="129" t="n"/>
      <c r="W236" s="138" t="str">
        <f>IF(R236="","",IFERROR(INDEX($C$10:$C$69,MATCH(R236,$B$10:$B$69,0)),"—"))</f>
        <v/>
      </c>
    </row>
    <row r="237">
      <c r="Q237" s="130" t="n"/>
      <c r="R237" s="129" t="n"/>
      <c r="S237" s="129" t="n"/>
      <c r="T237" s="106" t="n"/>
      <c r="U237" s="106" t="n"/>
      <c r="V237" s="129" t="n"/>
      <c r="W237" s="138" t="str">
        <f>IF(R237="","",IFERROR(INDEX($C$10:$C$69,MATCH(R237,$B$10:$B$69,0)),"—"))</f>
        <v/>
      </c>
    </row>
    <row r="238">
      <c r="Q238" s="130" t="n"/>
      <c r="R238" s="129" t="n"/>
      <c r="S238" s="129" t="n"/>
      <c r="T238" s="106" t="n"/>
      <c r="U238" s="106" t="n"/>
      <c r="V238" s="129" t="n"/>
      <c r="W238" s="138" t="str">
        <f>IF(R238="","",IFERROR(INDEX($C$10:$C$69,MATCH(R238,$B$10:$B$69,0)),"—"))</f>
        <v/>
      </c>
    </row>
    <row r="239">
      <c r="Q239" s="130" t="n"/>
      <c r="R239" s="129" t="n"/>
      <c r="S239" s="129" t="n"/>
      <c r="T239" s="106" t="n"/>
      <c r="U239" s="106" t="n"/>
      <c r="V239" s="129" t="n"/>
      <c r="W239" s="138" t="str">
        <f>IF(R239="","",IFERROR(INDEX($C$10:$C$69,MATCH(R239,$B$10:$B$69,0)),"—"))</f>
        <v/>
      </c>
    </row>
    <row r="240">
      <c r="Q240" s="130" t="n"/>
      <c r="R240" s="129" t="n"/>
      <c r="S240" s="129" t="n"/>
      <c r="T240" s="106" t="n"/>
      <c r="U240" s="106" t="n"/>
      <c r="V240" s="129" t="n"/>
      <c r="W240" s="138" t="str">
        <f>IF(R240="","",IFERROR(INDEX($C$10:$C$69,MATCH(R240,$B$10:$B$69,0)),"—"))</f>
        <v/>
      </c>
    </row>
    <row r="241">
      <c r="Q241" s="130" t="n"/>
      <c r="R241" s="129" t="n"/>
      <c r="S241" s="129" t="n"/>
      <c r="T241" s="106" t="n"/>
      <c r="U241" s="106" t="n"/>
      <c r="V241" s="129" t="n"/>
      <c r="W241" s="138" t="str">
        <f>IF(R241="","",IFERROR(INDEX($C$10:$C$69,MATCH(R241,$B$10:$B$69,0)),"—"))</f>
        <v/>
      </c>
    </row>
    <row r="242">
      <c r="Q242" s="130" t="n"/>
      <c r="R242" s="129" t="n"/>
      <c r="S242" s="129" t="n"/>
      <c r="T242" s="106" t="n"/>
      <c r="U242" s="106" t="n"/>
      <c r="V242" s="129" t="n"/>
      <c r="W242" s="138" t="str">
        <f>IF(R242="","",IFERROR(INDEX($C$10:$C$69,MATCH(R242,$B$10:$B$69,0)),"—"))</f>
        <v/>
      </c>
    </row>
    <row r="243">
      <c r="Q243" s="130" t="n"/>
      <c r="R243" s="129" t="n"/>
      <c r="S243" s="129" t="n"/>
      <c r="T243" s="106" t="n"/>
      <c r="U243" s="106" t="n"/>
      <c r="V243" s="129" t="n"/>
      <c r="W243" s="138" t="str">
        <f>IF(R243="","",IFERROR(INDEX($C$10:$C$69,MATCH(R243,$B$10:$B$69,0)),"—"))</f>
        <v/>
      </c>
    </row>
    <row r="244">
      <c r="Q244" s="130" t="n"/>
      <c r="R244" s="129" t="n"/>
      <c r="S244" s="129" t="n"/>
      <c r="T244" s="106" t="n"/>
      <c r="U244" s="106" t="n"/>
      <c r="V244" s="129" t="n"/>
      <c r="W244" s="138" t="str">
        <f>IF(R244="","",IFERROR(INDEX($C$10:$C$69,MATCH(R244,$B$10:$B$69,0)),"—"))</f>
        <v/>
      </c>
    </row>
    <row r="245">
      <c r="Q245" s="130" t="n"/>
      <c r="R245" s="129" t="n"/>
      <c r="S245" s="129" t="n"/>
      <c r="T245" s="106" t="n"/>
      <c r="U245" s="106" t="n"/>
      <c r="V245" s="129" t="n"/>
      <c r="W245" s="138" t="str">
        <f>IF(R245="","",IFERROR(INDEX($C$10:$C$69,MATCH(R245,$B$10:$B$69,0)),"—"))</f>
        <v/>
      </c>
    </row>
    <row r="246">
      <c r="Q246" s="130" t="n"/>
      <c r="R246" s="129" t="n"/>
      <c r="S246" s="129" t="n"/>
      <c r="T246" s="106" t="n"/>
      <c r="U246" s="106" t="n"/>
      <c r="V246" s="129" t="n"/>
      <c r="W246" s="138" t="str">
        <f>IF(R246="","",IFERROR(INDEX($C$10:$C$69,MATCH(R246,$B$10:$B$69,0)),"—"))</f>
        <v/>
      </c>
    </row>
    <row r="247">
      <c r="Q247" s="130" t="n"/>
      <c r="R247" s="129" t="n"/>
      <c r="S247" s="129" t="n"/>
      <c r="T247" s="106" t="n"/>
      <c r="U247" s="106" t="n"/>
      <c r="V247" s="129" t="n"/>
      <c r="W247" s="138" t="str">
        <f>IF(R247="","",IFERROR(INDEX($C$10:$C$69,MATCH(R247,$B$10:$B$69,0)),"—"))</f>
        <v/>
      </c>
    </row>
    <row r="248">
      <c r="Q248" s="130" t="n"/>
      <c r="R248" s="129" t="n"/>
      <c r="S248" s="129" t="n"/>
      <c r="T248" s="106" t="n"/>
      <c r="U248" s="106" t="n"/>
      <c r="V248" s="129" t="n"/>
      <c r="W248" s="138" t="str">
        <f>IF(R248="","",IFERROR(INDEX($C$10:$C$69,MATCH(R248,$B$10:$B$69,0)),"—"))</f>
        <v/>
      </c>
    </row>
    <row r="249">
      <c r="Q249" s="130" t="n"/>
      <c r="R249" s="129" t="n"/>
      <c r="S249" s="129" t="n"/>
      <c r="T249" s="106" t="n"/>
      <c r="U249" s="106" t="n"/>
      <c r="V249" s="129" t="n"/>
      <c r="W249" s="138" t="str">
        <f>IF(R249="","",IFERROR(INDEX($C$10:$C$69,MATCH(R249,$B$10:$B$69,0)),"—"))</f>
        <v/>
      </c>
    </row>
    <row r="250">
      <c r="Q250" s="130" t="n"/>
      <c r="R250" s="129" t="n"/>
      <c r="S250" s="129" t="n"/>
      <c r="T250" s="106" t="n"/>
      <c r="U250" s="106" t="n"/>
      <c r="V250" s="129" t="n"/>
      <c r="W250" s="138" t="str">
        <f>IF(R250="","",IFERROR(INDEX($C$10:$C$69,MATCH(R250,$B$10:$B$69,0)),"—"))</f>
        <v/>
      </c>
    </row>
    <row r="251">
      <c r="Q251" s="130" t="n"/>
      <c r="R251" s="129" t="n"/>
      <c r="S251" s="129" t="n"/>
      <c r="T251" s="106" t="n"/>
      <c r="U251" s="106" t="n"/>
      <c r="V251" s="129" t="n"/>
      <c r="W251" s="138" t="str">
        <f>IF(R251="","",IFERROR(INDEX($C$10:$C$69,MATCH(R251,$B$10:$B$69,0)),"—"))</f>
        <v/>
      </c>
    </row>
    <row r="252">
      <c r="Q252" s="130" t="n"/>
      <c r="R252" s="129" t="n"/>
      <c r="S252" s="129" t="n"/>
      <c r="T252" s="106" t="n"/>
      <c r="U252" s="106" t="n"/>
      <c r="V252" s="129" t="n"/>
      <c r="W252" s="138" t="str">
        <f>IF(R252="","",IFERROR(INDEX($C$10:$C$69,MATCH(R252,$B$10:$B$69,0)),"—"))</f>
        <v/>
      </c>
    </row>
    <row r="253">
      <c r="Q253" s="130" t="n"/>
      <c r="R253" s="129" t="n"/>
      <c r="S253" s="129" t="n"/>
      <c r="T253" s="106" t="n"/>
      <c r="U253" s="106" t="n"/>
      <c r="V253" s="129" t="n"/>
      <c r="W253" s="138" t="str">
        <f>IF(R253="","",IFERROR(INDEX($C$10:$C$69,MATCH(R253,$B$10:$B$69,0)),"—"))</f>
        <v/>
      </c>
    </row>
    <row r="254">
      <c r="Q254" s="130" t="n"/>
      <c r="R254" s="129" t="n"/>
      <c r="S254" s="129" t="n"/>
      <c r="T254" s="106" t="n"/>
      <c r="U254" s="106" t="n"/>
      <c r="V254" s="129" t="n"/>
      <c r="W254" s="138" t="str">
        <f>IF(R254="","",IFERROR(INDEX($C$10:$C$69,MATCH(R254,$B$10:$B$69,0)),"—"))</f>
        <v/>
      </c>
    </row>
    <row r="255">
      <c r="Q255" s="130" t="n"/>
      <c r="R255" s="129" t="n"/>
      <c r="S255" s="129" t="n"/>
      <c r="T255" s="106" t="n"/>
      <c r="U255" s="106" t="n"/>
      <c r="V255" s="129" t="n"/>
      <c r="W255" s="138" t="str">
        <f>IF(R255="","",IFERROR(INDEX($C$10:$C$69,MATCH(R255,$B$10:$B$69,0)),"—"))</f>
        <v/>
      </c>
    </row>
    <row r="256">
      <c r="Q256" s="130" t="n"/>
      <c r="R256" s="129" t="n"/>
      <c r="S256" s="129" t="n"/>
      <c r="T256" s="106" t="n"/>
      <c r="U256" s="106" t="n"/>
      <c r="V256" s="129" t="n"/>
      <c r="W256" s="138" t="str">
        <f>IF(R256="","",IFERROR(INDEX($C$10:$C$69,MATCH(R256,$B$10:$B$69,0)),"—"))</f>
        <v/>
      </c>
    </row>
    <row r="257">
      <c r="Q257" s="130" t="n"/>
      <c r="R257" s="129" t="n"/>
      <c r="S257" s="129" t="n"/>
      <c r="T257" s="106" t="n"/>
      <c r="U257" s="106" t="n"/>
      <c r="V257" s="129" t="n"/>
      <c r="W257" s="138" t="str">
        <f>IF(R257="","",IFERROR(INDEX($C$10:$C$69,MATCH(R257,$B$10:$B$69,0)),"—"))</f>
        <v/>
      </c>
    </row>
    <row r="258">
      <c r="Q258" s="130" t="n"/>
      <c r="R258" s="129" t="n"/>
      <c r="S258" s="129" t="n"/>
      <c r="T258" s="106" t="n"/>
      <c r="U258" s="106" t="n"/>
      <c r="V258" s="129" t="n"/>
      <c r="W258" s="138" t="str">
        <f>IF(R258="","",IFERROR(INDEX($C$10:$C$69,MATCH(R258,$B$10:$B$69,0)),"—"))</f>
        <v/>
      </c>
    </row>
    <row r="259">
      <c r="Q259" s="130" t="n"/>
      <c r="R259" s="129" t="n"/>
      <c r="S259" s="129" t="n"/>
      <c r="T259" s="106" t="n"/>
      <c r="U259" s="106" t="n"/>
      <c r="V259" s="129" t="n"/>
      <c r="W259" s="138" t="str">
        <f>IF(R259="","",IFERROR(INDEX($C$10:$C$69,MATCH(R259,$B$10:$B$69,0)),"—"))</f>
        <v/>
      </c>
    </row>
    <row r="260">
      <c r="Q260" s="130" t="n"/>
      <c r="R260" s="129" t="n"/>
      <c r="S260" s="129" t="n"/>
      <c r="T260" s="106" t="n"/>
      <c r="U260" s="106" t="n"/>
      <c r="V260" s="129" t="n"/>
      <c r="W260" s="138" t="str">
        <f>IF(R260="","",IFERROR(INDEX($C$10:$C$69,MATCH(R260,$B$10:$B$69,0)),"—"))</f>
        <v/>
      </c>
    </row>
    <row r="261">
      <c r="Q261" s="130" t="n"/>
      <c r="R261" s="129" t="n"/>
      <c r="S261" s="129" t="n"/>
      <c r="T261" s="106" t="n"/>
      <c r="U261" s="106" t="n"/>
      <c r="V261" s="129" t="n"/>
      <c r="W261" s="138" t="str">
        <f>IF(R261="","",IFERROR(INDEX($C$10:$C$69,MATCH(R261,$B$10:$B$69,0)),"—"))</f>
        <v/>
      </c>
    </row>
    <row r="262">
      <c r="Q262" s="130" t="n"/>
      <c r="R262" s="129" t="n"/>
      <c r="S262" s="129" t="n"/>
      <c r="T262" s="106" t="n"/>
      <c r="U262" s="106" t="n"/>
      <c r="V262" s="129" t="n"/>
      <c r="W262" s="138" t="str">
        <f>IF(R262="","",IFERROR(INDEX($C$10:$C$69,MATCH(R262,$B$10:$B$69,0)),"—"))</f>
        <v/>
      </c>
    </row>
    <row r="263">
      <c r="Q263" s="130" t="n"/>
      <c r="R263" s="129" t="n"/>
      <c r="S263" s="129" t="n"/>
      <c r="T263" s="106" t="n"/>
      <c r="U263" s="106" t="n"/>
      <c r="V263" s="129" t="n"/>
      <c r="W263" s="138" t="str">
        <f>IF(R263="","",IFERROR(INDEX($C$10:$C$69,MATCH(R263,$B$10:$B$69,0)),"—"))</f>
        <v/>
      </c>
    </row>
    <row r="264">
      <c r="Q264" s="130" t="n"/>
      <c r="R264" s="129" t="n"/>
      <c r="S264" s="129" t="n"/>
      <c r="T264" s="106" t="n"/>
      <c r="U264" s="106" t="n"/>
      <c r="V264" s="129" t="n"/>
      <c r="W264" s="138" t="str">
        <f>IF(R264="","",IFERROR(INDEX($C$10:$C$69,MATCH(R264,$B$10:$B$69,0)),"—"))</f>
        <v/>
      </c>
    </row>
    <row r="265">
      <c r="Q265" s="130" t="n"/>
      <c r="R265" s="129" t="n"/>
      <c r="S265" s="129" t="n"/>
      <c r="T265" s="106" t="n"/>
      <c r="U265" s="106" t="n"/>
      <c r="V265" s="129" t="n"/>
      <c r="W265" s="138" t="str">
        <f>IF(R265="","",IFERROR(INDEX($C$10:$C$69,MATCH(R265,$B$10:$B$69,0)),"—"))</f>
        <v/>
      </c>
    </row>
    <row r="266">
      <c r="Q266" s="130" t="n"/>
      <c r="R266" s="129" t="n"/>
      <c r="S266" s="129" t="n"/>
      <c r="T266" s="106" t="n"/>
      <c r="U266" s="106" t="n"/>
      <c r="V266" s="129" t="n"/>
      <c r="W266" s="138" t="str">
        <f>IF(R266="","",IFERROR(INDEX($C$10:$C$69,MATCH(R266,$B$10:$B$69,0)),"—"))</f>
        <v/>
      </c>
    </row>
    <row r="267">
      <c r="Q267" s="130" t="n"/>
      <c r="R267" s="129" t="n"/>
      <c r="S267" s="129" t="n"/>
      <c r="T267" s="106" t="n"/>
      <c r="U267" s="106" t="n"/>
      <c r="V267" s="129" t="n"/>
      <c r="W267" s="138" t="str">
        <f>IF(R267="","",IFERROR(INDEX($C$10:$C$69,MATCH(R267,$B$10:$B$69,0)),"—"))</f>
        <v/>
      </c>
    </row>
    <row r="268">
      <c r="Q268" s="130" t="n"/>
      <c r="R268" s="129" t="n"/>
      <c r="S268" s="129" t="n"/>
      <c r="T268" s="106" t="n"/>
      <c r="U268" s="106" t="n"/>
      <c r="V268" s="129" t="n"/>
      <c r="W268" s="138" t="str">
        <f>IF(R268="","",IFERROR(INDEX($C$10:$C$69,MATCH(R268,$B$10:$B$69,0)),"—"))</f>
        <v/>
      </c>
    </row>
    <row r="269">
      <c r="Q269" s="130" t="n"/>
      <c r="R269" s="129" t="n"/>
      <c r="S269" s="129" t="n"/>
      <c r="T269" s="106" t="n"/>
      <c r="U269" s="106" t="n"/>
      <c r="V269" s="129" t="n"/>
      <c r="W269" s="138" t="str">
        <f>IF(R269="","",IFERROR(INDEX($C$10:$C$69,MATCH(R269,$B$10:$B$69,0)),"—"))</f>
        <v/>
      </c>
    </row>
    <row r="270">
      <c r="Q270" s="130" t="n"/>
      <c r="R270" s="129" t="n"/>
      <c r="S270" s="129" t="n"/>
      <c r="T270" s="106" t="n"/>
      <c r="U270" s="106" t="n"/>
      <c r="V270" s="129" t="n"/>
      <c r="W270" s="138" t="str">
        <f>IF(R270="","",IFERROR(INDEX($C$10:$C$69,MATCH(R270,$B$10:$B$69,0)),"—"))</f>
        <v/>
      </c>
    </row>
    <row r="271">
      <c r="Q271" s="130" t="n"/>
      <c r="R271" s="129" t="n"/>
      <c r="S271" s="129" t="n"/>
      <c r="T271" s="106" t="n"/>
      <c r="U271" s="106" t="n"/>
      <c r="V271" s="129" t="n"/>
      <c r="W271" s="138" t="str">
        <f>IF(R271="","",IFERROR(INDEX($C$10:$C$69,MATCH(R271,$B$10:$B$69,0)),"—"))</f>
        <v/>
      </c>
    </row>
    <row r="272">
      <c r="Q272" s="130" t="n"/>
      <c r="R272" s="129" t="n"/>
      <c r="S272" s="129" t="n"/>
      <c r="T272" s="106" t="n"/>
      <c r="U272" s="106" t="n"/>
      <c r="V272" s="129" t="n"/>
      <c r="W272" s="138" t="str">
        <f>IF(R272="","",IFERROR(INDEX($C$10:$C$69,MATCH(R272,$B$10:$B$69,0)),"—"))</f>
        <v/>
      </c>
    </row>
    <row r="273">
      <c r="Q273" s="130" t="n"/>
      <c r="R273" s="129" t="n"/>
      <c r="S273" s="129" t="n"/>
      <c r="T273" s="106" t="n"/>
      <c r="U273" s="106" t="n"/>
      <c r="V273" s="129" t="n"/>
      <c r="W273" s="138" t="str">
        <f>IF(R273="","",IFERROR(INDEX($C$10:$C$69,MATCH(R273,$B$10:$B$69,0)),"—"))</f>
        <v/>
      </c>
    </row>
    <row r="274">
      <c r="Q274" s="130" t="n"/>
      <c r="R274" s="129" t="n"/>
      <c r="S274" s="129" t="n"/>
      <c r="T274" s="106" t="n"/>
      <c r="U274" s="106" t="n"/>
      <c r="V274" s="129" t="n"/>
      <c r="W274" s="138" t="str">
        <f>IF(R274="","",IFERROR(INDEX($C$10:$C$69,MATCH(R274,$B$10:$B$69,0)),"—"))</f>
        <v/>
      </c>
    </row>
    <row r="275">
      <c r="Q275" s="130" t="n"/>
      <c r="R275" s="129" t="n"/>
      <c r="S275" s="129" t="n"/>
      <c r="T275" s="106" t="n"/>
      <c r="U275" s="106" t="n"/>
      <c r="V275" s="129" t="n"/>
      <c r="W275" s="138" t="str">
        <f>IF(R275="","",IFERROR(INDEX($C$10:$C$69,MATCH(R275,$B$10:$B$69,0)),"—"))</f>
        <v/>
      </c>
    </row>
    <row r="276">
      <c r="Q276" s="130" t="n"/>
      <c r="R276" s="129" t="n"/>
      <c r="S276" s="129" t="n"/>
      <c r="T276" s="106" t="n"/>
      <c r="U276" s="106" t="n"/>
      <c r="V276" s="129" t="n"/>
      <c r="W276" s="138" t="str">
        <f>IF(R276="","",IFERROR(INDEX($C$10:$C$69,MATCH(R276,$B$10:$B$69,0)),"—"))</f>
        <v/>
      </c>
    </row>
    <row r="277">
      <c r="Q277" s="130" t="n"/>
      <c r="R277" s="129" t="n"/>
      <c r="S277" s="129" t="n"/>
      <c r="T277" s="106" t="n"/>
      <c r="U277" s="106" t="n"/>
      <c r="V277" s="129" t="n"/>
      <c r="W277" s="138" t="str">
        <f>IF(R277="","",IFERROR(INDEX($C$10:$C$69,MATCH(R277,$B$10:$B$69,0)),"—"))</f>
        <v/>
      </c>
    </row>
    <row r="278">
      <c r="Q278" s="130" t="n"/>
      <c r="R278" s="129" t="n"/>
      <c r="S278" s="129" t="n"/>
      <c r="T278" s="106" t="n"/>
      <c r="U278" s="106" t="n"/>
      <c r="V278" s="129" t="n"/>
      <c r="W278" s="138" t="str">
        <f>IF(R278="","",IFERROR(INDEX($C$10:$C$69,MATCH(R278,$B$10:$B$69,0)),"—"))</f>
        <v/>
      </c>
    </row>
    <row r="279">
      <c r="Q279" s="130" t="n"/>
      <c r="R279" s="129" t="n"/>
      <c r="S279" s="129" t="n"/>
      <c r="T279" s="106" t="n"/>
      <c r="U279" s="106" t="n"/>
      <c r="V279" s="129" t="n"/>
      <c r="W279" s="138" t="str">
        <f>IF(R279="","",IFERROR(INDEX($C$10:$C$69,MATCH(R279,$B$10:$B$69,0)),"—"))</f>
        <v/>
      </c>
    </row>
    <row r="280">
      <c r="Q280" s="130" t="n"/>
      <c r="R280" s="129" t="n"/>
      <c r="S280" s="129" t="n"/>
      <c r="T280" s="106" t="n"/>
      <c r="U280" s="106" t="n"/>
      <c r="V280" s="129" t="n"/>
      <c r="W280" s="138" t="str">
        <f>IF(R280="","",IFERROR(INDEX($C$10:$C$69,MATCH(R280,$B$10:$B$69,0)),"—"))</f>
        <v/>
      </c>
    </row>
    <row r="281">
      <c r="Q281" s="130" t="n"/>
      <c r="R281" s="129" t="n"/>
      <c r="S281" s="129" t="n"/>
      <c r="T281" s="106" t="n"/>
      <c r="U281" s="106" t="n"/>
      <c r="V281" s="129" t="n"/>
      <c r="W281" s="138" t="str">
        <f>IF(R281="","",IFERROR(INDEX($C$10:$C$69,MATCH(R281,$B$10:$B$69,0)),"—"))</f>
        <v/>
      </c>
    </row>
    <row r="282">
      <c r="Q282" s="130" t="n"/>
      <c r="R282" s="129" t="n"/>
      <c r="S282" s="129" t="n"/>
      <c r="T282" s="106" t="n"/>
      <c r="U282" s="106" t="n"/>
      <c r="V282" s="129" t="n"/>
      <c r="W282" s="138" t="str">
        <f>IF(R282="","",IFERROR(INDEX($C$10:$C$69,MATCH(R282,$B$10:$B$69,0)),"—"))</f>
        <v/>
      </c>
    </row>
    <row r="283">
      <c r="Q283" s="130" t="n"/>
      <c r="R283" s="129" t="n"/>
      <c r="S283" s="129" t="n"/>
      <c r="T283" s="106" t="n"/>
      <c r="U283" s="106" t="n"/>
      <c r="V283" s="129" t="n"/>
      <c r="W283" s="138" t="str">
        <f>IF(R283="","",IFERROR(INDEX($C$10:$C$69,MATCH(R283,$B$10:$B$69,0)),"—"))</f>
        <v/>
      </c>
    </row>
    <row r="284">
      <c r="Q284" s="130" t="n"/>
      <c r="R284" s="129" t="n"/>
      <c r="S284" s="129" t="n"/>
      <c r="T284" s="106" t="n"/>
      <c r="U284" s="106" t="n"/>
      <c r="V284" s="129" t="n"/>
      <c r="W284" s="138" t="str">
        <f>IF(R284="","",IFERROR(INDEX($C$10:$C$69,MATCH(R284,$B$10:$B$69,0)),"—"))</f>
        <v/>
      </c>
    </row>
    <row r="285">
      <c r="Q285" s="130" t="n"/>
      <c r="R285" s="129" t="n"/>
      <c r="S285" s="129" t="n"/>
      <c r="T285" s="106" t="n"/>
      <c r="U285" s="106" t="n"/>
      <c r="V285" s="129" t="n"/>
      <c r="W285" s="138" t="str">
        <f>IF(R285="","",IFERROR(INDEX($C$10:$C$69,MATCH(R285,$B$10:$B$69,0)),"—"))</f>
        <v/>
      </c>
    </row>
    <row r="286">
      <c r="Q286" s="130" t="n"/>
      <c r="R286" s="129" t="n"/>
      <c r="S286" s="129" t="n"/>
      <c r="T286" s="106" t="n"/>
      <c r="U286" s="106" t="n"/>
      <c r="V286" s="129" t="n"/>
      <c r="W286" s="138" t="str">
        <f>IF(R286="","",IFERROR(INDEX($C$10:$C$69,MATCH(R286,$B$10:$B$69,0)),"—"))</f>
        <v/>
      </c>
    </row>
    <row r="287">
      <c r="Q287" s="130" t="n"/>
      <c r="R287" s="129" t="n"/>
      <c r="S287" s="129" t="n"/>
      <c r="T287" s="106" t="n"/>
      <c r="U287" s="106" t="n"/>
      <c r="V287" s="129" t="n"/>
      <c r="W287" s="138" t="str">
        <f>IF(R287="","",IFERROR(INDEX($C$10:$C$69,MATCH(R287,$B$10:$B$69,0)),"—"))</f>
        <v/>
      </c>
    </row>
    <row r="288">
      <c r="Q288" s="130" t="n"/>
      <c r="R288" s="129" t="n"/>
      <c r="S288" s="129" t="n"/>
      <c r="T288" s="106" t="n"/>
      <c r="U288" s="106" t="n"/>
      <c r="V288" s="129" t="n"/>
      <c r="W288" s="138" t="str">
        <f>IF(R288="","",IFERROR(INDEX($C$10:$C$69,MATCH(R288,$B$10:$B$69,0)),"—"))</f>
        <v/>
      </c>
    </row>
    <row r="289">
      <c r="Q289" s="130" t="n"/>
      <c r="R289" s="129" t="n"/>
      <c r="S289" s="129" t="n"/>
      <c r="T289" s="106" t="n"/>
      <c r="U289" s="106" t="n"/>
      <c r="V289" s="129" t="n"/>
      <c r="W289" s="138" t="str">
        <f>IF(R289="","",IFERROR(INDEX($C$10:$C$69,MATCH(R289,$B$10:$B$69,0)),"—"))</f>
        <v/>
      </c>
    </row>
    <row r="290">
      <c r="Q290" s="130" t="n"/>
      <c r="R290" s="129" t="n"/>
      <c r="S290" s="129" t="n"/>
      <c r="T290" s="106" t="n"/>
      <c r="U290" s="106" t="n"/>
      <c r="V290" s="129" t="n"/>
      <c r="W290" s="138" t="str">
        <f>IF(R290="","",IFERROR(INDEX($C$10:$C$69,MATCH(R290,$B$10:$B$69,0)),"—"))</f>
        <v/>
      </c>
    </row>
    <row r="291">
      <c r="Q291" s="130" t="n"/>
      <c r="R291" s="129" t="n"/>
      <c r="S291" s="129" t="n"/>
      <c r="T291" s="106" t="n"/>
      <c r="U291" s="106" t="n"/>
      <c r="V291" s="129" t="n"/>
      <c r="W291" s="138" t="str">
        <f>IF(R291="","",IFERROR(INDEX($C$10:$C$69,MATCH(R291,$B$10:$B$69,0)),"—"))</f>
        <v/>
      </c>
    </row>
    <row r="292">
      <c r="Q292" s="130" t="n"/>
      <c r="R292" s="129" t="n"/>
      <c r="S292" s="129" t="n"/>
      <c r="T292" s="106" t="n"/>
      <c r="U292" s="106" t="n"/>
      <c r="V292" s="129" t="n"/>
      <c r="W292" s="138" t="str">
        <f>IF(R292="","",IFERROR(INDEX($C$10:$C$69,MATCH(R292,$B$10:$B$69,0)),"—"))</f>
        <v/>
      </c>
    </row>
    <row r="293">
      <c r="Q293" s="130" t="n"/>
      <c r="R293" s="129" t="n"/>
      <c r="S293" s="129" t="n"/>
      <c r="T293" s="106" t="n"/>
      <c r="U293" s="106" t="n"/>
      <c r="V293" s="129" t="n"/>
      <c r="W293" s="138" t="str">
        <f>IF(R293="","",IFERROR(INDEX($C$10:$C$69,MATCH(R293,$B$10:$B$69,0)),"—"))</f>
        <v/>
      </c>
    </row>
    <row r="294">
      <c r="Q294" s="130" t="n"/>
      <c r="R294" s="129" t="n"/>
      <c r="S294" s="129" t="n"/>
      <c r="T294" s="106" t="n"/>
      <c r="U294" s="106" t="n"/>
      <c r="V294" s="129" t="n"/>
      <c r="W294" s="138" t="str">
        <f>IF(R294="","",IFERROR(INDEX($C$10:$C$69,MATCH(R294,$B$10:$B$69,0)),"—"))</f>
        <v/>
      </c>
    </row>
    <row r="295">
      <c r="Q295" s="130" t="n"/>
      <c r="R295" s="129" t="n"/>
      <c r="S295" s="129" t="n"/>
      <c r="T295" s="106" t="n"/>
      <c r="U295" s="106" t="n"/>
      <c r="V295" s="129" t="n"/>
      <c r="W295" s="138" t="str">
        <f>IF(R295="","",IFERROR(INDEX($C$10:$C$69,MATCH(R295,$B$10:$B$69,0)),"—"))</f>
        <v/>
      </c>
    </row>
    <row r="296">
      <c r="Q296" s="130" t="n"/>
      <c r="R296" s="129" t="n"/>
      <c r="S296" s="129" t="n"/>
      <c r="T296" s="106" t="n"/>
      <c r="U296" s="106" t="n"/>
      <c r="V296" s="129" t="n"/>
      <c r="W296" s="138" t="str">
        <f>IF(R296="","",IFERROR(INDEX($C$10:$C$69,MATCH(R296,$B$10:$B$69,0)),"—"))</f>
        <v/>
      </c>
    </row>
    <row r="297">
      <c r="Q297" s="130" t="n"/>
      <c r="R297" s="129" t="n"/>
      <c r="S297" s="129" t="n"/>
      <c r="T297" s="106" t="n"/>
      <c r="U297" s="106" t="n"/>
      <c r="V297" s="129" t="n"/>
      <c r="W297" s="138" t="str">
        <f>IF(R297="","",IFERROR(INDEX($C$10:$C$69,MATCH(R297,$B$10:$B$69,0)),"—"))</f>
        <v/>
      </c>
    </row>
    <row r="298">
      <c r="Q298" s="130" t="n"/>
      <c r="R298" s="129" t="n"/>
      <c r="S298" s="129" t="n"/>
      <c r="T298" s="106" t="n"/>
      <c r="U298" s="106" t="n"/>
      <c r="V298" s="129" t="n"/>
      <c r="W298" s="138" t="str">
        <f>IF(R298="","",IFERROR(INDEX($C$10:$C$69,MATCH(R298,$B$10:$B$69,0)),"—"))</f>
        <v/>
      </c>
    </row>
    <row r="299">
      <c r="Q299" s="130" t="n"/>
      <c r="R299" s="129" t="n"/>
      <c r="S299" s="129" t="n"/>
      <c r="T299" s="106" t="n"/>
      <c r="U299" s="106" t="n"/>
      <c r="V299" s="129" t="n"/>
      <c r="W299" s="138" t="str">
        <f>IF(R299="","",IFERROR(INDEX($C$10:$C$69,MATCH(R299,$B$10:$B$69,0)),"—"))</f>
        <v/>
      </c>
    </row>
    <row r="300">
      <c r="Q300" s="130" t="n"/>
      <c r="R300" s="129" t="n"/>
      <c r="S300" s="129" t="n"/>
      <c r="T300" s="106" t="n"/>
      <c r="U300" s="106" t="n"/>
      <c r="V300" s="129" t="n"/>
      <c r="W300" s="138" t="str">
        <f>IF(R300="","",IFERROR(INDEX($C$10:$C$69,MATCH(R300,$B$10:$B$69,0)),"—"))</f>
        <v/>
      </c>
    </row>
    <row r="301">
      <c r="Q301" s="130" t="n"/>
      <c r="R301" s="129" t="n"/>
      <c r="S301" s="129" t="n"/>
      <c r="T301" s="106" t="n"/>
      <c r="U301" s="106" t="n"/>
      <c r="V301" s="129" t="n"/>
      <c r="W301" s="138" t="str">
        <f>IF(R301="","",IFERROR(INDEX($C$10:$C$69,MATCH(R301,$B$10:$B$69,0)),"—"))</f>
        <v/>
      </c>
    </row>
    <row r="302">
      <c r="Q302" s="130" t="n"/>
      <c r="R302" s="129" t="n"/>
      <c r="S302" s="129" t="n"/>
      <c r="T302" s="106" t="n"/>
      <c r="U302" s="106" t="n"/>
      <c r="V302" s="129" t="n"/>
      <c r="W302" s="138" t="str">
        <f>IF(R302="","",IFERROR(INDEX($C$10:$C$69,MATCH(R302,$B$10:$B$69,0)),"—"))</f>
        <v/>
      </c>
    </row>
    <row r="303">
      <c r="Q303" s="130" t="n"/>
      <c r="R303" s="129" t="n"/>
      <c r="S303" s="129" t="n"/>
      <c r="T303" s="106" t="n"/>
      <c r="U303" s="106" t="n"/>
      <c r="V303" s="129" t="n"/>
      <c r="W303" s="138" t="str">
        <f>IF(R303="","",IFERROR(INDEX($C$10:$C$69,MATCH(R303,$B$10:$B$69,0)),"—"))</f>
        <v/>
      </c>
    </row>
    <row r="304">
      <c r="Q304" s="130" t="n"/>
      <c r="R304" s="129" t="n"/>
      <c r="S304" s="129" t="n"/>
      <c r="T304" s="106" t="n"/>
      <c r="U304" s="106" t="n"/>
      <c r="V304" s="129" t="n"/>
      <c r="W304" s="138" t="str">
        <f>IF(R304="","",IFERROR(INDEX($C$10:$C$69,MATCH(R304,$B$10:$B$69,0)),"—"))</f>
        <v/>
      </c>
    </row>
    <row r="305">
      <c r="Q305" s="130" t="n"/>
      <c r="R305" s="129" t="n"/>
      <c r="S305" s="129" t="n"/>
      <c r="T305" s="106" t="n"/>
      <c r="U305" s="106" t="n"/>
      <c r="V305" s="129" t="n"/>
      <c r="W305" s="138" t="str">
        <f>IF(R305="","",IFERROR(INDEX($C$10:$C$69,MATCH(R305,$B$10:$B$69,0)),"—"))</f>
        <v/>
      </c>
    </row>
    <row r="306">
      <c r="Q306" s="130" t="n"/>
      <c r="R306" s="129" t="n"/>
      <c r="S306" s="129" t="n"/>
      <c r="T306" s="106" t="n"/>
      <c r="U306" s="106" t="n"/>
      <c r="V306" s="129" t="n"/>
      <c r="W306" s="138" t="str">
        <f>IF(R306="","",IFERROR(INDEX($C$10:$C$69,MATCH(R306,$B$10:$B$69,0)),"—"))</f>
        <v/>
      </c>
    </row>
    <row r="307">
      <c r="Q307" s="130" t="n"/>
      <c r="R307" s="129" t="n"/>
      <c r="S307" s="129" t="n"/>
      <c r="T307" s="106" t="n"/>
      <c r="U307" s="106" t="n"/>
      <c r="V307" s="129" t="n"/>
      <c r="W307" s="138" t="str">
        <f>IF(R307="","",IFERROR(INDEX($C$10:$C$69,MATCH(R307,$B$10:$B$69,0)),"—"))</f>
        <v/>
      </c>
    </row>
    <row r="308">
      <c r="Q308" s="130" t="n"/>
      <c r="R308" s="129" t="n"/>
      <c r="S308" s="129" t="n"/>
      <c r="T308" s="106" t="n"/>
      <c r="U308" s="106" t="n"/>
      <c r="V308" s="129" t="n"/>
      <c r="W308" s="138" t="str">
        <f>IF(R308="","",IFERROR(INDEX($C$10:$C$69,MATCH(R308,$B$10:$B$69,0)),"—"))</f>
        <v/>
      </c>
    </row>
    <row r="309">
      <c r="Q309" s="130" t="n"/>
      <c r="R309" s="129" t="n"/>
      <c r="S309" s="129" t="n"/>
      <c r="T309" s="106" t="n"/>
      <c r="U309" s="106" t="n"/>
      <c r="V309" s="129" t="n"/>
      <c r="W309" s="138" t="str">
        <f>IF(R309="","",IFERROR(INDEX($C$10:$C$69,MATCH(R309,$B$10:$B$69,0)),"—"))</f>
        <v/>
      </c>
    </row>
    <row r="310">
      <c r="Q310" s="130" t="n"/>
      <c r="R310" s="129" t="n"/>
      <c r="S310" s="129" t="n"/>
      <c r="T310" s="106" t="n"/>
      <c r="U310" s="106" t="n"/>
      <c r="V310" s="129" t="n"/>
      <c r="W310" s="138" t="str">
        <f>IF(R310="","",IFERROR(INDEX($C$10:$C$69,MATCH(R310,$B$10:$B$69,0)),"—"))</f>
        <v/>
      </c>
    </row>
    <row r="311">
      <c r="Q311" s="130" t="n"/>
      <c r="R311" s="129" t="n"/>
      <c r="S311" s="129" t="n"/>
      <c r="T311" s="106" t="n"/>
      <c r="U311" s="106" t="n"/>
      <c r="V311" s="129" t="n"/>
      <c r="W311" s="138" t="str">
        <f>IF(R311="","",IFERROR(INDEX($C$10:$C$69,MATCH(R311,$B$10:$B$69,0)),"—"))</f>
        <v/>
      </c>
    </row>
    <row r="312">
      <c r="Q312" s="130" t="n"/>
      <c r="R312" s="129" t="n"/>
      <c r="S312" s="129" t="n"/>
      <c r="T312" s="106" t="n"/>
      <c r="U312" s="106" t="n"/>
      <c r="V312" s="129" t="n"/>
      <c r="W312" s="138" t="str">
        <f>IF(R312="","",IFERROR(INDEX($C$10:$C$69,MATCH(R312,$B$10:$B$69,0)),"—"))</f>
        <v/>
      </c>
    </row>
    <row r="313">
      <c r="Q313" s="130" t="n"/>
      <c r="R313" s="129" t="n"/>
      <c r="S313" s="129" t="n"/>
      <c r="T313" s="106" t="n"/>
      <c r="U313" s="106" t="n"/>
      <c r="V313" s="129" t="n"/>
      <c r="W313" s="138" t="str">
        <f>IF(R313="","",IFERROR(INDEX($C$10:$C$69,MATCH(R313,$B$10:$B$69,0)),"—"))</f>
        <v/>
      </c>
    </row>
    <row r="314">
      <c r="Q314" s="130" t="n"/>
      <c r="R314" s="129" t="n"/>
      <c r="S314" s="129" t="n"/>
      <c r="T314" s="106" t="n"/>
      <c r="U314" s="106" t="n"/>
      <c r="V314" s="129" t="n"/>
      <c r="W314" s="138" t="str">
        <f>IF(R314="","",IFERROR(INDEX($C$10:$C$69,MATCH(R314,$B$10:$B$69,0)),"—"))</f>
        <v/>
      </c>
    </row>
    <row r="315">
      <c r="Q315" s="130" t="n"/>
      <c r="R315" s="129" t="n"/>
      <c r="S315" s="129" t="n"/>
      <c r="T315" s="106" t="n"/>
      <c r="U315" s="106" t="n"/>
      <c r="V315" s="129" t="n"/>
      <c r="W315" s="138" t="str">
        <f>IF(R315="","",IFERROR(INDEX($C$10:$C$69,MATCH(R315,$B$10:$B$69,0)),"—"))</f>
        <v/>
      </c>
    </row>
    <row r="316">
      <c r="Q316" s="130" t="n"/>
      <c r="R316" s="129" t="n"/>
      <c r="S316" s="129" t="n"/>
      <c r="T316" s="106" t="n"/>
      <c r="U316" s="106" t="n"/>
      <c r="V316" s="129" t="n"/>
      <c r="W316" s="138" t="str">
        <f>IF(R316="","",IFERROR(INDEX($C$10:$C$69,MATCH(R316,$B$10:$B$69,0)),"—"))</f>
        <v/>
      </c>
    </row>
    <row r="317">
      <c r="Q317" s="130" t="n"/>
      <c r="R317" s="129" t="n"/>
      <c r="S317" s="129" t="n"/>
      <c r="T317" s="106" t="n"/>
      <c r="U317" s="106" t="n"/>
      <c r="V317" s="129" t="n"/>
      <c r="W317" s="138" t="str">
        <f>IF(R317="","",IFERROR(INDEX($C$10:$C$69,MATCH(R317,$B$10:$B$69,0)),"—"))</f>
        <v/>
      </c>
    </row>
    <row r="318">
      <c r="Q318" s="130" t="n"/>
      <c r="R318" s="129" t="n"/>
      <c r="S318" s="129" t="n"/>
      <c r="T318" s="106" t="n"/>
      <c r="U318" s="106" t="n"/>
      <c r="V318" s="129" t="n"/>
      <c r="W318" s="138" t="str">
        <f>IF(R318="","",IFERROR(INDEX($C$10:$C$69,MATCH(R318,$B$10:$B$69,0)),"—"))</f>
        <v/>
      </c>
    </row>
    <row r="319">
      <c r="Q319" s="130" t="n"/>
      <c r="R319" s="129" t="n"/>
      <c r="S319" s="129" t="n"/>
      <c r="T319" s="106" t="n"/>
      <c r="U319" s="106" t="n"/>
      <c r="V319" s="129" t="n"/>
      <c r="W319" s="138" t="str">
        <f>IF(R319="","",IFERROR(INDEX($C$10:$C$69,MATCH(R319,$B$10:$B$69,0)),"—"))</f>
        <v/>
      </c>
    </row>
    <row r="320">
      <c r="Q320" s="130" t="n"/>
      <c r="R320" s="129" t="n"/>
      <c r="S320" s="129" t="n"/>
      <c r="T320" s="106" t="n"/>
      <c r="U320" s="106" t="n"/>
      <c r="V320" s="129" t="n"/>
      <c r="W320" s="138" t="str">
        <f>IF(R320="","",IFERROR(INDEX($C$10:$C$69,MATCH(R320,$B$10:$B$69,0)),"—"))</f>
        <v/>
      </c>
    </row>
    <row r="321">
      <c r="Q321" s="130" t="n"/>
      <c r="R321" s="129" t="n"/>
      <c r="S321" s="129" t="n"/>
      <c r="T321" s="106" t="n"/>
      <c r="U321" s="106" t="n"/>
      <c r="V321" s="129" t="n"/>
      <c r="W321" s="138" t="str">
        <f>IF(R321="","",IFERROR(INDEX($C$10:$C$69,MATCH(R321,$B$10:$B$69,0)),"—"))</f>
        <v/>
      </c>
    </row>
    <row r="322">
      <c r="Q322" s="130" t="n"/>
      <c r="R322" s="129" t="n"/>
      <c r="S322" s="129" t="n"/>
      <c r="T322" s="106" t="n"/>
      <c r="U322" s="106" t="n"/>
      <c r="V322" s="129" t="n"/>
      <c r="W322" s="138" t="str">
        <f>IF(R322="","",IFERROR(INDEX($C$10:$C$69,MATCH(R322,$B$10:$B$69,0)),"—"))</f>
        <v/>
      </c>
    </row>
    <row r="323">
      <c r="Q323" s="130" t="n"/>
      <c r="R323" s="129" t="n"/>
      <c r="S323" s="129" t="n"/>
      <c r="T323" s="106" t="n"/>
      <c r="U323" s="106" t="n"/>
      <c r="V323" s="129" t="n"/>
      <c r="W323" s="138" t="str">
        <f>IF(R323="","",IFERROR(INDEX($C$10:$C$69,MATCH(R323,$B$10:$B$69,0)),"—"))</f>
        <v/>
      </c>
    </row>
    <row r="324">
      <c r="Q324" s="130" t="n"/>
      <c r="R324" s="129" t="n"/>
      <c r="S324" s="129" t="n"/>
      <c r="T324" s="106" t="n"/>
      <c r="U324" s="106" t="n"/>
      <c r="V324" s="129" t="n"/>
      <c r="W324" s="138" t="str">
        <f>IF(R324="","",IFERROR(INDEX($C$10:$C$69,MATCH(R324,$B$10:$B$69,0)),"—"))</f>
        <v/>
      </c>
    </row>
    <row r="325">
      <c r="Q325" s="130" t="n"/>
      <c r="R325" s="129" t="n"/>
      <c r="S325" s="129" t="n"/>
      <c r="T325" s="106" t="n"/>
      <c r="U325" s="106" t="n"/>
      <c r="V325" s="129" t="n"/>
      <c r="W325" s="138" t="str">
        <f>IF(R325="","",IFERROR(INDEX($C$10:$C$69,MATCH(R325,$B$10:$B$69,0)),"—"))</f>
        <v/>
      </c>
    </row>
    <row r="326">
      <c r="Q326" s="130" t="n"/>
      <c r="R326" s="129" t="n"/>
      <c r="S326" s="129" t="n"/>
      <c r="T326" s="106" t="n"/>
      <c r="U326" s="106" t="n"/>
      <c r="V326" s="129" t="n"/>
      <c r="W326" s="138" t="str">
        <f>IF(R326="","",IFERROR(INDEX($C$10:$C$69,MATCH(R326,$B$10:$B$69,0)),"—"))</f>
        <v/>
      </c>
    </row>
    <row r="327">
      <c r="Q327" s="130" t="n"/>
      <c r="R327" s="129" t="n"/>
      <c r="S327" s="129" t="n"/>
      <c r="T327" s="106" t="n"/>
      <c r="U327" s="106" t="n"/>
      <c r="V327" s="129" t="n"/>
      <c r="W327" s="138" t="str">
        <f>IF(R327="","",IFERROR(INDEX($C$10:$C$69,MATCH(R327,$B$10:$B$69,0)),"—"))</f>
        <v/>
      </c>
    </row>
    <row r="328">
      <c r="Q328" s="130" t="n"/>
      <c r="R328" s="129" t="n"/>
      <c r="S328" s="129" t="n"/>
      <c r="T328" s="106" t="n"/>
      <c r="U328" s="106" t="n"/>
      <c r="V328" s="129" t="n"/>
      <c r="W328" s="138" t="str">
        <f>IF(R328="","",IFERROR(INDEX($C$10:$C$69,MATCH(R328,$B$10:$B$69,0)),"—"))</f>
        <v/>
      </c>
    </row>
    <row r="329">
      <c r="Q329" s="130" t="n"/>
      <c r="R329" s="129" t="n"/>
      <c r="S329" s="129" t="n"/>
      <c r="T329" s="106" t="n"/>
      <c r="U329" s="106" t="n"/>
      <c r="V329" s="129" t="n"/>
      <c r="W329" s="138" t="str">
        <f>IF(R329="","",IFERROR(INDEX($C$10:$C$69,MATCH(R329,$B$10:$B$69,0)),"—"))</f>
        <v/>
      </c>
    </row>
    <row r="330">
      <c r="Q330" s="130" t="n"/>
      <c r="R330" s="129" t="n"/>
      <c r="S330" s="129" t="n"/>
      <c r="T330" s="106" t="n"/>
      <c r="U330" s="106" t="n"/>
      <c r="V330" s="129" t="n"/>
      <c r="W330" s="138" t="str">
        <f>IF(R330="","",IFERROR(INDEX($C$10:$C$69,MATCH(R330,$B$10:$B$69,0)),"—"))</f>
        <v/>
      </c>
    </row>
    <row r="331">
      <c r="Q331" s="130" t="n"/>
      <c r="R331" s="129" t="n"/>
      <c r="S331" s="129" t="n"/>
      <c r="T331" s="106" t="n"/>
      <c r="U331" s="106" t="n"/>
      <c r="V331" s="129" t="n"/>
      <c r="W331" s="138" t="str">
        <f>IF(R331="","",IFERROR(INDEX($C$10:$C$69,MATCH(R331,$B$10:$B$69,0)),"—"))</f>
        <v/>
      </c>
    </row>
    <row r="332">
      <c r="Q332" s="130" t="n"/>
      <c r="R332" s="129" t="n"/>
      <c r="S332" s="129" t="n"/>
      <c r="T332" s="106" t="n"/>
      <c r="U332" s="106" t="n"/>
      <c r="V332" s="129" t="n"/>
      <c r="W332" s="138" t="str">
        <f>IF(R332="","",IFERROR(INDEX($C$10:$C$69,MATCH(R332,$B$10:$B$69,0)),"—"))</f>
        <v/>
      </c>
    </row>
    <row r="333">
      <c r="Q333" s="130" t="n"/>
      <c r="R333" s="129" t="n"/>
      <c r="S333" s="129" t="n"/>
      <c r="T333" s="106" t="n"/>
      <c r="U333" s="106" t="n"/>
      <c r="V333" s="129" t="n"/>
      <c r="W333" s="138" t="str">
        <f>IF(R333="","",IFERROR(INDEX($C$10:$C$69,MATCH(R333,$B$10:$B$69,0)),"—"))</f>
        <v/>
      </c>
    </row>
    <row r="334">
      <c r="Q334" s="130" t="n"/>
      <c r="R334" s="129" t="n"/>
      <c r="S334" s="129" t="n"/>
      <c r="T334" s="106" t="n"/>
      <c r="U334" s="106" t="n"/>
      <c r="V334" s="129" t="n"/>
      <c r="W334" s="138" t="str">
        <f>IF(R334="","",IFERROR(INDEX($C$10:$C$69,MATCH(R334,$B$10:$B$69,0)),"—"))</f>
        <v/>
      </c>
    </row>
    <row r="335">
      <c r="Q335" s="130" t="n"/>
      <c r="R335" s="129" t="n"/>
      <c r="S335" s="129" t="n"/>
      <c r="T335" s="106" t="n"/>
      <c r="U335" s="106" t="n"/>
      <c r="V335" s="129" t="n"/>
      <c r="W335" s="138" t="str">
        <f>IF(R335="","",IFERROR(INDEX($C$10:$C$69,MATCH(R335,$B$10:$B$69,0)),"—"))</f>
        <v/>
      </c>
    </row>
    <row r="336">
      <c r="Q336" s="130" t="n"/>
      <c r="R336" s="129" t="n"/>
      <c r="S336" s="129" t="n"/>
      <c r="T336" s="106" t="n"/>
      <c r="U336" s="106" t="n"/>
      <c r="V336" s="129" t="n"/>
      <c r="W336" s="138" t="str">
        <f>IF(R336="","",IFERROR(INDEX($C$10:$C$69,MATCH(R336,$B$10:$B$69,0)),"—"))</f>
        <v/>
      </c>
    </row>
    <row r="337">
      <c r="Q337" s="130" t="n"/>
      <c r="R337" s="129" t="n"/>
      <c r="S337" s="129" t="n"/>
      <c r="T337" s="106" t="n"/>
      <c r="U337" s="106" t="n"/>
      <c r="V337" s="129" t="n"/>
      <c r="W337" s="138" t="str">
        <f>IF(R337="","",IFERROR(INDEX($C$10:$C$69,MATCH(R337,$B$10:$B$69,0)),"—"))</f>
        <v/>
      </c>
    </row>
    <row r="338">
      <c r="Q338" s="130" t="n"/>
      <c r="R338" s="129" t="n"/>
      <c r="S338" s="129" t="n"/>
      <c r="T338" s="106" t="n"/>
      <c r="U338" s="106" t="n"/>
      <c r="V338" s="129" t="n"/>
      <c r="W338" s="138" t="str">
        <f>IF(R338="","",IFERROR(INDEX($C$10:$C$69,MATCH(R338,$B$10:$B$69,0)),"—"))</f>
        <v/>
      </c>
    </row>
    <row r="339">
      <c r="Q339" s="130" t="n"/>
      <c r="R339" s="129" t="n"/>
      <c r="S339" s="129" t="n"/>
      <c r="T339" s="106" t="n"/>
      <c r="U339" s="106" t="n"/>
      <c r="V339" s="129" t="n"/>
      <c r="W339" s="138" t="str">
        <f>IF(R339="","",IFERROR(INDEX($C$10:$C$69,MATCH(R339,$B$10:$B$69,0)),"—"))</f>
        <v/>
      </c>
    </row>
    <row r="340">
      <c r="Q340" s="130" t="n"/>
      <c r="R340" s="129" t="n"/>
      <c r="S340" s="129" t="n"/>
      <c r="T340" s="106" t="n"/>
      <c r="U340" s="106" t="n"/>
      <c r="V340" s="129" t="n"/>
      <c r="W340" s="138" t="str">
        <f>IF(R340="","",IFERROR(INDEX($C$10:$C$69,MATCH(R340,$B$10:$B$69,0)),"—"))</f>
        <v/>
      </c>
    </row>
    <row r="341">
      <c r="Q341" s="130" t="n"/>
      <c r="R341" s="129" t="n"/>
      <c r="S341" s="129" t="n"/>
      <c r="T341" s="106" t="n"/>
      <c r="U341" s="106" t="n"/>
      <c r="V341" s="129" t="n"/>
      <c r="W341" s="138" t="str">
        <f>IF(R341="","",IFERROR(INDEX($C$10:$C$69,MATCH(R341,$B$10:$B$69,0)),"—"))</f>
        <v/>
      </c>
    </row>
    <row r="342">
      <c r="Q342" s="130" t="n"/>
      <c r="R342" s="129" t="n"/>
      <c r="S342" s="129" t="n"/>
      <c r="T342" s="106" t="n"/>
      <c r="U342" s="106" t="n"/>
      <c r="V342" s="129" t="n"/>
      <c r="W342" s="138" t="str">
        <f>IF(R342="","",IFERROR(INDEX($C$10:$C$69,MATCH(R342,$B$10:$B$69,0)),"—"))</f>
        <v/>
      </c>
    </row>
    <row r="343">
      <c r="Q343" s="130" t="n"/>
      <c r="R343" s="129" t="n"/>
      <c r="S343" s="129" t="n"/>
      <c r="T343" s="106" t="n"/>
      <c r="U343" s="106" t="n"/>
      <c r="V343" s="129" t="n"/>
      <c r="W343" s="138" t="str">
        <f>IF(R343="","",IFERROR(INDEX($C$10:$C$69,MATCH(R343,$B$10:$B$69,0)),"—"))</f>
        <v/>
      </c>
    </row>
    <row r="344">
      <c r="Q344" s="130" t="n"/>
      <c r="R344" s="129" t="n"/>
      <c r="S344" s="129" t="n"/>
      <c r="T344" s="106" t="n"/>
      <c r="U344" s="106" t="n"/>
      <c r="V344" s="129" t="n"/>
      <c r="W344" s="138" t="str">
        <f>IF(R344="","",IFERROR(INDEX($C$10:$C$69,MATCH(R344,$B$10:$B$69,0)),"—"))</f>
        <v/>
      </c>
    </row>
    <row r="345">
      <c r="Q345" s="130" t="n"/>
      <c r="R345" s="129" t="n"/>
      <c r="S345" s="129" t="n"/>
      <c r="T345" s="106" t="n"/>
      <c r="U345" s="106" t="n"/>
      <c r="V345" s="129" t="n"/>
      <c r="W345" s="138" t="str">
        <f>IF(R345="","",IFERROR(INDEX($C$10:$C$69,MATCH(R345,$B$10:$B$69,0)),"—"))</f>
        <v/>
      </c>
    </row>
    <row r="346">
      <c r="Q346" s="130" t="n"/>
      <c r="R346" s="129" t="n"/>
      <c r="S346" s="129" t="n"/>
      <c r="T346" s="106" t="n"/>
      <c r="U346" s="106" t="n"/>
      <c r="V346" s="129" t="n"/>
      <c r="W346" s="138" t="str">
        <f>IF(R346="","",IFERROR(INDEX($C$10:$C$69,MATCH(R346,$B$10:$B$69,0)),"—"))</f>
        <v/>
      </c>
    </row>
    <row r="347">
      <c r="Q347" s="130" t="n"/>
      <c r="R347" s="129" t="n"/>
      <c r="S347" s="129" t="n"/>
      <c r="T347" s="106" t="n"/>
      <c r="U347" s="106" t="n"/>
      <c r="V347" s="129" t="n"/>
      <c r="W347" s="138" t="str">
        <f>IF(R347="","",IFERROR(INDEX($C$10:$C$69,MATCH(R347,$B$10:$B$69,0)),"—"))</f>
        <v/>
      </c>
    </row>
    <row r="348">
      <c r="Q348" s="130" t="n"/>
      <c r="R348" s="129" t="n"/>
      <c r="S348" s="129" t="n"/>
      <c r="T348" s="106" t="n"/>
      <c r="U348" s="106" t="n"/>
      <c r="V348" s="129" t="n"/>
      <c r="W348" s="138" t="str">
        <f>IF(R348="","",IFERROR(INDEX($C$10:$C$69,MATCH(R348,$B$10:$B$69,0)),"—"))</f>
        <v/>
      </c>
    </row>
    <row r="349">
      <c r="Q349" s="130" t="n"/>
      <c r="R349" s="129" t="n"/>
      <c r="S349" s="129" t="n"/>
      <c r="T349" s="106" t="n"/>
      <c r="U349" s="106" t="n"/>
      <c r="V349" s="129" t="n"/>
      <c r="W349" s="138" t="str">
        <f>IF(R349="","",IFERROR(INDEX($C$10:$C$69,MATCH(R349,$B$10:$B$69,0)),"—"))</f>
        <v/>
      </c>
    </row>
    <row r="350">
      <c r="Q350" s="130" t="n"/>
      <c r="R350" s="129" t="n"/>
      <c r="S350" s="129" t="n"/>
      <c r="T350" s="106" t="n"/>
      <c r="U350" s="106" t="n"/>
      <c r="V350" s="129" t="n"/>
      <c r="W350" s="138" t="str">
        <f>IF(R350="","",IFERROR(INDEX($C$10:$C$69,MATCH(R350,$B$10:$B$69,0)),"—"))</f>
        <v/>
      </c>
    </row>
    <row r="351">
      <c r="Q351" s="130" t="n"/>
      <c r="R351" s="129" t="n"/>
      <c r="S351" s="129" t="n"/>
      <c r="T351" s="106" t="n"/>
      <c r="U351" s="106" t="n"/>
      <c r="V351" s="129" t="n"/>
      <c r="W351" s="138" t="str">
        <f>IF(R351="","",IFERROR(INDEX($C$10:$C$69,MATCH(R351,$B$10:$B$69,0)),"—"))</f>
        <v/>
      </c>
    </row>
    <row r="352">
      <c r="Q352" s="130" t="n"/>
      <c r="R352" s="129" t="n"/>
      <c r="S352" s="129" t="n"/>
      <c r="T352" s="106" t="n"/>
      <c r="U352" s="106" t="n"/>
      <c r="V352" s="129" t="n"/>
      <c r="W352" s="138" t="str">
        <f>IF(R352="","",IFERROR(INDEX($C$10:$C$69,MATCH(R352,$B$10:$B$69,0)),"—"))</f>
        <v/>
      </c>
    </row>
    <row r="353">
      <c r="Q353" s="130" t="n"/>
      <c r="R353" s="129" t="n"/>
      <c r="S353" s="129" t="n"/>
      <c r="T353" s="106" t="n"/>
      <c r="U353" s="106" t="n"/>
      <c r="V353" s="129" t="n"/>
      <c r="W353" s="138" t="str">
        <f>IF(R353="","",IFERROR(INDEX($C$10:$C$69,MATCH(R353,$B$10:$B$69,0)),"—"))</f>
        <v/>
      </c>
    </row>
    <row r="354">
      <c r="Q354" s="130" t="n"/>
      <c r="R354" s="129" t="n"/>
      <c r="S354" s="129" t="n"/>
      <c r="T354" s="106" t="n"/>
      <c r="U354" s="106" t="n"/>
      <c r="V354" s="129" t="n"/>
      <c r="W354" s="138" t="str">
        <f>IF(R354="","",IFERROR(INDEX($C$10:$C$69,MATCH(R354,$B$10:$B$69,0)),"—"))</f>
        <v/>
      </c>
    </row>
    <row r="355">
      <c r="Q355" s="130" t="n"/>
      <c r="R355" s="129" t="n"/>
      <c r="S355" s="129" t="n"/>
      <c r="T355" s="106" t="n"/>
      <c r="U355" s="106" t="n"/>
      <c r="V355" s="129" t="n"/>
      <c r="W355" s="138" t="str">
        <f>IF(R355="","",IFERROR(INDEX($C$10:$C$69,MATCH(R355,$B$10:$B$69,0)),"—"))</f>
        <v/>
      </c>
    </row>
    <row r="356">
      <c r="Q356" s="130" t="n"/>
      <c r="R356" s="129" t="n"/>
      <c r="S356" s="129" t="n"/>
      <c r="T356" s="106" t="n"/>
      <c r="U356" s="106" t="n"/>
      <c r="V356" s="129" t="n"/>
      <c r="W356" s="138" t="str">
        <f>IF(R356="","",IFERROR(INDEX($C$10:$C$69,MATCH(R356,$B$10:$B$69,0)),"—"))</f>
        <v/>
      </c>
    </row>
    <row r="357">
      <c r="Q357" s="130" t="n"/>
      <c r="R357" s="129" t="n"/>
      <c r="S357" s="129" t="n"/>
      <c r="T357" s="106" t="n"/>
      <c r="U357" s="106" t="n"/>
      <c r="V357" s="129" t="n"/>
      <c r="W357" s="138" t="str">
        <f>IF(R357="","",IFERROR(INDEX($C$10:$C$69,MATCH(R357,$B$10:$B$69,0)),"—"))</f>
        <v/>
      </c>
    </row>
    <row r="358">
      <c r="Q358" s="130" t="n"/>
      <c r="R358" s="129" t="n"/>
      <c r="S358" s="129" t="n"/>
      <c r="T358" s="106" t="n"/>
      <c r="U358" s="106" t="n"/>
      <c r="V358" s="129" t="n"/>
      <c r="W358" s="138" t="str">
        <f>IF(R358="","",IFERROR(INDEX($C$10:$C$69,MATCH(R358,$B$10:$B$69,0)),"—"))</f>
        <v/>
      </c>
    </row>
    <row r="359">
      <c r="Q359" s="130" t="n"/>
      <c r="R359" s="129" t="n"/>
      <c r="S359" s="129" t="n"/>
      <c r="T359" s="106" t="n"/>
      <c r="U359" s="106" t="n"/>
      <c r="V359" s="129" t="n"/>
      <c r="W359" s="138" t="str">
        <f>IF(R359="","",IFERROR(INDEX($C$10:$C$69,MATCH(R359,$B$10:$B$69,0)),"—"))</f>
        <v/>
      </c>
    </row>
    <row r="360">
      <c r="Q360" s="130" t="n"/>
      <c r="R360" s="129" t="n"/>
      <c r="S360" s="129" t="n"/>
      <c r="T360" s="106" t="n"/>
      <c r="U360" s="106" t="n"/>
      <c r="V360" s="129" t="n"/>
      <c r="W360" s="138" t="str">
        <f>IF(R360="","",IFERROR(INDEX($C$10:$C$69,MATCH(R360,$B$10:$B$69,0)),"—"))</f>
        <v/>
      </c>
    </row>
    <row r="361">
      <c r="Q361" s="130" t="n"/>
      <c r="R361" s="129" t="n"/>
      <c r="S361" s="129" t="n"/>
      <c r="T361" s="106" t="n"/>
      <c r="U361" s="106" t="n"/>
      <c r="V361" s="129" t="n"/>
      <c r="W361" s="138" t="str">
        <f>IF(R361="","",IFERROR(INDEX($C$10:$C$69,MATCH(R361,$B$10:$B$69,0)),"—"))</f>
        <v/>
      </c>
    </row>
    <row r="362">
      <c r="Q362" s="130" t="n"/>
      <c r="R362" s="129" t="n"/>
      <c r="S362" s="129" t="n"/>
      <c r="T362" s="106" t="n"/>
      <c r="U362" s="106" t="n"/>
      <c r="V362" s="129" t="n"/>
      <c r="W362" s="138" t="str">
        <f>IF(R362="","",IFERROR(INDEX($C$10:$C$69,MATCH(R362,$B$10:$B$69,0)),"—"))</f>
        <v/>
      </c>
    </row>
    <row r="363">
      <c r="Q363" s="130" t="n"/>
      <c r="R363" s="129" t="n"/>
      <c r="S363" s="129" t="n"/>
      <c r="T363" s="106" t="n"/>
      <c r="U363" s="106" t="n"/>
      <c r="V363" s="129" t="n"/>
      <c r="W363" s="138" t="str">
        <f>IF(R363="","",IFERROR(INDEX($C$10:$C$69,MATCH(R363,$B$10:$B$69,0)),"—"))</f>
        <v/>
      </c>
    </row>
    <row r="364">
      <c r="Q364" s="130" t="n"/>
      <c r="R364" s="129" t="n"/>
      <c r="S364" s="129" t="n"/>
      <c r="T364" s="106" t="n"/>
      <c r="U364" s="106" t="n"/>
      <c r="V364" s="129" t="n"/>
      <c r="W364" s="138" t="str">
        <f>IF(R364="","",IFERROR(INDEX($C$10:$C$69,MATCH(R364,$B$10:$B$69,0)),"—"))</f>
        <v/>
      </c>
    </row>
    <row r="365">
      <c r="Q365" s="130" t="n"/>
      <c r="R365" s="129" t="n"/>
      <c r="S365" s="129" t="n"/>
      <c r="T365" s="106" t="n"/>
      <c r="U365" s="106" t="n"/>
      <c r="V365" s="129" t="n"/>
      <c r="W365" s="138" t="str">
        <f>IF(R365="","",IFERROR(INDEX($C$10:$C$69,MATCH(R365,$B$10:$B$69,0)),"—"))</f>
        <v/>
      </c>
    </row>
    <row r="366">
      <c r="Q366" s="130" t="n"/>
      <c r="R366" s="129" t="n"/>
      <c r="S366" s="129" t="n"/>
      <c r="T366" s="106" t="n"/>
      <c r="U366" s="106" t="n"/>
      <c r="V366" s="129" t="n"/>
      <c r="W366" s="138" t="str">
        <f>IF(R366="","",IFERROR(INDEX($C$10:$C$69,MATCH(R366,$B$10:$B$69,0)),"—"))</f>
        <v/>
      </c>
    </row>
    <row r="367">
      <c r="Q367" s="130" t="n"/>
      <c r="R367" s="129" t="n"/>
      <c r="S367" s="129" t="n"/>
      <c r="T367" s="106" t="n"/>
      <c r="U367" s="106" t="n"/>
      <c r="V367" s="129" t="n"/>
      <c r="W367" s="138" t="str">
        <f>IF(R367="","",IFERROR(INDEX($C$10:$C$69,MATCH(R367,$B$10:$B$69,0)),"—"))</f>
        <v/>
      </c>
    </row>
    <row r="368">
      <c r="Q368" s="130" t="n"/>
      <c r="R368" s="129" t="n"/>
      <c r="S368" s="129" t="n"/>
      <c r="T368" s="106" t="n"/>
      <c r="U368" s="106" t="n"/>
      <c r="V368" s="129" t="n"/>
      <c r="W368" s="138" t="str">
        <f>IF(R368="","",IFERROR(INDEX($C$10:$C$69,MATCH(R368,$B$10:$B$69,0)),"—"))</f>
        <v/>
      </c>
    </row>
    <row r="369">
      <c r="Q369" s="130" t="n"/>
      <c r="R369" s="129" t="n"/>
      <c r="S369" s="129" t="n"/>
      <c r="T369" s="106" t="n"/>
      <c r="U369" s="106" t="n"/>
      <c r="V369" s="129" t="n"/>
      <c r="W369" s="138" t="str">
        <f>IF(R369="","",IFERROR(INDEX($C$10:$C$69,MATCH(R369,$B$10:$B$69,0)),"—"))</f>
        <v/>
      </c>
    </row>
    <row r="370">
      <c r="Q370" s="130" t="n"/>
      <c r="R370" s="129" t="n"/>
      <c r="S370" s="129" t="n"/>
      <c r="T370" s="106" t="n"/>
      <c r="U370" s="106" t="n"/>
      <c r="V370" s="129" t="n"/>
      <c r="W370" s="138" t="str">
        <f>IF(R370="","",IFERROR(INDEX($C$10:$C$69,MATCH(R370,$B$10:$B$69,0)),"—"))</f>
        <v/>
      </c>
    </row>
    <row r="371">
      <c r="Q371" s="130" t="n"/>
      <c r="R371" s="129" t="n"/>
      <c r="S371" s="129" t="n"/>
      <c r="T371" s="106" t="n"/>
      <c r="U371" s="106" t="n"/>
      <c r="V371" s="129" t="n"/>
      <c r="W371" s="138" t="str">
        <f>IF(R371="","",IFERROR(INDEX($C$10:$C$69,MATCH(R371,$B$10:$B$69,0)),"—"))</f>
        <v/>
      </c>
    </row>
    <row r="372">
      <c r="Q372" s="130" t="n"/>
      <c r="R372" s="129" t="n"/>
      <c r="S372" s="129" t="n"/>
      <c r="T372" s="106" t="n"/>
      <c r="U372" s="106" t="n"/>
      <c r="V372" s="129" t="n"/>
      <c r="W372" s="138" t="str">
        <f>IF(R372="","",IFERROR(INDEX($C$10:$C$69,MATCH(R372,$B$10:$B$69,0)),"—"))</f>
        <v/>
      </c>
    </row>
    <row r="373">
      <c r="Q373" s="130" t="n"/>
      <c r="R373" s="129" t="n"/>
      <c r="S373" s="129" t="n"/>
      <c r="T373" s="106" t="n"/>
      <c r="U373" s="106" t="n"/>
      <c r="V373" s="129" t="n"/>
      <c r="W373" s="138" t="str">
        <f>IF(R373="","",IFERROR(INDEX($C$10:$C$69,MATCH(R373,$B$10:$B$69,0)),"—"))</f>
        <v/>
      </c>
    </row>
    <row r="374">
      <c r="Q374" s="130" t="n"/>
      <c r="R374" s="129" t="n"/>
      <c r="S374" s="129" t="n"/>
      <c r="T374" s="106" t="n"/>
      <c r="U374" s="106" t="n"/>
      <c r="V374" s="129" t="n"/>
      <c r="W374" s="138" t="str">
        <f>IF(R374="","",IFERROR(INDEX($C$10:$C$69,MATCH(R374,$B$10:$B$69,0)),"—"))</f>
        <v/>
      </c>
    </row>
    <row r="375">
      <c r="Q375" s="130" t="n"/>
      <c r="R375" s="129" t="n"/>
      <c r="S375" s="129" t="n"/>
      <c r="T375" s="106" t="n"/>
      <c r="U375" s="106" t="n"/>
      <c r="V375" s="129" t="n"/>
      <c r="W375" s="138" t="str">
        <f>IF(R375="","",IFERROR(INDEX($C$10:$C$69,MATCH(R375,$B$10:$B$69,0)),"—"))</f>
        <v/>
      </c>
    </row>
    <row r="376">
      <c r="Q376" s="130" t="n"/>
      <c r="R376" s="129" t="n"/>
      <c r="S376" s="129" t="n"/>
      <c r="T376" s="106" t="n"/>
      <c r="U376" s="106" t="n"/>
      <c r="V376" s="129" t="n"/>
      <c r="W376" s="138" t="str">
        <f>IF(R376="","",IFERROR(INDEX($C$10:$C$69,MATCH(R376,$B$10:$B$69,0)),"—"))</f>
        <v/>
      </c>
    </row>
    <row r="377">
      <c r="Q377" s="130" t="n"/>
      <c r="R377" s="129" t="n"/>
      <c r="S377" s="129" t="n"/>
      <c r="T377" s="106" t="n"/>
      <c r="U377" s="106" t="n"/>
      <c r="V377" s="129" t="n"/>
      <c r="W377" s="138" t="str">
        <f>IF(R377="","",IFERROR(INDEX($C$10:$C$69,MATCH(R377,$B$10:$B$69,0)),"—"))</f>
        <v/>
      </c>
    </row>
    <row r="378">
      <c r="Q378" s="130" t="n"/>
      <c r="R378" s="129" t="n"/>
      <c r="S378" s="129" t="n"/>
      <c r="T378" s="106" t="n"/>
      <c r="U378" s="106" t="n"/>
      <c r="V378" s="129" t="n"/>
      <c r="W378" s="138" t="str">
        <f>IF(R378="","",IFERROR(INDEX($C$10:$C$69,MATCH(R378,$B$10:$B$69,0)),"—"))</f>
        <v/>
      </c>
    </row>
    <row r="379">
      <c r="Q379" s="130" t="n"/>
      <c r="R379" s="129" t="n"/>
      <c r="S379" s="129" t="n"/>
      <c r="T379" s="106" t="n"/>
      <c r="U379" s="106" t="n"/>
      <c r="V379" s="129" t="n"/>
      <c r="W379" s="138" t="str">
        <f>IF(R379="","",IFERROR(INDEX($C$10:$C$69,MATCH(R379,$B$10:$B$69,0)),"—"))</f>
        <v/>
      </c>
    </row>
    <row r="380">
      <c r="Q380" s="130" t="n"/>
      <c r="R380" s="129" t="n"/>
      <c r="S380" s="129" t="n"/>
      <c r="T380" s="106" t="n"/>
      <c r="U380" s="106" t="n"/>
      <c r="V380" s="129" t="n"/>
      <c r="W380" s="138" t="str">
        <f>IF(R380="","",IFERROR(INDEX($C$10:$C$69,MATCH(R380,$B$10:$B$69,0)),"—"))</f>
        <v/>
      </c>
    </row>
    <row r="381">
      <c r="Q381" s="130" t="n"/>
      <c r="R381" s="129" t="n"/>
      <c r="S381" s="129" t="n"/>
      <c r="T381" s="106" t="n"/>
      <c r="U381" s="106" t="n"/>
      <c r="V381" s="129" t="n"/>
      <c r="W381" s="138" t="str">
        <f>IF(R381="","",IFERROR(INDEX($C$10:$C$69,MATCH(R381,$B$10:$B$69,0)),"—"))</f>
        <v/>
      </c>
    </row>
    <row r="382">
      <c r="Q382" s="130" t="n"/>
      <c r="R382" s="129" t="n"/>
      <c r="S382" s="129" t="n"/>
      <c r="T382" s="106" t="n"/>
      <c r="U382" s="106" t="n"/>
      <c r="V382" s="129" t="n"/>
      <c r="W382" s="138" t="str">
        <f>IF(R382="","",IFERROR(INDEX($C$10:$C$69,MATCH(R382,$B$10:$B$69,0)),"—"))</f>
        <v/>
      </c>
    </row>
    <row r="383">
      <c r="Q383" s="130" t="n"/>
      <c r="R383" s="129" t="n"/>
      <c r="S383" s="129" t="n"/>
      <c r="T383" s="106" t="n"/>
      <c r="U383" s="106" t="n"/>
      <c r="V383" s="129" t="n"/>
      <c r="W383" s="138" t="str">
        <f>IF(R383="","",IFERROR(INDEX($C$10:$C$69,MATCH(R383,$B$10:$B$69,0)),"—"))</f>
        <v/>
      </c>
    </row>
    <row r="384">
      <c r="Q384" s="130" t="n"/>
      <c r="R384" s="129" t="n"/>
      <c r="S384" s="129" t="n"/>
      <c r="T384" s="106" t="n"/>
      <c r="U384" s="106" t="n"/>
      <c r="V384" s="129" t="n"/>
      <c r="W384" s="138" t="str">
        <f>IF(R384="","",IFERROR(INDEX($C$10:$C$69,MATCH(R384,$B$10:$B$69,0)),"—"))</f>
        <v/>
      </c>
    </row>
    <row r="385">
      <c r="Q385" s="130" t="n"/>
      <c r="R385" s="129" t="n"/>
      <c r="S385" s="129" t="n"/>
      <c r="T385" s="106" t="n"/>
      <c r="U385" s="106" t="n"/>
      <c r="V385" s="129" t="n"/>
      <c r="W385" s="138" t="str">
        <f>IF(R385="","",IFERROR(INDEX($C$10:$C$69,MATCH(R385,$B$10:$B$69,0)),"—"))</f>
        <v/>
      </c>
    </row>
    <row r="386">
      <c r="Q386" s="130" t="n"/>
      <c r="R386" s="129" t="n"/>
      <c r="S386" s="129" t="n"/>
      <c r="T386" s="106" t="n"/>
      <c r="U386" s="106" t="n"/>
      <c r="V386" s="129" t="n"/>
      <c r="W386" s="138" t="str">
        <f>IF(R386="","",IFERROR(INDEX($C$10:$C$69,MATCH(R386,$B$10:$B$69,0)),"—"))</f>
        <v/>
      </c>
    </row>
    <row r="387">
      <c r="Q387" s="130" t="n"/>
      <c r="R387" s="129" t="n"/>
      <c r="S387" s="129" t="n"/>
      <c r="T387" s="106" t="n"/>
      <c r="U387" s="106" t="n"/>
      <c r="V387" s="129" t="n"/>
      <c r="W387" s="138" t="str">
        <f>IF(R387="","",IFERROR(INDEX($C$10:$C$69,MATCH(R387,$B$10:$B$69,0)),"—"))</f>
        <v/>
      </c>
    </row>
    <row r="388">
      <c r="Q388" s="130" t="n"/>
      <c r="R388" s="129" t="n"/>
      <c r="S388" s="129" t="n"/>
      <c r="T388" s="106" t="n"/>
      <c r="U388" s="106" t="n"/>
      <c r="V388" s="129" t="n"/>
      <c r="W388" s="138" t="str">
        <f>IF(R388="","",IFERROR(INDEX($C$10:$C$69,MATCH(R388,$B$10:$B$69,0)),"—"))</f>
        <v/>
      </c>
    </row>
    <row r="389">
      <c r="Q389" s="130" t="n"/>
      <c r="R389" s="129" t="n"/>
      <c r="S389" s="129" t="n"/>
      <c r="T389" s="106" t="n"/>
      <c r="U389" s="106" t="n"/>
      <c r="V389" s="129" t="n"/>
      <c r="W389" s="138" t="str">
        <f>IF(R389="","",IFERROR(INDEX($C$10:$C$69,MATCH(R389,$B$10:$B$69,0)),"—"))</f>
        <v/>
      </c>
    </row>
    <row r="390">
      <c r="Q390" s="130" t="n"/>
      <c r="R390" s="129" t="n"/>
      <c r="S390" s="129" t="n"/>
      <c r="T390" s="106" t="n"/>
      <c r="U390" s="106" t="n"/>
      <c r="V390" s="129" t="n"/>
      <c r="W390" s="138" t="str">
        <f>IF(R390="","",IFERROR(INDEX($C$10:$C$69,MATCH(R390,$B$10:$B$69,0)),"—"))</f>
        <v/>
      </c>
    </row>
    <row r="391">
      <c r="Q391" s="130" t="n"/>
      <c r="R391" s="129" t="n"/>
      <c r="S391" s="129" t="n"/>
      <c r="T391" s="106" t="n"/>
      <c r="U391" s="106" t="n"/>
      <c r="V391" s="129" t="n"/>
      <c r="W391" s="138" t="str">
        <f>IF(R391="","",IFERROR(INDEX($C$10:$C$69,MATCH(R391,$B$10:$B$69,0)),"—"))</f>
        <v/>
      </c>
    </row>
    <row r="392">
      <c r="Q392" s="130" t="n"/>
      <c r="R392" s="129" t="n"/>
      <c r="S392" s="129" t="n"/>
      <c r="T392" s="106" t="n"/>
      <c r="U392" s="106" t="n"/>
      <c r="V392" s="129" t="n"/>
      <c r="W392" s="138" t="str">
        <f>IF(R392="","",IFERROR(INDEX($C$10:$C$69,MATCH(R392,$B$10:$B$69,0)),"—"))</f>
        <v/>
      </c>
    </row>
    <row r="393">
      <c r="Q393" s="130" t="n"/>
      <c r="R393" s="129" t="n"/>
      <c r="S393" s="129" t="n"/>
      <c r="T393" s="106" t="n"/>
      <c r="U393" s="106" t="n"/>
      <c r="V393" s="129" t="n"/>
      <c r="W393" s="138" t="str">
        <f>IF(R393="","",IFERROR(INDEX($C$10:$C$69,MATCH(R393,$B$10:$B$69,0)),"—"))</f>
        <v/>
      </c>
    </row>
    <row r="394">
      <c r="Q394" s="130" t="n"/>
      <c r="R394" s="129" t="n"/>
      <c r="S394" s="129" t="n"/>
      <c r="T394" s="106" t="n"/>
      <c r="U394" s="106" t="n"/>
      <c r="V394" s="129" t="n"/>
      <c r="W394" s="138" t="str">
        <f>IF(R394="","",IFERROR(INDEX($C$10:$C$69,MATCH(R394,$B$10:$B$69,0)),"—"))</f>
        <v/>
      </c>
    </row>
    <row r="395">
      <c r="Q395" s="130" t="n"/>
      <c r="R395" s="129" t="n"/>
      <c r="S395" s="129" t="n"/>
      <c r="T395" s="106" t="n"/>
      <c r="U395" s="106" t="n"/>
      <c r="V395" s="129" t="n"/>
      <c r="W395" s="138" t="str">
        <f>IF(R395="","",IFERROR(INDEX($C$10:$C$69,MATCH(R395,$B$10:$B$69,0)),"—"))</f>
        <v/>
      </c>
    </row>
    <row r="396">
      <c r="Q396" s="130" t="n"/>
      <c r="R396" s="129" t="n"/>
      <c r="S396" s="129" t="n"/>
      <c r="T396" s="106" t="n"/>
      <c r="U396" s="106" t="n"/>
      <c r="V396" s="129" t="n"/>
      <c r="W396" s="138" t="str">
        <f>IF(R396="","",IFERROR(INDEX($C$10:$C$69,MATCH(R396,$B$10:$B$69,0)),"—"))</f>
        <v/>
      </c>
    </row>
    <row r="397">
      <c r="Q397" s="130" t="n"/>
      <c r="R397" s="129" t="n"/>
      <c r="S397" s="129" t="n"/>
      <c r="T397" s="106" t="n"/>
      <c r="U397" s="106" t="n"/>
      <c r="V397" s="129" t="n"/>
      <c r="W397" s="138" t="str">
        <f>IF(R397="","",IFERROR(INDEX($C$10:$C$69,MATCH(R397,$B$10:$B$69,0)),"—"))</f>
        <v/>
      </c>
    </row>
    <row r="398">
      <c r="Q398" s="130" t="n"/>
      <c r="R398" s="129" t="n"/>
      <c r="S398" s="129" t="n"/>
      <c r="T398" s="106" t="n"/>
      <c r="U398" s="106" t="n"/>
      <c r="V398" s="129" t="n"/>
      <c r="W398" s="138" t="str">
        <f>IF(R398="","",IFERROR(INDEX($C$10:$C$69,MATCH(R398,$B$10:$B$69,0)),"—"))</f>
        <v/>
      </c>
    </row>
    <row r="399">
      <c r="Q399" s="130" t="n"/>
      <c r="R399" s="129" t="n"/>
      <c r="S399" s="129" t="n"/>
      <c r="T399" s="106" t="n"/>
      <c r="U399" s="106" t="n"/>
      <c r="V399" s="129" t="n"/>
      <c r="W399" s="138" t="str">
        <f>IF(R399="","",IFERROR(INDEX($C$10:$C$69,MATCH(R399,$B$10:$B$69,0)),"—"))</f>
        <v/>
      </c>
    </row>
    <row r="400">
      <c r="Q400" s="130" t="n"/>
      <c r="R400" s="129" t="n"/>
      <c r="S400" s="129" t="n"/>
      <c r="T400" s="106" t="n"/>
      <c r="U400" s="106" t="n"/>
      <c r="V400" s="129" t="n"/>
      <c r="W400" s="138" t="str">
        <f>IF(R400="","",IFERROR(INDEX($C$10:$C$69,MATCH(R400,$B$10:$B$69,0)),"—"))</f>
        <v/>
      </c>
    </row>
    <row r="401">
      <c r="Q401" s="130" t="n"/>
      <c r="R401" s="129" t="n"/>
      <c r="S401" s="129" t="n"/>
      <c r="T401" s="106" t="n"/>
      <c r="U401" s="106" t="n"/>
      <c r="V401" s="129" t="n"/>
      <c r="W401" s="138" t="str">
        <f>IF(R401="","",IFERROR(INDEX($C$10:$C$69,MATCH(R401,$B$10:$B$69,0)),"—"))</f>
        <v/>
      </c>
    </row>
    <row r="402">
      <c r="Q402" s="130" t="n"/>
      <c r="R402" s="129" t="n"/>
      <c r="S402" s="129" t="n"/>
      <c r="T402" s="106" t="n"/>
      <c r="U402" s="106" t="n"/>
      <c r="V402" s="129" t="n"/>
      <c r="W402" s="138" t="str">
        <f>IF(R402="","",IFERROR(INDEX($C$10:$C$69,MATCH(R402,$B$10:$B$69,0)),"—"))</f>
        <v/>
      </c>
    </row>
    <row r="403">
      <c r="Q403" s="130" t="n"/>
      <c r="R403" s="129" t="n"/>
      <c r="S403" s="129" t="n"/>
      <c r="T403" s="106" t="n"/>
      <c r="U403" s="106" t="n"/>
      <c r="V403" s="129" t="n"/>
      <c r="W403" s="138" t="str">
        <f>IF(R403="","",IFERROR(INDEX($C$10:$C$69,MATCH(R403,$B$10:$B$69,0)),"—"))</f>
        <v/>
      </c>
    </row>
    <row r="404">
      <c r="Q404" s="130" t="n"/>
      <c r="R404" s="129" t="n"/>
      <c r="S404" s="129" t="n"/>
      <c r="T404" s="106" t="n"/>
      <c r="U404" s="106" t="n"/>
      <c r="V404" s="129" t="n"/>
      <c r="W404" s="138" t="str">
        <f>IF(R404="","",IFERROR(INDEX($C$10:$C$69,MATCH(R404,$B$10:$B$69,0)),"—"))</f>
        <v/>
      </c>
    </row>
    <row r="405">
      <c r="Q405" s="130" t="n"/>
      <c r="R405" s="129" t="n"/>
      <c r="S405" s="129" t="n"/>
      <c r="T405" s="106" t="n"/>
      <c r="U405" s="106" t="n"/>
      <c r="V405" s="129" t="n"/>
      <c r="W405" s="138" t="str">
        <f>IF(R405="","",IFERROR(INDEX($C$10:$C$69,MATCH(R405,$B$10:$B$69,0)),"—"))</f>
        <v/>
      </c>
    </row>
    <row r="406">
      <c r="Q406" s="130" t="n"/>
      <c r="R406" s="129" t="n"/>
      <c r="S406" s="129" t="n"/>
      <c r="T406" s="106" t="n"/>
      <c r="U406" s="106" t="n"/>
      <c r="V406" s="129" t="n"/>
      <c r="W406" s="138" t="str">
        <f>IF(R406="","",IFERROR(INDEX($C$10:$C$69,MATCH(R406,$B$10:$B$69,0)),"—"))</f>
        <v/>
      </c>
    </row>
    <row r="407">
      <c r="Q407" s="130" t="n"/>
      <c r="R407" s="129" t="n"/>
      <c r="S407" s="129" t="n"/>
      <c r="T407" s="106" t="n"/>
      <c r="U407" s="106" t="n"/>
      <c r="V407" s="129" t="n"/>
      <c r="W407" s="138" t="str">
        <f>IF(R407="","",IFERROR(INDEX($C$10:$C$69,MATCH(R407,$B$10:$B$69,0)),"—"))</f>
        <v/>
      </c>
    </row>
    <row r="408">
      <c r="Q408" s="130" t="n"/>
      <c r="R408" s="129" t="n"/>
      <c r="S408" s="129" t="n"/>
      <c r="T408" s="106" t="n"/>
      <c r="U408" s="106" t="n"/>
      <c r="V408" s="129" t="n"/>
      <c r="W408" s="138" t="str">
        <f>IF(R408="","",IFERROR(INDEX($C$10:$C$69,MATCH(R408,$B$10:$B$69,0)),"—"))</f>
        <v/>
      </c>
    </row>
    <row r="409">
      <c r="Q409" s="130" t="n"/>
      <c r="R409" s="129" t="n"/>
      <c r="S409" s="129" t="n"/>
      <c r="T409" s="106" t="n"/>
      <c r="U409" s="106" t="n"/>
      <c r="V409" s="129" t="n"/>
      <c r="W409" s="138" t="str">
        <f>IF(R409="","",IFERROR(INDEX($C$10:$C$69,MATCH(R409,$B$10:$B$69,0)),"—"))</f>
        <v/>
      </c>
    </row>
    <row r="410">
      <c r="Q410" s="130" t="n"/>
      <c r="R410" s="129" t="n"/>
      <c r="S410" s="129" t="n"/>
      <c r="T410" s="106" t="n"/>
      <c r="U410" s="106" t="n"/>
      <c r="V410" s="129" t="n"/>
      <c r="W410" s="138" t="str">
        <f>IF(R410="","",IFERROR(INDEX($C$10:$C$69,MATCH(R410,$B$10:$B$69,0)),"—"))</f>
        <v/>
      </c>
    </row>
    <row r="411">
      <c r="Q411" s="130" t="n"/>
      <c r="R411" s="129" t="n"/>
      <c r="S411" s="129" t="n"/>
      <c r="T411" s="106" t="n"/>
      <c r="U411" s="106" t="n"/>
      <c r="V411" s="129" t="n"/>
      <c r="W411" s="138" t="str">
        <f>IF(R411="","",IFERROR(INDEX($C$10:$C$69,MATCH(R411,$B$10:$B$69,0)),"—"))</f>
        <v/>
      </c>
    </row>
    <row r="412">
      <c r="Q412" s="130" t="n"/>
      <c r="R412" s="129" t="n"/>
      <c r="S412" s="129" t="n"/>
      <c r="T412" s="106" t="n"/>
      <c r="U412" s="106" t="n"/>
      <c r="V412" s="129" t="n"/>
      <c r="W412" s="138" t="str">
        <f>IF(R412="","",IFERROR(INDEX($C$10:$C$69,MATCH(R412,$B$10:$B$69,0)),"—"))</f>
        <v/>
      </c>
    </row>
    <row r="413">
      <c r="Q413" s="130" t="n"/>
      <c r="R413" s="129" t="n"/>
      <c r="S413" s="129" t="n"/>
      <c r="T413" s="106" t="n"/>
      <c r="U413" s="106" t="n"/>
      <c r="V413" s="129" t="n"/>
      <c r="W413" s="138" t="str">
        <f>IF(R413="","",IFERROR(INDEX($C$10:$C$69,MATCH(R413,$B$10:$B$69,0)),"—"))</f>
        <v/>
      </c>
    </row>
    <row r="414">
      <c r="Q414" s="130" t="n"/>
      <c r="R414" s="129" t="n"/>
      <c r="S414" s="129" t="n"/>
      <c r="T414" s="106" t="n"/>
      <c r="U414" s="106" t="n"/>
      <c r="V414" s="129" t="n"/>
      <c r="W414" s="138" t="str">
        <f>IF(R414="","",IFERROR(INDEX($C$10:$C$69,MATCH(R414,$B$10:$B$69,0)),"—"))</f>
        <v/>
      </c>
    </row>
    <row r="415">
      <c r="Q415" s="130" t="n"/>
      <c r="R415" s="129" t="n"/>
      <c r="S415" s="129" t="n"/>
      <c r="T415" s="106" t="n"/>
      <c r="U415" s="106" t="n"/>
      <c r="V415" s="129" t="n"/>
      <c r="W415" s="138" t="str">
        <f>IF(R415="","",IFERROR(INDEX($C$10:$C$69,MATCH(R415,$B$10:$B$69,0)),"—"))</f>
        <v/>
      </c>
    </row>
    <row r="416">
      <c r="Q416" s="130" t="n"/>
      <c r="R416" s="129" t="n"/>
      <c r="S416" s="129" t="n"/>
      <c r="T416" s="106" t="n"/>
      <c r="U416" s="106" t="n"/>
      <c r="V416" s="129" t="n"/>
      <c r="W416" s="138" t="str">
        <f>IF(R416="","",IFERROR(INDEX($C$10:$C$69,MATCH(R416,$B$10:$B$69,0)),"—"))</f>
        <v/>
      </c>
    </row>
    <row r="417">
      <c r="Q417" s="130" t="n"/>
      <c r="R417" s="129" t="n"/>
      <c r="S417" s="129" t="n"/>
      <c r="T417" s="106" t="n"/>
      <c r="U417" s="106" t="n"/>
      <c r="V417" s="129" t="n"/>
      <c r="W417" s="138" t="str">
        <f>IF(R417="","",IFERROR(INDEX($C$10:$C$69,MATCH(R417,$B$10:$B$69,0)),"—"))</f>
        <v/>
      </c>
    </row>
    <row r="418">
      <c r="Q418" s="130" t="n"/>
      <c r="R418" s="129" t="n"/>
      <c r="S418" s="129" t="n"/>
      <c r="T418" s="106" t="n"/>
      <c r="U418" s="106" t="n"/>
      <c r="V418" s="129" t="n"/>
      <c r="W418" s="138" t="str">
        <f>IF(R418="","",IFERROR(INDEX($C$10:$C$69,MATCH(R418,$B$10:$B$69,0)),"—"))</f>
        <v/>
      </c>
    </row>
    <row r="419">
      <c r="Q419" s="130" t="n"/>
      <c r="R419" s="129" t="n"/>
      <c r="S419" s="129" t="n"/>
      <c r="T419" s="106" t="n"/>
      <c r="U419" s="106" t="n"/>
      <c r="V419" s="129" t="n"/>
      <c r="W419" s="138" t="str">
        <f>IF(R419="","",IFERROR(INDEX($C$10:$C$69,MATCH(R419,$B$10:$B$69,0)),"—"))</f>
        <v/>
      </c>
    </row>
    <row r="420">
      <c r="Q420" s="130" t="n"/>
      <c r="R420" s="129" t="n"/>
      <c r="S420" s="129" t="n"/>
      <c r="T420" s="106" t="n"/>
      <c r="U420" s="106" t="n"/>
      <c r="V420" s="129" t="n"/>
      <c r="W420" s="138" t="str">
        <f>IF(R420="","",IFERROR(INDEX($C$10:$C$69,MATCH(R420,$B$10:$B$69,0)),"—"))</f>
        <v/>
      </c>
    </row>
    <row r="421">
      <c r="Q421" s="130" t="n"/>
      <c r="R421" s="129" t="n"/>
      <c r="S421" s="129" t="n"/>
      <c r="T421" s="106" t="n"/>
      <c r="U421" s="106" t="n"/>
      <c r="V421" s="129" t="n"/>
      <c r="W421" s="138" t="str">
        <f>IF(R421="","",IFERROR(INDEX($C$10:$C$69,MATCH(R421,$B$10:$B$69,0)),"—"))</f>
        <v/>
      </c>
    </row>
    <row r="422">
      <c r="Q422" s="130" t="n"/>
      <c r="R422" s="129" t="n"/>
      <c r="S422" s="129" t="n"/>
      <c r="T422" s="106" t="n"/>
      <c r="U422" s="106" t="n"/>
      <c r="V422" s="129" t="n"/>
      <c r="W422" s="138" t="str">
        <f>IF(R422="","",IFERROR(INDEX($C$10:$C$69,MATCH(R422,$B$10:$B$69,0)),"—"))</f>
        <v/>
      </c>
    </row>
    <row r="423">
      <c r="Q423" s="130" t="n"/>
      <c r="R423" s="129" t="n"/>
      <c r="S423" s="129" t="n"/>
      <c r="T423" s="106" t="n"/>
      <c r="U423" s="106" t="n"/>
      <c r="V423" s="129" t="n"/>
      <c r="W423" s="138" t="str">
        <f>IF(R423="","",IFERROR(INDEX($C$10:$C$69,MATCH(R423,$B$10:$B$69,0)),"—"))</f>
        <v/>
      </c>
    </row>
    <row r="424">
      <c r="Q424" s="130" t="n"/>
      <c r="R424" s="129" t="n"/>
      <c r="S424" s="129" t="n"/>
      <c r="T424" s="106" t="n"/>
      <c r="U424" s="106" t="n"/>
      <c r="V424" s="129" t="n"/>
      <c r="W424" s="138" t="str">
        <f>IF(R424="","",IFERROR(INDEX($C$10:$C$69,MATCH(R424,$B$10:$B$69,0)),"—"))</f>
        <v/>
      </c>
    </row>
    <row r="425">
      <c r="Q425" s="130" t="n"/>
      <c r="R425" s="129" t="n"/>
      <c r="S425" s="129" t="n"/>
      <c r="T425" s="106" t="n"/>
      <c r="U425" s="106" t="n"/>
      <c r="V425" s="129" t="n"/>
      <c r="W425" s="138" t="str">
        <f>IF(R425="","",IFERROR(INDEX($C$10:$C$69,MATCH(R425,$B$10:$B$69,0)),"—"))</f>
        <v/>
      </c>
    </row>
    <row r="426">
      <c r="Q426" s="130" t="n"/>
      <c r="R426" s="129" t="n"/>
      <c r="S426" s="129" t="n"/>
      <c r="T426" s="106" t="n"/>
      <c r="U426" s="106" t="n"/>
      <c r="V426" s="129" t="n"/>
      <c r="W426" s="138" t="str">
        <f>IF(R426="","",IFERROR(INDEX($C$10:$C$69,MATCH(R426,$B$10:$B$69,0)),"—"))</f>
        <v/>
      </c>
    </row>
    <row r="427">
      <c r="Q427" s="130" t="n"/>
      <c r="R427" s="129" t="n"/>
      <c r="S427" s="129" t="n"/>
      <c r="T427" s="106" t="n"/>
      <c r="U427" s="106" t="n"/>
      <c r="V427" s="129" t="n"/>
      <c r="W427" s="138" t="str">
        <f>IF(R427="","",IFERROR(INDEX($C$10:$C$69,MATCH(R427,$B$10:$B$69,0)),"—"))</f>
        <v/>
      </c>
    </row>
    <row r="428">
      <c r="Q428" s="130" t="n"/>
      <c r="R428" s="129" t="n"/>
      <c r="S428" s="129" t="n"/>
      <c r="T428" s="106" t="n"/>
      <c r="U428" s="106" t="n"/>
      <c r="V428" s="129" t="n"/>
      <c r="W428" s="138" t="str">
        <f>IF(R428="","",IFERROR(INDEX($C$10:$C$69,MATCH(R428,$B$10:$B$69,0)),"—"))</f>
        <v/>
      </c>
    </row>
    <row r="429">
      <c r="Q429" s="130" t="n"/>
      <c r="R429" s="129" t="n"/>
      <c r="S429" s="129" t="n"/>
      <c r="T429" s="106" t="n"/>
      <c r="U429" s="106" t="n"/>
      <c r="V429" s="129" t="n"/>
      <c r="W429" s="138" t="str">
        <f>IF(R429="","",IFERROR(INDEX($C$10:$C$69,MATCH(R429,$B$10:$B$69,0)),"—"))</f>
        <v/>
      </c>
    </row>
    <row r="430">
      <c r="Q430" s="130" t="n"/>
      <c r="R430" s="129" t="n"/>
      <c r="S430" s="129" t="n"/>
      <c r="T430" s="106" t="n"/>
      <c r="U430" s="106" t="n"/>
      <c r="V430" s="129" t="n"/>
      <c r="W430" s="138" t="str">
        <f>IF(R430="","",IFERROR(INDEX($C$10:$C$69,MATCH(R430,$B$10:$B$69,0)),"—"))</f>
        <v/>
      </c>
    </row>
    <row r="431">
      <c r="Q431" s="130" t="n"/>
      <c r="R431" s="129" t="n"/>
      <c r="S431" s="129" t="n"/>
      <c r="T431" s="106" t="n"/>
      <c r="U431" s="106" t="n"/>
      <c r="V431" s="129" t="n"/>
      <c r="W431" s="138" t="str">
        <f>IF(R431="","",IFERROR(INDEX($C$10:$C$69,MATCH(R431,$B$10:$B$69,0)),"—"))</f>
        <v/>
      </c>
    </row>
    <row r="432">
      <c r="Q432" s="130" t="n"/>
      <c r="R432" s="129" t="n"/>
      <c r="S432" s="129" t="n"/>
      <c r="T432" s="106" t="n"/>
      <c r="U432" s="106" t="n"/>
      <c r="V432" s="129" t="n"/>
      <c r="W432" s="138" t="str">
        <f>IF(R432="","",IFERROR(INDEX($C$10:$C$69,MATCH(R432,$B$10:$B$69,0)),"—"))</f>
        <v/>
      </c>
    </row>
    <row r="433">
      <c r="Q433" s="130" t="n"/>
      <c r="R433" s="129" t="n"/>
      <c r="S433" s="129" t="n"/>
      <c r="T433" s="106" t="n"/>
      <c r="U433" s="106" t="n"/>
      <c r="V433" s="129" t="n"/>
      <c r="W433" s="138" t="str">
        <f>IF(R433="","",IFERROR(INDEX($C$10:$C$69,MATCH(R433,$B$10:$B$69,0)),"—"))</f>
        <v/>
      </c>
    </row>
    <row r="434">
      <c r="Q434" s="130" t="n"/>
      <c r="R434" s="129" t="n"/>
      <c r="S434" s="129" t="n"/>
      <c r="T434" s="106" t="n"/>
      <c r="U434" s="106" t="n"/>
      <c r="V434" s="129" t="n"/>
      <c r="W434" s="138" t="str">
        <f>IF(R434="","",IFERROR(INDEX($C$10:$C$69,MATCH(R434,$B$10:$B$69,0)),"—"))</f>
        <v/>
      </c>
    </row>
    <row r="435">
      <c r="Q435" s="130" t="n"/>
      <c r="R435" s="129" t="n"/>
      <c r="S435" s="129" t="n"/>
      <c r="T435" s="106" t="n"/>
      <c r="U435" s="106" t="n"/>
      <c r="V435" s="129" t="n"/>
      <c r="W435" s="138" t="str">
        <f>IF(R435="","",IFERROR(INDEX($C$10:$C$69,MATCH(R435,$B$10:$B$69,0)),"—"))</f>
        <v/>
      </c>
    </row>
    <row r="436">
      <c r="Q436" s="130" t="n"/>
      <c r="R436" s="129" t="n"/>
      <c r="S436" s="129" t="n"/>
      <c r="T436" s="106" t="n"/>
      <c r="U436" s="106" t="n"/>
      <c r="V436" s="129" t="n"/>
      <c r="W436" s="138" t="str">
        <f>IF(R436="","",IFERROR(INDEX($C$10:$C$69,MATCH(R436,$B$10:$B$69,0)),"—"))</f>
        <v/>
      </c>
    </row>
    <row r="437">
      <c r="Q437" s="130" t="n"/>
      <c r="R437" s="129" t="n"/>
      <c r="S437" s="129" t="n"/>
      <c r="T437" s="106" t="n"/>
      <c r="U437" s="106" t="n"/>
      <c r="V437" s="129" t="n"/>
      <c r="W437" s="138" t="str">
        <f>IF(R437="","",IFERROR(INDEX($C$10:$C$69,MATCH(R437,$B$10:$B$69,0)),"—"))</f>
        <v/>
      </c>
    </row>
    <row r="438">
      <c r="Q438" s="130" t="n"/>
      <c r="R438" s="129" t="n"/>
      <c r="S438" s="129" t="n"/>
      <c r="T438" s="106" t="n"/>
      <c r="U438" s="106" t="n"/>
      <c r="V438" s="129" t="n"/>
      <c r="W438" s="138" t="str">
        <f>IF(R438="","",IFERROR(INDEX($C$10:$C$69,MATCH(R438,$B$10:$B$69,0)),"—"))</f>
        <v/>
      </c>
    </row>
    <row r="439">
      <c r="Q439" s="130" t="n"/>
      <c r="R439" s="129" t="n"/>
      <c r="S439" s="129" t="n"/>
      <c r="T439" s="106" t="n"/>
      <c r="U439" s="106" t="n"/>
      <c r="V439" s="129" t="n"/>
      <c r="W439" s="138" t="str">
        <f>IF(R439="","",IFERROR(INDEX($C$10:$C$69,MATCH(R439,$B$10:$B$69,0)),"—"))</f>
        <v/>
      </c>
    </row>
    <row r="440">
      <c r="Q440" s="130" t="n"/>
      <c r="R440" s="129" t="n"/>
      <c r="S440" s="129" t="n"/>
      <c r="T440" s="106" t="n"/>
      <c r="U440" s="106" t="n"/>
      <c r="V440" s="129" t="n"/>
      <c r="W440" s="138" t="str">
        <f>IF(R440="","",IFERROR(INDEX($C$10:$C$69,MATCH(R440,$B$10:$B$69,0)),"—"))</f>
        <v/>
      </c>
    </row>
    <row r="441">
      <c r="Q441" s="130" t="n"/>
      <c r="R441" s="129" t="n"/>
      <c r="S441" s="129" t="n"/>
      <c r="T441" s="106" t="n"/>
      <c r="U441" s="106" t="n"/>
      <c r="V441" s="129" t="n"/>
      <c r="W441" s="138" t="str">
        <f>IF(R441="","",IFERROR(INDEX($C$10:$C$69,MATCH(R441,$B$10:$B$69,0)),"—"))</f>
        <v/>
      </c>
    </row>
    <row r="442">
      <c r="Q442" s="130" t="n"/>
      <c r="R442" s="129" t="n"/>
      <c r="S442" s="129" t="n"/>
      <c r="T442" s="106" t="n"/>
      <c r="U442" s="106" t="n"/>
      <c r="V442" s="129" t="n"/>
      <c r="W442" s="138" t="str">
        <f>IF(R442="","",IFERROR(INDEX($C$10:$C$69,MATCH(R442,$B$10:$B$69,0)),"—"))</f>
        <v/>
      </c>
    </row>
    <row r="443">
      <c r="Q443" s="130" t="n"/>
      <c r="R443" s="129" t="n"/>
      <c r="S443" s="129" t="n"/>
      <c r="T443" s="106" t="n"/>
      <c r="U443" s="106" t="n"/>
      <c r="V443" s="129" t="n"/>
      <c r="W443" s="138" t="str">
        <f>IF(R443="","",IFERROR(INDEX($C$10:$C$69,MATCH(R443,$B$10:$B$69,0)),"—"))</f>
        <v/>
      </c>
    </row>
    <row r="444">
      <c r="Q444" s="130" t="n"/>
      <c r="R444" s="129" t="n"/>
      <c r="S444" s="129" t="n"/>
      <c r="T444" s="106" t="n"/>
      <c r="U444" s="106" t="n"/>
      <c r="V444" s="129" t="n"/>
      <c r="W444" s="138" t="str">
        <f>IF(R444="","",IFERROR(INDEX($C$10:$C$69,MATCH(R444,$B$10:$B$69,0)),"—"))</f>
        <v/>
      </c>
    </row>
    <row r="445">
      <c r="Q445" s="130" t="n"/>
      <c r="R445" s="129" t="n"/>
      <c r="S445" s="129" t="n"/>
      <c r="T445" s="106" t="n"/>
      <c r="U445" s="106" t="n"/>
      <c r="V445" s="129" t="n"/>
      <c r="W445" s="138" t="str">
        <f>IF(R445="","",IFERROR(INDEX($C$10:$C$69,MATCH(R445,$B$10:$B$69,0)),"—"))</f>
        <v/>
      </c>
    </row>
    <row r="446">
      <c r="Q446" s="130" t="n"/>
      <c r="R446" s="129" t="n"/>
      <c r="S446" s="129" t="n"/>
      <c r="T446" s="106" t="n"/>
      <c r="U446" s="106" t="n"/>
      <c r="V446" s="129" t="n"/>
      <c r="W446" s="138" t="str">
        <f>IF(R446="","",IFERROR(INDEX($C$10:$C$69,MATCH(R446,$B$10:$B$69,0)),"—"))</f>
        <v/>
      </c>
    </row>
    <row r="447">
      <c r="Q447" s="130" t="n"/>
      <c r="R447" s="129" t="n"/>
      <c r="S447" s="129" t="n"/>
      <c r="T447" s="106" t="n"/>
      <c r="U447" s="106" t="n"/>
      <c r="V447" s="129" t="n"/>
      <c r="W447" s="138" t="str">
        <f>IF(R447="","",IFERROR(INDEX($C$10:$C$69,MATCH(R447,$B$10:$B$69,0)),"—"))</f>
        <v/>
      </c>
    </row>
    <row r="448">
      <c r="Q448" s="130" t="n"/>
      <c r="R448" s="129" t="n"/>
      <c r="S448" s="129" t="n"/>
      <c r="T448" s="106" t="n"/>
      <c r="U448" s="106" t="n"/>
      <c r="V448" s="129" t="n"/>
      <c r="W448" s="138" t="str">
        <f>IF(R448="","",IFERROR(INDEX($C$10:$C$69,MATCH(R448,$B$10:$B$69,0)),"—"))</f>
        <v/>
      </c>
    </row>
    <row r="449">
      <c r="Q449" s="130" t="n"/>
      <c r="R449" s="129" t="n"/>
      <c r="S449" s="129" t="n"/>
      <c r="T449" s="106" t="n"/>
      <c r="U449" s="106" t="n"/>
      <c r="V449" s="129" t="n"/>
      <c r="W449" s="138" t="str">
        <f>IF(R449="","",IFERROR(INDEX($C$10:$C$69,MATCH(R449,$B$10:$B$69,0)),"—"))</f>
        <v/>
      </c>
    </row>
    <row r="450">
      <c r="Q450" s="130" t="n"/>
      <c r="R450" s="129" t="n"/>
      <c r="S450" s="129" t="n"/>
      <c r="T450" s="106" t="n"/>
      <c r="U450" s="106" t="n"/>
      <c r="V450" s="129" t="n"/>
      <c r="W450" s="138" t="str">
        <f>IF(R450="","",IFERROR(INDEX($C$10:$C$69,MATCH(R450,$B$10:$B$69,0)),"—"))</f>
        <v/>
      </c>
    </row>
    <row r="451">
      <c r="Q451" s="130" t="n"/>
      <c r="R451" s="129" t="n"/>
      <c r="S451" s="129" t="n"/>
      <c r="T451" s="106" t="n"/>
      <c r="U451" s="106" t="n"/>
      <c r="V451" s="129" t="n"/>
      <c r="W451" s="138" t="str">
        <f>IF(R451="","",IFERROR(INDEX($C$10:$C$69,MATCH(R451,$B$10:$B$69,0)),"—"))</f>
        <v/>
      </c>
    </row>
    <row r="452">
      <c r="Q452" s="130" t="n"/>
      <c r="R452" s="129" t="n"/>
      <c r="S452" s="129" t="n"/>
      <c r="T452" s="106" t="n"/>
      <c r="U452" s="106" t="n"/>
      <c r="V452" s="129" t="n"/>
      <c r="W452" s="138" t="str">
        <f>IF(R452="","",IFERROR(INDEX($C$10:$C$69,MATCH(R452,$B$10:$B$69,0)),"—"))</f>
        <v/>
      </c>
    </row>
    <row r="453">
      <c r="Q453" s="130" t="n"/>
      <c r="R453" s="129" t="n"/>
      <c r="S453" s="129" t="n"/>
      <c r="T453" s="106" t="n"/>
      <c r="U453" s="106" t="n"/>
      <c r="V453" s="129" t="n"/>
      <c r="W453" s="138" t="str">
        <f>IF(R453="","",IFERROR(INDEX($C$10:$C$69,MATCH(R453,$B$10:$B$69,0)),"—"))</f>
        <v/>
      </c>
    </row>
    <row r="454">
      <c r="Q454" s="130" t="n"/>
      <c r="R454" s="129" t="n"/>
      <c r="S454" s="129" t="n"/>
      <c r="T454" s="106" t="n"/>
      <c r="U454" s="106" t="n"/>
      <c r="V454" s="129" t="n"/>
      <c r="W454" s="138" t="str">
        <f>IF(R454="","",IFERROR(INDEX($C$10:$C$69,MATCH(R454,$B$10:$B$69,0)),"—"))</f>
        <v/>
      </c>
    </row>
    <row r="455">
      <c r="Q455" s="130" t="n"/>
      <c r="R455" s="129" t="n"/>
      <c r="S455" s="129" t="n"/>
      <c r="T455" s="106" t="n"/>
      <c r="U455" s="106" t="n"/>
      <c r="V455" s="129" t="n"/>
      <c r="W455" s="138" t="str">
        <f>IF(R455="","",IFERROR(INDEX($C$10:$C$69,MATCH(R455,$B$10:$B$69,0)),"—"))</f>
        <v/>
      </c>
    </row>
    <row r="456">
      <c r="Q456" s="130" t="n"/>
      <c r="R456" s="129" t="n"/>
      <c r="S456" s="129" t="n"/>
      <c r="T456" s="106" t="n"/>
      <c r="U456" s="106" t="n"/>
      <c r="V456" s="129" t="n"/>
      <c r="W456" s="138" t="str">
        <f>IF(R456="","",IFERROR(INDEX($C$10:$C$69,MATCH(R456,$B$10:$B$69,0)),"—"))</f>
        <v/>
      </c>
    </row>
    <row r="457">
      <c r="Q457" s="130" t="n"/>
      <c r="R457" s="129" t="n"/>
      <c r="S457" s="129" t="n"/>
      <c r="T457" s="106" t="n"/>
      <c r="U457" s="106" t="n"/>
      <c r="V457" s="129" t="n"/>
      <c r="W457" s="138" t="str">
        <f>IF(R457="","",IFERROR(INDEX($C$10:$C$69,MATCH(R457,$B$10:$B$69,0)),"—"))</f>
        <v/>
      </c>
    </row>
    <row r="458">
      <c r="Q458" s="130" t="n"/>
      <c r="R458" s="129" t="n"/>
      <c r="S458" s="129" t="n"/>
      <c r="T458" s="106" t="n"/>
      <c r="U458" s="106" t="n"/>
      <c r="V458" s="129" t="n"/>
      <c r="W458" s="138" t="str">
        <f>IF(R458="","",IFERROR(INDEX($C$10:$C$69,MATCH(R458,$B$10:$B$69,0)),"—"))</f>
        <v/>
      </c>
    </row>
    <row r="459">
      <c r="Q459" s="130" t="n"/>
      <c r="R459" s="129" t="n"/>
      <c r="S459" s="129" t="n"/>
      <c r="T459" s="106" t="n"/>
      <c r="U459" s="106" t="n"/>
      <c r="V459" s="129" t="n"/>
      <c r="W459" s="138" t="str">
        <f>IF(R459="","",IFERROR(INDEX($C$10:$C$69,MATCH(R459,$B$10:$B$69,0)),"—"))</f>
        <v/>
      </c>
    </row>
    <row r="460">
      <c r="Q460" s="130" t="n"/>
      <c r="R460" s="129" t="n"/>
      <c r="S460" s="129" t="n"/>
      <c r="T460" s="106" t="n"/>
      <c r="U460" s="106" t="n"/>
      <c r="V460" s="129" t="n"/>
      <c r="W460" s="138" t="str">
        <f>IF(R460="","",IFERROR(INDEX($C$10:$C$69,MATCH(R460,$B$10:$B$69,0)),"—"))</f>
        <v/>
      </c>
    </row>
    <row r="461">
      <c r="Q461" s="130" t="n"/>
      <c r="R461" s="129" t="n"/>
      <c r="S461" s="129" t="n"/>
      <c r="T461" s="106" t="n"/>
      <c r="U461" s="106" t="n"/>
      <c r="V461" s="129" t="n"/>
      <c r="W461" s="138" t="str">
        <f>IF(R461="","",IFERROR(INDEX($C$10:$C$69,MATCH(R461,$B$10:$B$69,0)),"—"))</f>
        <v/>
      </c>
    </row>
    <row r="462">
      <c r="Q462" s="130" t="n"/>
      <c r="R462" s="129" t="n"/>
      <c r="S462" s="129" t="n"/>
      <c r="T462" s="106" t="n"/>
      <c r="U462" s="106" t="n"/>
      <c r="V462" s="129" t="n"/>
      <c r="W462" s="138" t="str">
        <f>IF(R462="","",IFERROR(INDEX($C$10:$C$69,MATCH(R462,$B$10:$B$69,0)),"—"))</f>
        <v/>
      </c>
    </row>
    <row r="463">
      <c r="Q463" s="130" t="n"/>
      <c r="R463" s="129" t="n"/>
      <c r="S463" s="129" t="n"/>
      <c r="T463" s="106" t="n"/>
      <c r="U463" s="106" t="n"/>
      <c r="V463" s="129" t="n"/>
      <c r="W463" s="138" t="str">
        <f>IF(R463="","",IFERROR(INDEX($C$10:$C$69,MATCH(R463,$B$10:$B$69,0)),"—"))</f>
        <v/>
      </c>
    </row>
    <row r="464">
      <c r="Q464" s="130" t="n"/>
      <c r="R464" s="129" t="n"/>
      <c r="S464" s="129" t="n"/>
      <c r="T464" s="106" t="n"/>
      <c r="U464" s="106" t="n"/>
      <c r="V464" s="129" t="n"/>
      <c r="W464" s="138" t="str">
        <f>IF(R464="","",IFERROR(INDEX($C$10:$C$69,MATCH(R464,$B$10:$B$69,0)),"—"))</f>
        <v/>
      </c>
    </row>
    <row r="465">
      <c r="Q465" s="130" t="n"/>
      <c r="R465" s="129" t="n"/>
      <c r="S465" s="129" t="n"/>
      <c r="T465" s="106" t="n"/>
      <c r="U465" s="106" t="n"/>
      <c r="V465" s="129" t="n"/>
      <c r="W465" s="138" t="str">
        <f>IF(R465="","",IFERROR(INDEX($C$10:$C$69,MATCH(R465,$B$10:$B$69,0)),"—"))</f>
        <v/>
      </c>
    </row>
    <row r="466">
      <c r="Q466" s="130" t="n"/>
      <c r="R466" s="129" t="n"/>
      <c r="S466" s="129" t="n"/>
      <c r="T466" s="106" t="n"/>
      <c r="U466" s="106" t="n"/>
      <c r="V466" s="129" t="n"/>
      <c r="W466" s="138" t="str">
        <f>IF(R466="","",IFERROR(INDEX($C$10:$C$69,MATCH(R466,$B$10:$B$69,0)),"—"))</f>
        <v/>
      </c>
    </row>
    <row r="467">
      <c r="Q467" s="130" t="n"/>
      <c r="R467" s="129" t="n"/>
      <c r="S467" s="129" t="n"/>
      <c r="T467" s="106" t="n"/>
      <c r="U467" s="106" t="n"/>
      <c r="V467" s="129" t="n"/>
      <c r="W467" s="138" t="str">
        <f>IF(R467="","",IFERROR(INDEX($C$10:$C$69,MATCH(R467,$B$10:$B$69,0)),"—"))</f>
        <v/>
      </c>
    </row>
    <row r="468">
      <c r="Q468" s="130" t="n"/>
      <c r="R468" s="129" t="n"/>
      <c r="S468" s="129" t="n"/>
      <c r="T468" s="106" t="n"/>
      <c r="U468" s="106" t="n"/>
      <c r="V468" s="129" t="n"/>
      <c r="W468" s="138" t="str">
        <f>IF(R468="","",IFERROR(INDEX($C$10:$C$69,MATCH(R468,$B$10:$B$69,0)),"—"))</f>
        <v/>
      </c>
    </row>
    <row r="469">
      <c r="Q469" s="130" t="n"/>
      <c r="R469" s="129" t="n"/>
      <c r="S469" s="129" t="n"/>
      <c r="T469" s="106" t="n"/>
      <c r="U469" s="106" t="n"/>
      <c r="V469" s="129" t="n"/>
      <c r="W469" s="138" t="str">
        <f>IF(R469="","",IFERROR(INDEX($C$10:$C$69,MATCH(R469,$B$10:$B$69,0)),"—"))</f>
        <v/>
      </c>
    </row>
    <row r="470">
      <c r="Q470" s="130" t="n"/>
      <c r="R470" s="129" t="n"/>
      <c r="S470" s="129" t="n"/>
      <c r="T470" s="106" t="n"/>
      <c r="U470" s="106" t="n"/>
      <c r="V470" s="129" t="n"/>
      <c r="W470" s="138" t="str">
        <f>IF(R470="","",IFERROR(INDEX($C$10:$C$69,MATCH(R470,$B$10:$B$69,0)),"—"))</f>
        <v/>
      </c>
    </row>
    <row r="471">
      <c r="Q471" s="130" t="n"/>
      <c r="R471" s="129" t="n"/>
      <c r="S471" s="129" t="n"/>
      <c r="T471" s="106" t="n"/>
      <c r="U471" s="106" t="n"/>
      <c r="V471" s="129" t="n"/>
      <c r="W471" s="138" t="str">
        <f>IF(R471="","",IFERROR(INDEX($C$10:$C$69,MATCH(R471,$B$10:$B$69,0)),"—"))</f>
        <v/>
      </c>
    </row>
    <row r="472">
      <c r="Q472" s="130" t="n"/>
      <c r="R472" s="129" t="n"/>
      <c r="S472" s="129" t="n"/>
      <c r="T472" s="106" t="n"/>
      <c r="U472" s="106" t="n"/>
      <c r="V472" s="129" t="n"/>
      <c r="W472" s="138" t="str">
        <f>IF(R472="","",IFERROR(INDEX($C$10:$C$69,MATCH(R472,$B$10:$B$69,0)),"—"))</f>
        <v/>
      </c>
    </row>
    <row r="473">
      <c r="Q473" s="130" t="n"/>
      <c r="R473" s="129" t="n"/>
      <c r="S473" s="129" t="n"/>
      <c r="T473" s="106" t="n"/>
      <c r="U473" s="106" t="n"/>
      <c r="V473" s="129" t="n"/>
      <c r="W473" s="138" t="str">
        <f>IF(R473="","",IFERROR(INDEX($C$10:$C$69,MATCH(R473,$B$10:$B$69,0)),"—"))</f>
        <v/>
      </c>
    </row>
    <row r="474">
      <c r="Q474" s="130" t="n"/>
      <c r="R474" s="129" t="n"/>
      <c r="S474" s="129" t="n"/>
      <c r="T474" s="106" t="n"/>
      <c r="U474" s="106" t="n"/>
      <c r="V474" s="129" t="n"/>
      <c r="W474" s="138" t="str">
        <f>IF(R474="","",IFERROR(INDEX($C$10:$C$69,MATCH(R474,$B$10:$B$69,0)),"—"))</f>
        <v/>
      </c>
    </row>
    <row r="475">
      <c r="Q475" s="130" t="n"/>
      <c r="R475" s="129" t="n"/>
      <c r="S475" s="129" t="n"/>
      <c r="T475" s="106" t="n"/>
      <c r="U475" s="106" t="n"/>
      <c r="V475" s="129" t="n"/>
      <c r="W475" s="138" t="str">
        <f>IF(R475="","",IFERROR(INDEX($C$10:$C$69,MATCH(R475,$B$10:$B$69,0)),"—"))</f>
        <v/>
      </c>
    </row>
    <row r="476">
      <c r="Q476" s="130" t="n"/>
      <c r="R476" s="129" t="n"/>
      <c r="S476" s="129" t="n"/>
      <c r="T476" s="106" t="n"/>
      <c r="U476" s="106" t="n"/>
      <c r="V476" s="129" t="n"/>
      <c r="W476" s="138" t="str">
        <f>IF(R476="","",IFERROR(INDEX($C$10:$C$69,MATCH(R476,$B$10:$B$69,0)),"—"))</f>
        <v/>
      </c>
    </row>
    <row r="477">
      <c r="Q477" s="130" t="n"/>
      <c r="R477" s="129" t="n"/>
      <c r="S477" s="129" t="n"/>
      <c r="T477" s="106" t="n"/>
      <c r="U477" s="106" t="n"/>
      <c r="V477" s="129" t="n"/>
      <c r="W477" s="138" t="str">
        <f>IF(R477="","",IFERROR(INDEX($C$10:$C$69,MATCH(R477,$B$10:$B$69,0)),"—"))</f>
        <v/>
      </c>
    </row>
    <row r="478">
      <c r="Q478" s="130" t="n"/>
      <c r="R478" s="129" t="n"/>
      <c r="S478" s="129" t="n"/>
      <c r="T478" s="106" t="n"/>
      <c r="U478" s="106" t="n"/>
      <c r="V478" s="129" t="n"/>
      <c r="W478" s="138" t="str">
        <f>IF(R478="","",IFERROR(INDEX($C$10:$C$69,MATCH(R478,$B$10:$B$69,0)),"—"))</f>
        <v/>
      </c>
    </row>
    <row r="479">
      <c r="Q479" s="130" t="n"/>
      <c r="R479" s="129" t="n"/>
      <c r="S479" s="129" t="n"/>
      <c r="T479" s="106" t="n"/>
      <c r="U479" s="106" t="n"/>
      <c r="V479" s="129" t="n"/>
      <c r="W479" s="138" t="str">
        <f>IF(R479="","",IFERROR(INDEX($C$10:$C$69,MATCH(R479,$B$10:$B$69,0)),"—"))</f>
        <v/>
      </c>
    </row>
    <row r="480">
      <c r="Q480" s="130" t="n"/>
      <c r="R480" s="129" t="n"/>
      <c r="S480" s="129" t="n"/>
      <c r="T480" s="106" t="n"/>
      <c r="U480" s="106" t="n"/>
      <c r="V480" s="129" t="n"/>
      <c r="W480" s="138" t="str">
        <f>IF(R480="","",IFERROR(INDEX($C$10:$C$69,MATCH(R480,$B$10:$B$69,0)),"—"))</f>
        <v/>
      </c>
    </row>
    <row r="481">
      <c r="Q481" s="130" t="n"/>
      <c r="R481" s="129" t="n"/>
      <c r="S481" s="129" t="n"/>
      <c r="T481" s="106" t="n"/>
      <c r="U481" s="106" t="n"/>
      <c r="V481" s="129" t="n"/>
      <c r="W481" s="138" t="str">
        <f>IF(R481="","",IFERROR(INDEX($C$10:$C$69,MATCH(R481,$B$10:$B$69,0)),"—"))</f>
        <v/>
      </c>
    </row>
    <row r="482">
      <c r="Q482" s="130" t="n"/>
      <c r="R482" s="129" t="n"/>
      <c r="S482" s="129" t="n"/>
      <c r="T482" s="106" t="n"/>
      <c r="U482" s="106" t="n"/>
      <c r="V482" s="129" t="n"/>
      <c r="W482" s="138" t="str">
        <f>IF(R482="","",IFERROR(INDEX($C$10:$C$69,MATCH(R482,$B$10:$B$69,0)),"—"))</f>
        <v/>
      </c>
    </row>
    <row r="483">
      <c r="Q483" s="130" t="n"/>
      <c r="R483" s="129" t="n"/>
      <c r="S483" s="129" t="n"/>
      <c r="T483" s="106" t="n"/>
      <c r="U483" s="106" t="n"/>
      <c r="V483" s="129" t="n"/>
      <c r="W483" s="138" t="str">
        <f>IF(R483="","",IFERROR(INDEX($C$10:$C$69,MATCH(R483,$B$10:$B$69,0)),"—"))</f>
        <v/>
      </c>
    </row>
    <row r="484">
      <c r="Q484" s="130" t="n"/>
      <c r="R484" s="129" t="n"/>
      <c r="S484" s="129" t="n"/>
      <c r="T484" s="106" t="n"/>
      <c r="U484" s="106" t="n"/>
      <c r="V484" s="129" t="n"/>
      <c r="W484" s="138" t="str">
        <f>IF(R484="","",IFERROR(INDEX($C$10:$C$69,MATCH(R484,$B$10:$B$69,0)),"—"))</f>
        <v/>
      </c>
    </row>
    <row r="485">
      <c r="Q485" s="130" t="n"/>
      <c r="R485" s="129" t="n"/>
      <c r="S485" s="129" t="n"/>
      <c r="T485" s="106" t="n"/>
      <c r="U485" s="106" t="n"/>
      <c r="V485" s="129" t="n"/>
      <c r="W485" s="138" t="str">
        <f>IF(R485="","",IFERROR(INDEX($C$10:$C$69,MATCH(R485,$B$10:$B$69,0)),"—"))</f>
        <v/>
      </c>
    </row>
    <row r="486">
      <c r="Q486" s="130" t="n"/>
      <c r="R486" s="129" t="n"/>
      <c r="S486" s="129" t="n"/>
      <c r="T486" s="106" t="n"/>
      <c r="U486" s="106" t="n"/>
      <c r="V486" s="129" t="n"/>
      <c r="W486" s="138" t="str">
        <f>IF(R486="","",IFERROR(INDEX($C$10:$C$69,MATCH(R486,$B$10:$B$69,0)),"—"))</f>
        <v/>
      </c>
    </row>
    <row r="487">
      <c r="Q487" s="130" t="n"/>
      <c r="R487" s="129" t="n"/>
      <c r="S487" s="129" t="n"/>
      <c r="T487" s="106" t="n"/>
      <c r="U487" s="106" t="n"/>
      <c r="V487" s="129" t="n"/>
      <c r="W487" s="138" t="str">
        <f>IF(R487="","",IFERROR(INDEX($C$10:$C$69,MATCH(R487,$B$10:$B$69,0)),"—"))</f>
        <v/>
      </c>
    </row>
    <row r="488">
      <c r="Q488" s="130" t="n"/>
      <c r="R488" s="129" t="n"/>
      <c r="S488" s="129" t="n"/>
      <c r="T488" s="106" t="n"/>
      <c r="U488" s="106" t="n"/>
      <c r="V488" s="129" t="n"/>
      <c r="W488" s="138" t="str">
        <f>IF(R488="","",IFERROR(INDEX($C$10:$C$69,MATCH(R488,$B$10:$B$69,0)),"—"))</f>
        <v/>
      </c>
    </row>
    <row r="489">
      <c r="Q489" s="130" t="n"/>
      <c r="R489" s="129" t="n"/>
      <c r="S489" s="129" t="n"/>
      <c r="T489" s="106" t="n"/>
      <c r="U489" s="106" t="n"/>
      <c r="V489" s="129" t="n"/>
      <c r="W489" s="138" t="str">
        <f>IF(R489="","",IFERROR(INDEX($C$10:$C$69,MATCH(R489,$B$10:$B$69,0)),"—"))</f>
        <v/>
      </c>
    </row>
    <row r="490">
      <c r="Q490" s="130" t="n"/>
      <c r="R490" s="129" t="n"/>
      <c r="S490" s="129" t="n"/>
      <c r="T490" s="106" t="n"/>
      <c r="U490" s="106" t="n"/>
      <c r="V490" s="129" t="n"/>
      <c r="W490" s="138" t="str">
        <f>IF(R490="","",IFERROR(INDEX($C$10:$C$69,MATCH(R490,$B$10:$B$69,0)),"—"))</f>
        <v/>
      </c>
    </row>
    <row r="491">
      <c r="Q491" s="130" t="n"/>
      <c r="R491" s="129" t="n"/>
      <c r="S491" s="129" t="n"/>
      <c r="T491" s="106" t="n"/>
      <c r="U491" s="106" t="n"/>
      <c r="V491" s="129" t="n"/>
      <c r="W491" s="138" t="str">
        <f>IF(R491="","",IFERROR(INDEX($C$10:$C$69,MATCH(R491,$B$10:$B$69,0)),"—"))</f>
        <v/>
      </c>
    </row>
    <row r="492">
      <c r="Q492" s="130" t="n"/>
      <c r="R492" s="129" t="n"/>
      <c r="S492" s="129" t="n"/>
      <c r="T492" s="106" t="n"/>
      <c r="U492" s="106" t="n"/>
      <c r="V492" s="129" t="n"/>
      <c r="W492" s="138" t="str">
        <f>IF(R492="","",IFERROR(INDEX($C$10:$C$69,MATCH(R492,$B$10:$B$69,0)),"—"))</f>
        <v/>
      </c>
    </row>
    <row r="493">
      <c r="Q493" s="130" t="n"/>
      <c r="R493" s="129" t="n"/>
      <c r="S493" s="129" t="n"/>
      <c r="T493" s="106" t="n"/>
      <c r="U493" s="106" t="n"/>
      <c r="V493" s="129" t="n"/>
      <c r="W493" s="138" t="str">
        <f>IF(R493="","",IFERROR(INDEX($C$10:$C$69,MATCH(R493,$B$10:$B$69,0)),"—"))</f>
        <v/>
      </c>
    </row>
    <row r="494">
      <c r="Q494" s="130" t="n"/>
      <c r="R494" s="129" t="n"/>
      <c r="S494" s="129" t="n"/>
      <c r="T494" s="106" t="n"/>
      <c r="U494" s="106" t="n"/>
      <c r="V494" s="129" t="n"/>
      <c r="W494" s="138" t="str">
        <f>IF(R494="","",IFERROR(INDEX($C$10:$C$69,MATCH(R494,$B$10:$B$69,0)),"—"))</f>
        <v/>
      </c>
    </row>
    <row r="495">
      <c r="Q495" s="130" t="n"/>
      <c r="R495" s="129" t="n"/>
      <c r="S495" s="129" t="n"/>
      <c r="T495" s="106" t="n"/>
      <c r="U495" s="106" t="n"/>
      <c r="V495" s="129" t="n"/>
      <c r="W495" s="138" t="str">
        <f>IF(R495="","",IFERROR(INDEX($C$10:$C$69,MATCH(R495,$B$10:$B$69,0)),"—"))</f>
        <v/>
      </c>
    </row>
    <row r="496">
      <c r="Q496" s="130" t="n"/>
      <c r="R496" s="129" t="n"/>
      <c r="S496" s="129" t="n"/>
      <c r="T496" s="106" t="n"/>
      <c r="U496" s="106" t="n"/>
      <c r="V496" s="129" t="n"/>
      <c r="W496" s="138" t="str">
        <f>IF(R496="","",IFERROR(INDEX($C$10:$C$69,MATCH(R496,$B$10:$B$69,0)),"—"))</f>
        <v/>
      </c>
    </row>
    <row r="497">
      <c r="Q497" s="130" t="n"/>
      <c r="R497" s="129" t="n"/>
      <c r="S497" s="129" t="n"/>
      <c r="T497" s="106" t="n"/>
      <c r="U497" s="106" t="n"/>
      <c r="V497" s="129" t="n"/>
      <c r="W497" s="138" t="str">
        <f>IF(R497="","",IFERROR(INDEX($C$10:$C$69,MATCH(R497,$B$10:$B$69,0)),"—"))</f>
        <v/>
      </c>
    </row>
    <row r="498">
      <c r="Q498" s="130" t="n"/>
      <c r="R498" s="129" t="n"/>
      <c r="S498" s="129" t="n"/>
      <c r="T498" s="106" t="n"/>
      <c r="U498" s="106" t="n"/>
      <c r="V498" s="129" t="n"/>
      <c r="W498" s="138" t="str">
        <f>IF(R498="","",IFERROR(INDEX($C$10:$C$69,MATCH(R498,$B$10:$B$69,0)),"—"))</f>
        <v/>
      </c>
    </row>
    <row r="499">
      <c r="Q499" s="130" t="n"/>
      <c r="R499" s="129" t="n"/>
      <c r="S499" s="129" t="n"/>
      <c r="T499" s="106" t="n"/>
      <c r="U499" s="106" t="n"/>
      <c r="V499" s="129" t="n"/>
      <c r="W499" s="138" t="str">
        <f>IF(R499="","",IFERROR(INDEX($C$10:$C$69,MATCH(R499,$B$10:$B$69,0)),"—"))</f>
        <v/>
      </c>
    </row>
    <row r="500">
      <c r="Q500" s="130" t="n"/>
      <c r="R500" s="129" t="n"/>
      <c r="S500" s="129" t="n"/>
      <c r="T500" s="106" t="n"/>
      <c r="U500" s="106" t="n"/>
      <c r="V500" s="129" t="n"/>
      <c r="W500" s="138" t="str">
        <f>IF(R500="","",IFERROR(INDEX($C$10:$C$69,MATCH(R500,$B$10:$B$69,0)),"—"))</f>
        <v/>
      </c>
    </row>
    <row r="501">
      <c r="Q501" s="130" t="n"/>
      <c r="R501" s="129" t="n"/>
      <c r="S501" s="129" t="n"/>
      <c r="T501" s="106" t="n"/>
      <c r="U501" s="106" t="n"/>
      <c r="V501" s="129" t="n"/>
      <c r="W501" s="138" t="str">
        <f>IF(R501="","",IFERROR(INDEX($C$10:$C$69,MATCH(R501,$B$10:$B$69,0)),"—"))</f>
        <v/>
      </c>
    </row>
    <row r="502">
      <c r="Q502" s="130" t="n"/>
      <c r="R502" s="129" t="n"/>
      <c r="S502" s="129" t="n"/>
      <c r="T502" s="106" t="n"/>
      <c r="U502" s="106" t="n"/>
      <c r="V502" s="129" t="n"/>
      <c r="W502" s="138" t="str">
        <f>IF(R502="","",IFERROR(INDEX($C$10:$C$69,MATCH(R502,$B$10:$B$69,0)),"—"))</f>
        <v/>
      </c>
    </row>
    <row r="503">
      <c r="Q503" s="130" t="n"/>
      <c r="R503" s="129" t="n"/>
      <c r="S503" s="129" t="n"/>
      <c r="T503" s="106" t="n"/>
      <c r="U503" s="106" t="n"/>
      <c r="V503" s="129" t="n"/>
      <c r="W503" s="138" t="str">
        <f>IF(R503="","",IFERROR(INDEX($C$10:$C$69,MATCH(R503,$B$10:$B$69,0)),"—"))</f>
        <v/>
      </c>
    </row>
    <row r="504">
      <c r="Q504" s="130" t="n"/>
      <c r="R504" s="129" t="n"/>
      <c r="S504" s="129" t="n"/>
      <c r="T504" s="106" t="n"/>
      <c r="U504" s="106" t="n"/>
      <c r="V504" s="129" t="n"/>
      <c r="W504" s="138" t="str">
        <f>IF(R504="","",IFERROR(INDEX($C$10:$C$69,MATCH(R504,$B$10:$B$69,0)),"—"))</f>
        <v/>
      </c>
    </row>
    <row r="505">
      <c r="Q505" s="130" t="n"/>
      <c r="R505" s="129" t="n"/>
      <c r="S505" s="129" t="n"/>
      <c r="T505" s="106" t="n"/>
      <c r="U505" s="106" t="n"/>
      <c r="V505" s="129" t="n"/>
      <c r="W505" s="138" t="str">
        <f>IF(R505="","",IFERROR(INDEX($C$10:$C$69,MATCH(R505,$B$10:$B$69,0)),"—"))</f>
        <v/>
      </c>
    </row>
    <row r="506">
      <c r="Q506" s="130" t="n"/>
      <c r="R506" s="129" t="n"/>
      <c r="S506" s="129" t="n"/>
      <c r="T506" s="106" t="n"/>
      <c r="U506" s="106" t="n"/>
      <c r="V506" s="129" t="n"/>
      <c r="W506" s="138" t="str">
        <f>IF(R506="","",IFERROR(INDEX($C$10:$C$69,MATCH(R506,$B$10:$B$69,0)),"—"))</f>
        <v/>
      </c>
    </row>
    <row r="507">
      <c r="Q507" s="130" t="n"/>
      <c r="R507" s="129" t="n"/>
      <c r="S507" s="129" t="n"/>
      <c r="T507" s="106" t="n"/>
      <c r="U507" s="106" t="n"/>
      <c r="V507" s="129" t="n"/>
      <c r="W507" s="138" t="str">
        <f>IF(R507="","",IFERROR(INDEX($C$10:$C$69,MATCH(R507,$B$10:$B$69,0)),"—"))</f>
        <v/>
      </c>
    </row>
    <row r="508">
      <c r="Q508" s="130" t="n"/>
      <c r="R508" s="129" t="n"/>
      <c r="S508" s="129" t="n"/>
      <c r="T508" s="106" t="n"/>
      <c r="U508" s="106" t="n"/>
      <c r="V508" s="129" t="n"/>
      <c r="W508" s="138" t="str">
        <f>IF(R508="","",IFERROR(INDEX($C$10:$C$69,MATCH(R508,$B$10:$B$69,0)),"—"))</f>
        <v/>
      </c>
    </row>
    <row r="509">
      <c r="Q509" s="130" t="n"/>
      <c r="R509" s="129" t="n"/>
      <c r="S509" s="129" t="n"/>
      <c r="T509" s="106" t="n"/>
      <c r="U509" s="106" t="n"/>
      <c r="V509" s="129" t="n"/>
      <c r="W509" s="138" t="str">
        <f>IF(R509="","",IFERROR(INDEX($C$10:$C$69,MATCH(R509,$B$10:$B$69,0)),"—"))</f>
        <v/>
      </c>
    </row>
    <row r="510">
      <c r="Q510" s="130" t="n"/>
      <c r="R510" s="129" t="n"/>
      <c r="S510" s="129" t="n"/>
      <c r="T510" s="106" t="n"/>
      <c r="U510" s="106" t="n"/>
      <c r="V510" s="129" t="n"/>
      <c r="W510" s="138" t="str">
        <f>IF(R510="","",IFERROR(INDEX($C$10:$C$69,MATCH(R510,$B$10:$B$69,0)),"—"))</f>
        <v/>
      </c>
    </row>
    <row r="511">
      <c r="Q511" s="130" t="n"/>
      <c r="R511" s="129" t="n"/>
      <c r="S511" s="129" t="n"/>
      <c r="T511" s="106" t="n"/>
      <c r="U511" s="106" t="n"/>
      <c r="V511" s="129" t="n"/>
      <c r="W511" s="138" t="str">
        <f>IF(R511="","",IFERROR(INDEX($C$10:$C$69,MATCH(R511,$B$10:$B$69,0)),"—"))</f>
        <v/>
      </c>
    </row>
    <row r="512">
      <c r="Q512" s="130" t="n"/>
      <c r="R512" s="129" t="n"/>
      <c r="S512" s="129" t="n"/>
      <c r="T512" s="106" t="n"/>
      <c r="U512" s="106" t="n"/>
      <c r="V512" s="129" t="n"/>
      <c r="W512" s="138" t="str">
        <f>IF(R512="","",IFERROR(INDEX($C$10:$C$69,MATCH(R512,$B$10:$B$69,0)),"—"))</f>
        <v/>
      </c>
    </row>
    <row r="513">
      <c r="Q513" s="130" t="n"/>
      <c r="R513" s="129" t="n"/>
      <c r="S513" s="129" t="n"/>
      <c r="T513" s="106" t="n"/>
      <c r="U513" s="106" t="n"/>
      <c r="V513" s="129" t="n"/>
      <c r="W513" s="138" t="str">
        <f>IF(R513="","",IFERROR(INDEX($C$10:$C$69,MATCH(R513,$B$10:$B$69,0)),"—"))</f>
        <v/>
      </c>
    </row>
    <row r="514">
      <c r="Q514" s="130" t="n"/>
      <c r="R514" s="129" t="n"/>
      <c r="S514" s="129" t="n"/>
      <c r="T514" s="106" t="n"/>
      <c r="U514" s="106" t="n"/>
      <c r="V514" s="129" t="n"/>
      <c r="W514" s="138" t="str">
        <f>IF(R514="","",IFERROR(INDEX($C$10:$C$69,MATCH(R514,$B$10:$B$69,0)),"—"))</f>
        <v/>
      </c>
    </row>
    <row r="515">
      <c r="Q515" s="130" t="n"/>
      <c r="R515" s="129" t="n"/>
      <c r="S515" s="129" t="n"/>
      <c r="T515" s="106" t="n"/>
      <c r="U515" s="106" t="n"/>
      <c r="V515" s="129" t="n"/>
      <c r="W515" s="138" t="str">
        <f>IF(R515="","",IFERROR(INDEX($C$10:$C$69,MATCH(R515,$B$10:$B$69,0)),"—"))</f>
        <v/>
      </c>
    </row>
    <row r="516">
      <c r="Q516" s="130" t="n"/>
      <c r="R516" s="129" t="n"/>
      <c r="S516" s="129" t="n"/>
      <c r="T516" s="106" t="n"/>
      <c r="U516" s="106" t="n"/>
      <c r="V516" s="129" t="n"/>
      <c r="W516" s="138" t="str">
        <f>IF(R516="","",IFERROR(INDEX($C$10:$C$69,MATCH(R516,$B$10:$B$69,0)),"—"))</f>
        <v/>
      </c>
    </row>
    <row r="517">
      <c r="Q517" s="130" t="n"/>
      <c r="R517" s="129" t="n"/>
      <c r="S517" s="129" t="n"/>
      <c r="T517" s="106" t="n"/>
      <c r="U517" s="106" t="n"/>
      <c r="V517" s="129" t="n"/>
      <c r="W517" s="138" t="str">
        <f>IF(R517="","",IFERROR(INDEX($C$10:$C$69,MATCH(R517,$B$10:$B$69,0)),"—"))</f>
        <v/>
      </c>
    </row>
    <row r="518">
      <c r="Q518" s="130" t="n"/>
      <c r="R518" s="129" t="n"/>
      <c r="S518" s="129" t="n"/>
      <c r="T518" s="106" t="n"/>
      <c r="U518" s="106" t="n"/>
      <c r="V518" s="129" t="n"/>
      <c r="W518" s="138" t="str">
        <f>IF(R518="","",IFERROR(INDEX($C$10:$C$69,MATCH(R518,$B$10:$B$69,0)),"—"))</f>
        <v/>
      </c>
    </row>
    <row r="519">
      <c r="Q519" s="130" t="n"/>
      <c r="R519" s="129" t="n"/>
      <c r="S519" s="129" t="n"/>
      <c r="T519" s="106" t="n"/>
      <c r="U519" s="106" t="n"/>
      <c r="V519" s="129" t="n"/>
      <c r="W519" s="138" t="str">
        <f>IF(R519="","",IFERROR(INDEX($C$10:$C$69,MATCH(R519,$B$10:$B$69,0)),"—"))</f>
        <v/>
      </c>
    </row>
    <row r="520">
      <c r="Q520" s="130" t="n"/>
      <c r="R520" s="129" t="n"/>
      <c r="S520" s="129" t="n"/>
      <c r="T520" s="106" t="n"/>
      <c r="U520" s="106" t="n"/>
      <c r="V520" s="129" t="n"/>
      <c r="W520" s="138" t="str">
        <f>IF(R520="","",IFERROR(INDEX($C$10:$C$69,MATCH(R520,$B$10:$B$69,0)),"—"))</f>
        <v/>
      </c>
    </row>
    <row r="521">
      <c r="Q521" s="130" t="n"/>
      <c r="R521" s="129" t="n"/>
      <c r="S521" s="129" t="n"/>
      <c r="T521" s="106" t="n"/>
      <c r="U521" s="106" t="n"/>
      <c r="V521" s="129" t="n"/>
      <c r="W521" s="138" t="str">
        <f>IF(R521="","",IFERROR(INDEX($C$10:$C$69,MATCH(R521,$B$10:$B$69,0)),"—"))</f>
        <v/>
      </c>
    </row>
    <row r="522">
      <c r="Q522" s="130" t="n"/>
      <c r="R522" s="129" t="n"/>
      <c r="S522" s="129" t="n"/>
      <c r="T522" s="106" t="n"/>
      <c r="U522" s="106" t="n"/>
      <c r="V522" s="129" t="n"/>
      <c r="W522" s="138" t="str">
        <f>IF(R522="","",IFERROR(INDEX($C$10:$C$69,MATCH(R522,$B$10:$B$69,0)),"—"))</f>
        <v/>
      </c>
    </row>
    <row r="523">
      <c r="Q523" s="130" t="n"/>
      <c r="R523" s="129" t="n"/>
      <c r="S523" s="129" t="n"/>
      <c r="T523" s="106" t="n"/>
      <c r="U523" s="106" t="n"/>
      <c r="V523" s="129" t="n"/>
      <c r="W523" s="138" t="str">
        <f>IF(R523="","",IFERROR(INDEX($C$10:$C$69,MATCH(R523,$B$10:$B$69,0)),"—"))</f>
        <v/>
      </c>
    </row>
    <row r="524">
      <c r="Q524" s="130" t="n"/>
      <c r="R524" s="129" t="n"/>
      <c r="S524" s="129" t="n"/>
      <c r="T524" s="106" t="n"/>
      <c r="U524" s="106" t="n"/>
      <c r="V524" s="129" t="n"/>
      <c r="W524" s="138" t="str">
        <f>IF(R524="","",IFERROR(INDEX($C$10:$C$69,MATCH(R524,$B$10:$B$69,0)),"—"))</f>
        <v/>
      </c>
    </row>
    <row r="525">
      <c r="Q525" s="130" t="n"/>
      <c r="R525" s="129" t="n"/>
      <c r="S525" s="129" t="n"/>
      <c r="T525" s="106" t="n"/>
      <c r="U525" s="106" t="n"/>
      <c r="V525" s="129" t="n"/>
      <c r="W525" s="138" t="str">
        <f>IF(R525="","",IFERROR(INDEX($C$10:$C$69,MATCH(R525,$B$10:$B$69,0)),"—"))</f>
        <v/>
      </c>
    </row>
    <row r="526">
      <c r="Q526" s="130" t="n"/>
      <c r="R526" s="129" t="n"/>
      <c r="S526" s="129" t="n"/>
      <c r="T526" s="106" t="n"/>
      <c r="U526" s="106" t="n"/>
      <c r="V526" s="129" t="n"/>
      <c r="W526" s="138" t="str">
        <f>IF(R526="","",IFERROR(INDEX($C$10:$C$69,MATCH(R526,$B$10:$B$69,0)),"—"))</f>
        <v/>
      </c>
    </row>
    <row r="527">
      <c r="Q527" s="130" t="n"/>
      <c r="R527" s="129" t="n"/>
      <c r="S527" s="129" t="n"/>
      <c r="T527" s="106" t="n"/>
      <c r="U527" s="106" t="n"/>
      <c r="V527" s="129" t="n"/>
      <c r="W527" s="138" t="str">
        <f>IF(R527="","",IFERROR(INDEX($C$10:$C$69,MATCH(R527,$B$10:$B$69,0)),"—"))</f>
        <v/>
      </c>
    </row>
    <row r="528">
      <c r="Q528" s="130" t="n"/>
      <c r="R528" s="129" t="n"/>
      <c r="S528" s="129" t="n"/>
      <c r="T528" s="106" t="n"/>
      <c r="U528" s="106" t="n"/>
      <c r="V528" s="129" t="n"/>
      <c r="W528" s="138" t="str">
        <f>IF(R528="","",IFERROR(INDEX($C$10:$C$69,MATCH(R528,$B$10:$B$69,0)),"—"))</f>
        <v/>
      </c>
    </row>
    <row r="529">
      <c r="Q529" s="130" t="n"/>
      <c r="R529" s="129" t="n"/>
      <c r="S529" s="129" t="n"/>
      <c r="T529" s="106" t="n"/>
      <c r="U529" s="106" t="n"/>
      <c r="V529" s="129" t="n"/>
      <c r="W529" s="138" t="str">
        <f>IF(R529="","",IFERROR(INDEX($C$10:$C$69,MATCH(R529,$B$10:$B$69,0)),"—"))</f>
        <v/>
      </c>
    </row>
    <row r="530">
      <c r="Q530" s="130" t="n"/>
      <c r="R530" s="129" t="n"/>
      <c r="S530" s="129" t="n"/>
      <c r="T530" s="106" t="n"/>
      <c r="U530" s="106" t="n"/>
      <c r="V530" s="129" t="n"/>
      <c r="W530" s="138" t="str">
        <f>IF(R530="","",IFERROR(INDEX($C$10:$C$69,MATCH(R530,$B$10:$B$69,0)),"—"))</f>
        <v/>
      </c>
    </row>
    <row r="531">
      <c r="Q531" s="130" t="n"/>
      <c r="R531" s="129" t="n"/>
      <c r="S531" s="129" t="n"/>
      <c r="T531" s="106" t="n"/>
      <c r="U531" s="106" t="n"/>
      <c r="V531" s="129" t="n"/>
      <c r="W531" s="138" t="str">
        <f>IF(R531="","",IFERROR(INDEX($C$10:$C$69,MATCH(R531,$B$10:$B$69,0)),"—"))</f>
        <v/>
      </c>
    </row>
    <row r="532">
      <c r="Q532" s="130" t="n"/>
      <c r="R532" s="129" t="n"/>
      <c r="S532" s="129" t="n"/>
      <c r="T532" s="106" t="n"/>
      <c r="U532" s="106" t="n"/>
      <c r="V532" s="129" t="n"/>
      <c r="W532" s="138" t="str">
        <f>IF(R532="","",IFERROR(INDEX($C$10:$C$69,MATCH(R532,$B$10:$B$69,0)),"—"))</f>
        <v/>
      </c>
    </row>
    <row r="533">
      <c r="Q533" s="130" t="n"/>
      <c r="R533" s="129" t="n"/>
      <c r="S533" s="129" t="n"/>
      <c r="T533" s="106" t="n"/>
      <c r="U533" s="106" t="n"/>
      <c r="V533" s="129" t="n"/>
      <c r="W533" s="138" t="str">
        <f>IF(R533="","",IFERROR(INDEX($C$10:$C$69,MATCH(R533,$B$10:$B$69,0)),"—"))</f>
        <v/>
      </c>
    </row>
    <row r="534">
      <c r="Q534" s="130" t="n"/>
      <c r="R534" s="129" t="n"/>
      <c r="S534" s="129" t="n"/>
      <c r="T534" s="106" t="n"/>
      <c r="U534" s="106" t="n"/>
      <c r="V534" s="129" t="n"/>
      <c r="W534" s="138" t="str">
        <f>IF(R534="","",IFERROR(INDEX($C$10:$C$69,MATCH(R534,$B$10:$B$69,0)),"—"))</f>
        <v/>
      </c>
    </row>
    <row r="535">
      <c r="Q535" s="130" t="n"/>
      <c r="R535" s="129" t="n"/>
      <c r="S535" s="129" t="n"/>
      <c r="T535" s="106" t="n"/>
      <c r="U535" s="106" t="n"/>
      <c r="V535" s="129" t="n"/>
      <c r="W535" s="138" t="str">
        <f>IF(R535="","",IFERROR(INDEX($C$10:$C$69,MATCH(R535,$B$10:$B$69,0)),"—"))</f>
        <v/>
      </c>
    </row>
    <row r="536">
      <c r="Q536" s="130" t="n"/>
      <c r="R536" s="129" t="n"/>
      <c r="S536" s="129" t="n"/>
      <c r="T536" s="106" t="n"/>
      <c r="U536" s="106" t="n"/>
      <c r="V536" s="129" t="n"/>
      <c r="W536" s="138" t="str">
        <f>IF(R536="","",IFERROR(INDEX($C$10:$C$69,MATCH(R536,$B$10:$B$69,0)),"—"))</f>
        <v/>
      </c>
    </row>
    <row r="537">
      <c r="Q537" s="130" t="n"/>
      <c r="R537" s="129" t="n"/>
      <c r="S537" s="129" t="n"/>
      <c r="T537" s="106" t="n"/>
      <c r="U537" s="106" t="n"/>
      <c r="V537" s="129" t="n"/>
      <c r="W537" s="138" t="str">
        <f>IF(R537="","",IFERROR(INDEX($C$10:$C$69,MATCH(R537,$B$10:$B$69,0)),"—"))</f>
        <v/>
      </c>
    </row>
    <row r="538">
      <c r="Q538" s="130" t="n"/>
      <c r="R538" s="129" t="n"/>
      <c r="S538" s="129" t="n"/>
      <c r="T538" s="106" t="n"/>
      <c r="U538" s="106" t="n"/>
      <c r="V538" s="129" t="n"/>
      <c r="W538" s="138" t="str">
        <f>IF(R538="","",IFERROR(INDEX($C$10:$C$69,MATCH(R538,$B$10:$B$69,0)),"—"))</f>
        <v/>
      </c>
    </row>
    <row r="539">
      <c r="Q539" s="130" t="n"/>
      <c r="R539" s="129" t="n"/>
      <c r="S539" s="129" t="n"/>
      <c r="T539" s="106" t="n"/>
      <c r="U539" s="106" t="n"/>
      <c r="V539" s="129" t="n"/>
      <c r="W539" s="138" t="str">
        <f>IF(R539="","",IFERROR(INDEX($C$10:$C$69,MATCH(R539,$B$10:$B$69,0)),"—"))</f>
        <v/>
      </c>
    </row>
    <row r="540">
      <c r="Q540" s="130" t="n"/>
      <c r="R540" s="129" t="n"/>
      <c r="S540" s="129" t="n"/>
      <c r="T540" s="106" t="n"/>
      <c r="U540" s="106" t="n"/>
      <c r="V540" s="129" t="n"/>
      <c r="W540" s="138" t="str">
        <f>IF(R540="","",IFERROR(INDEX($C$10:$C$69,MATCH(R540,$B$10:$B$69,0)),"—"))</f>
        <v/>
      </c>
    </row>
    <row r="541">
      <c r="Q541" s="130" t="n"/>
      <c r="R541" s="129" t="n"/>
      <c r="S541" s="129" t="n"/>
      <c r="T541" s="106" t="n"/>
      <c r="U541" s="106" t="n"/>
      <c r="V541" s="129" t="n"/>
      <c r="W541" s="138" t="str">
        <f>IF(R541="","",IFERROR(INDEX($C$10:$C$69,MATCH(R541,$B$10:$B$69,0)),"—"))</f>
        <v/>
      </c>
    </row>
    <row r="542">
      <c r="Q542" s="130" t="n"/>
      <c r="R542" s="129" t="n"/>
      <c r="S542" s="129" t="n"/>
      <c r="T542" s="106" t="n"/>
      <c r="U542" s="106" t="n"/>
      <c r="V542" s="129" t="n"/>
      <c r="W542" s="138" t="str">
        <f>IF(R542="","",IFERROR(INDEX($C$10:$C$69,MATCH(R542,$B$10:$B$69,0)),"—"))</f>
        <v/>
      </c>
    </row>
    <row r="543">
      <c r="Q543" s="130" t="n"/>
      <c r="R543" s="129" t="n"/>
      <c r="S543" s="129" t="n"/>
      <c r="T543" s="106" t="n"/>
      <c r="U543" s="106" t="n"/>
      <c r="V543" s="129" t="n"/>
      <c r="W543" s="138" t="str">
        <f>IF(R543="","",IFERROR(INDEX($C$10:$C$69,MATCH(R543,$B$10:$B$69,0)),"—"))</f>
        <v/>
      </c>
    </row>
    <row r="544">
      <c r="Q544" s="130" t="n"/>
      <c r="R544" s="129" t="n"/>
      <c r="S544" s="129" t="n"/>
      <c r="T544" s="106" t="n"/>
      <c r="U544" s="106" t="n"/>
      <c r="V544" s="129" t="n"/>
      <c r="W544" s="138" t="str">
        <f>IF(R544="","",IFERROR(INDEX($C$10:$C$69,MATCH(R544,$B$10:$B$69,0)),"—"))</f>
        <v/>
      </c>
    </row>
    <row r="545">
      <c r="Q545" s="130" t="n"/>
      <c r="R545" s="129" t="n"/>
      <c r="S545" s="129" t="n"/>
      <c r="T545" s="106" t="n"/>
      <c r="U545" s="106" t="n"/>
      <c r="V545" s="129" t="n"/>
      <c r="W545" s="138" t="str">
        <f>IF(R545="","",IFERROR(INDEX($C$10:$C$69,MATCH(R545,$B$10:$B$69,0)),"—"))</f>
        <v/>
      </c>
    </row>
    <row r="546">
      <c r="Q546" s="130" t="n"/>
      <c r="R546" s="129" t="n"/>
      <c r="S546" s="129" t="n"/>
      <c r="T546" s="106" t="n"/>
      <c r="U546" s="106" t="n"/>
      <c r="V546" s="129" t="n"/>
      <c r="W546" s="138" t="str">
        <f>IF(R546="","",IFERROR(INDEX($C$10:$C$69,MATCH(R546,$B$10:$B$69,0)),"—"))</f>
        <v/>
      </c>
    </row>
    <row r="547">
      <c r="Q547" s="130" t="n"/>
      <c r="R547" s="129" t="n"/>
      <c r="S547" s="129" t="n"/>
      <c r="T547" s="106" t="n"/>
      <c r="U547" s="106" t="n"/>
      <c r="V547" s="129" t="n"/>
      <c r="W547" s="138" t="str">
        <f>IF(R547="","",IFERROR(INDEX($C$10:$C$69,MATCH(R547,$B$10:$B$69,0)),"—"))</f>
        <v/>
      </c>
    </row>
    <row r="548">
      <c r="Q548" s="130" t="n"/>
      <c r="R548" s="129" t="n"/>
      <c r="S548" s="129" t="n"/>
      <c r="T548" s="106" t="n"/>
      <c r="U548" s="106" t="n"/>
      <c r="V548" s="129" t="n"/>
      <c r="W548" s="138" t="str">
        <f>IF(R548="","",IFERROR(INDEX($C$10:$C$69,MATCH(R548,$B$10:$B$69,0)),"—"))</f>
        <v/>
      </c>
    </row>
    <row r="549">
      <c r="Q549" s="130" t="n"/>
      <c r="R549" s="129" t="n"/>
      <c r="S549" s="129" t="n"/>
      <c r="T549" s="106" t="n"/>
      <c r="U549" s="106" t="n"/>
      <c r="V549" s="129" t="n"/>
      <c r="W549" s="138" t="str">
        <f>IF(R549="","",IFERROR(INDEX($C$10:$C$69,MATCH(R549,$B$10:$B$69,0)),"—"))</f>
        <v/>
      </c>
    </row>
    <row r="550">
      <c r="Q550" s="130" t="n"/>
      <c r="R550" s="129" t="n"/>
      <c r="S550" s="129" t="n"/>
      <c r="T550" s="106" t="n"/>
      <c r="U550" s="106" t="n"/>
      <c r="V550" s="129" t="n"/>
      <c r="W550" s="138" t="str">
        <f>IF(R550="","",IFERROR(INDEX($C$10:$C$69,MATCH(R550,$B$10:$B$69,0)),"—"))</f>
        <v/>
      </c>
    </row>
    <row r="551">
      <c r="Q551" s="130" t="n"/>
      <c r="R551" s="129" t="n"/>
      <c r="S551" s="129" t="n"/>
      <c r="T551" s="106" t="n"/>
      <c r="U551" s="106" t="n"/>
      <c r="V551" s="129" t="n"/>
      <c r="W551" s="138" t="str">
        <f>IF(R551="","",IFERROR(INDEX($C$10:$C$69,MATCH(R551,$B$10:$B$69,0)),"—"))</f>
        <v/>
      </c>
    </row>
    <row r="552">
      <c r="Q552" s="130" t="n"/>
      <c r="R552" s="129" t="n"/>
      <c r="S552" s="129" t="n"/>
      <c r="T552" s="106" t="n"/>
      <c r="U552" s="106" t="n"/>
      <c r="V552" s="129" t="n"/>
      <c r="W552" s="138" t="str">
        <f>IF(R552="","",IFERROR(INDEX($C$10:$C$69,MATCH(R552,$B$10:$B$69,0)),"—"))</f>
        <v/>
      </c>
    </row>
    <row r="553">
      <c r="Q553" s="130" t="n"/>
      <c r="R553" s="129" t="n"/>
      <c r="S553" s="129" t="n"/>
      <c r="T553" s="106" t="n"/>
      <c r="U553" s="106" t="n"/>
      <c r="V553" s="129" t="n"/>
      <c r="W553" s="138" t="str">
        <f>IF(R553="","",IFERROR(INDEX($C$10:$C$69,MATCH(R553,$B$10:$B$69,0)),"—"))</f>
        <v/>
      </c>
    </row>
    <row r="554">
      <c r="Q554" s="130" t="n"/>
      <c r="R554" s="129" t="n"/>
      <c r="S554" s="129" t="n"/>
      <c r="T554" s="106" t="n"/>
      <c r="U554" s="106" t="n"/>
      <c r="V554" s="129" t="n"/>
      <c r="W554" s="138" t="str">
        <f>IF(R554="","",IFERROR(INDEX($C$10:$C$69,MATCH(R554,$B$10:$B$69,0)),"—"))</f>
        <v/>
      </c>
    </row>
    <row r="555">
      <c r="Q555" s="130" t="n"/>
      <c r="R555" s="129" t="n"/>
      <c r="S555" s="129" t="n"/>
      <c r="T555" s="106" t="n"/>
      <c r="U555" s="106" t="n"/>
      <c r="V555" s="129" t="n"/>
      <c r="W555" s="138" t="str">
        <f>IF(R555="","",IFERROR(INDEX($C$10:$C$69,MATCH(R555,$B$10:$B$69,0)),"—"))</f>
        <v/>
      </c>
    </row>
    <row r="556">
      <c r="Q556" s="130" t="n"/>
      <c r="R556" s="129" t="n"/>
      <c r="S556" s="129" t="n"/>
      <c r="T556" s="106" t="n"/>
      <c r="U556" s="106" t="n"/>
      <c r="V556" s="129" t="n"/>
      <c r="W556" s="138" t="str">
        <f>IF(R556="","",IFERROR(INDEX($C$10:$C$69,MATCH(R556,$B$10:$B$69,0)),"—"))</f>
        <v/>
      </c>
    </row>
    <row r="557">
      <c r="Q557" s="130" t="n"/>
      <c r="R557" s="129" t="n"/>
      <c r="S557" s="129" t="n"/>
      <c r="T557" s="106" t="n"/>
      <c r="U557" s="106" t="n"/>
      <c r="V557" s="129" t="n"/>
      <c r="W557" s="138" t="str">
        <f>IF(R557="","",IFERROR(INDEX($C$10:$C$69,MATCH(R557,$B$10:$B$69,0)),"—"))</f>
        <v/>
      </c>
    </row>
    <row r="558">
      <c r="Q558" s="130" t="n"/>
      <c r="R558" s="129" t="n"/>
      <c r="S558" s="129" t="n"/>
      <c r="T558" s="106" t="n"/>
      <c r="U558" s="106" t="n"/>
      <c r="V558" s="129" t="n"/>
      <c r="W558" s="138" t="str">
        <f>IF(R558="","",IFERROR(INDEX($C$10:$C$69,MATCH(R558,$B$10:$B$69,0)),"—"))</f>
        <v/>
      </c>
    </row>
    <row r="559">
      <c r="Q559" s="130" t="n"/>
      <c r="R559" s="129" t="n"/>
      <c r="S559" s="129" t="n"/>
      <c r="T559" s="106" t="n"/>
      <c r="U559" s="106" t="n"/>
      <c r="V559" s="129" t="n"/>
      <c r="W559" s="138" t="str">
        <f>IF(R559="","",IFERROR(INDEX($C$10:$C$69,MATCH(R559,$B$10:$B$69,0)),"—"))</f>
        <v/>
      </c>
    </row>
    <row r="560">
      <c r="Q560" s="130" t="n"/>
      <c r="R560" s="129" t="n"/>
      <c r="S560" s="129" t="n"/>
      <c r="T560" s="106" t="n"/>
      <c r="U560" s="106" t="n"/>
      <c r="V560" s="129" t="n"/>
      <c r="W560" s="138" t="str">
        <f>IF(R560="","",IFERROR(INDEX($C$10:$C$69,MATCH(R560,$B$10:$B$69,0)),"—"))</f>
        <v/>
      </c>
    </row>
    <row r="561">
      <c r="Q561" s="130" t="n"/>
      <c r="R561" s="129" t="n"/>
      <c r="S561" s="129" t="n"/>
      <c r="T561" s="106" t="n"/>
      <c r="U561" s="106" t="n"/>
      <c r="V561" s="129" t="n"/>
      <c r="W561" s="138" t="str">
        <f>IF(R561="","",IFERROR(INDEX($C$10:$C$69,MATCH(R561,$B$10:$B$69,0)),"—"))</f>
        <v/>
      </c>
    </row>
    <row r="562">
      <c r="Q562" s="130" t="n"/>
      <c r="R562" s="129" t="n"/>
      <c r="S562" s="129" t="n"/>
      <c r="T562" s="106" t="n"/>
      <c r="U562" s="106" t="n"/>
      <c r="V562" s="129" t="n"/>
      <c r="W562" s="138" t="str">
        <f>IF(R562="","",IFERROR(INDEX($C$10:$C$69,MATCH(R562,$B$10:$B$69,0)),"—"))</f>
        <v/>
      </c>
    </row>
    <row r="563">
      <c r="Q563" s="130" t="n"/>
      <c r="R563" s="129" t="n"/>
      <c r="S563" s="129" t="n"/>
      <c r="T563" s="106" t="n"/>
      <c r="U563" s="106" t="n"/>
      <c r="V563" s="129" t="n"/>
      <c r="W563" s="138" t="str">
        <f>IF(R563="","",IFERROR(INDEX($C$10:$C$69,MATCH(R563,$B$10:$B$69,0)),"—"))</f>
        <v/>
      </c>
    </row>
    <row r="564">
      <c r="Q564" s="130" t="n"/>
      <c r="R564" s="129" t="n"/>
      <c r="S564" s="129" t="n"/>
      <c r="T564" s="106" t="n"/>
      <c r="U564" s="106" t="n"/>
      <c r="V564" s="129" t="n"/>
      <c r="W564" s="138" t="str">
        <f>IF(R564="","",IFERROR(INDEX($C$10:$C$69,MATCH(R564,$B$10:$B$69,0)),"—"))</f>
        <v/>
      </c>
    </row>
    <row r="565">
      <c r="Q565" s="130" t="n"/>
      <c r="R565" s="129" t="n"/>
      <c r="S565" s="129" t="n"/>
      <c r="T565" s="106" t="n"/>
      <c r="U565" s="106" t="n"/>
      <c r="V565" s="129" t="n"/>
      <c r="W565" s="138" t="str">
        <f>IF(R565="","",IFERROR(INDEX($C$10:$C$69,MATCH(R565,$B$10:$B$69,0)),"—"))</f>
        <v/>
      </c>
    </row>
    <row r="566">
      <c r="Q566" s="130" t="n"/>
      <c r="R566" s="129" t="n"/>
      <c r="S566" s="129" t="n"/>
      <c r="T566" s="106" t="n"/>
      <c r="U566" s="106" t="n"/>
      <c r="V566" s="129" t="n"/>
      <c r="W566" s="138" t="str">
        <f>IF(R566="","",IFERROR(INDEX($C$10:$C$69,MATCH(R566,$B$10:$B$69,0)),"—"))</f>
        <v/>
      </c>
    </row>
    <row r="567">
      <c r="Q567" s="130" t="n"/>
      <c r="R567" s="129" t="n"/>
      <c r="S567" s="129" t="n"/>
      <c r="T567" s="106" t="n"/>
      <c r="U567" s="106" t="n"/>
      <c r="V567" s="129" t="n"/>
      <c r="W567" s="138" t="str">
        <f>IF(R567="","",IFERROR(INDEX($C$10:$C$69,MATCH(R567,$B$10:$B$69,0)),"—"))</f>
        <v/>
      </c>
    </row>
    <row r="568">
      <c r="Q568" s="130" t="n"/>
      <c r="R568" s="129" t="n"/>
      <c r="S568" s="129" t="n"/>
      <c r="T568" s="106" t="n"/>
      <c r="U568" s="106" t="n"/>
      <c r="V568" s="129" t="n"/>
      <c r="W568" s="138" t="str">
        <f>IF(R568="","",IFERROR(INDEX($C$10:$C$69,MATCH(R568,$B$10:$B$69,0)),"—"))</f>
        <v/>
      </c>
    </row>
    <row r="569">
      <c r="Q569" s="130" t="n"/>
      <c r="R569" s="129" t="n"/>
      <c r="S569" s="129" t="n"/>
      <c r="T569" s="106" t="n"/>
      <c r="U569" s="106" t="n"/>
      <c r="V569" s="129" t="n"/>
      <c r="W569" s="138" t="str">
        <f>IF(R569="","",IFERROR(INDEX($C$10:$C$69,MATCH(R569,$B$10:$B$69,0)),"—"))</f>
        <v/>
      </c>
    </row>
    <row r="570">
      <c r="Q570" s="130" t="n"/>
      <c r="R570" s="129" t="n"/>
      <c r="S570" s="129" t="n"/>
      <c r="T570" s="106" t="n"/>
      <c r="U570" s="106" t="n"/>
      <c r="V570" s="129" t="n"/>
      <c r="W570" s="138" t="str">
        <f>IF(R570="","",IFERROR(INDEX($C$10:$C$69,MATCH(R570,$B$10:$B$69,0)),"—"))</f>
        <v/>
      </c>
    </row>
    <row r="571">
      <c r="Q571" s="130" t="n"/>
      <c r="R571" s="129" t="n"/>
      <c r="S571" s="129" t="n"/>
      <c r="T571" s="106" t="n"/>
      <c r="U571" s="106" t="n"/>
      <c r="V571" s="129" t="n"/>
      <c r="W571" s="138" t="str">
        <f>IF(R571="","",IFERROR(INDEX($C$10:$C$69,MATCH(R571,$B$10:$B$69,0)),"—"))</f>
        <v/>
      </c>
    </row>
    <row r="572">
      <c r="Q572" s="130" t="n"/>
      <c r="R572" s="129" t="n"/>
      <c r="S572" s="129" t="n"/>
      <c r="T572" s="106" t="n"/>
      <c r="U572" s="106" t="n"/>
      <c r="V572" s="129" t="n"/>
      <c r="W572" s="138" t="str">
        <f>IF(R572="","",IFERROR(INDEX($C$10:$C$69,MATCH(R572,$B$10:$B$69,0)),"—"))</f>
        <v/>
      </c>
    </row>
    <row r="573">
      <c r="Q573" s="130" t="n"/>
      <c r="R573" s="129" t="n"/>
      <c r="S573" s="129" t="n"/>
      <c r="T573" s="106" t="n"/>
      <c r="U573" s="106" t="n"/>
      <c r="V573" s="129" t="n"/>
      <c r="W573" s="138" t="str">
        <f>IF(R573="","",IFERROR(INDEX($C$10:$C$69,MATCH(R573,$B$10:$B$69,0)),"—"))</f>
        <v/>
      </c>
    </row>
    <row r="574">
      <c r="Q574" s="130" t="n"/>
      <c r="R574" s="129" t="n"/>
      <c r="S574" s="129" t="n"/>
      <c r="T574" s="106" t="n"/>
      <c r="U574" s="106" t="n"/>
      <c r="V574" s="129" t="n"/>
      <c r="W574" s="138" t="str">
        <f>IF(R574="","",IFERROR(INDEX($C$10:$C$69,MATCH(R574,$B$10:$B$69,0)),"—"))</f>
        <v/>
      </c>
    </row>
    <row r="575">
      <c r="Q575" s="130" t="n"/>
      <c r="R575" s="129" t="n"/>
      <c r="S575" s="129" t="n"/>
      <c r="T575" s="106" t="n"/>
      <c r="U575" s="106" t="n"/>
      <c r="V575" s="129" t="n"/>
      <c r="W575" s="138" t="str">
        <f>IF(R575="","",IFERROR(INDEX($C$10:$C$69,MATCH(R575,$B$10:$B$69,0)),"—"))</f>
        <v/>
      </c>
    </row>
    <row r="576">
      <c r="Q576" s="130" t="n"/>
      <c r="R576" s="129" t="n"/>
      <c r="S576" s="129" t="n"/>
      <c r="T576" s="106" t="n"/>
      <c r="U576" s="106" t="n"/>
      <c r="V576" s="129" t="n"/>
      <c r="W576" s="138" t="str">
        <f>IF(R576="","",IFERROR(INDEX($C$10:$C$69,MATCH(R576,$B$10:$B$69,0)),"—"))</f>
        <v/>
      </c>
    </row>
    <row r="577">
      <c r="Q577" s="130" t="n"/>
      <c r="R577" s="129" t="n"/>
      <c r="S577" s="129" t="n"/>
      <c r="T577" s="106" t="n"/>
      <c r="U577" s="106" t="n"/>
      <c r="V577" s="129" t="n"/>
      <c r="W577" s="138" t="str">
        <f>IF(R577="","",IFERROR(INDEX($C$10:$C$69,MATCH(R577,$B$10:$B$69,0)),"—"))</f>
        <v/>
      </c>
    </row>
    <row r="578">
      <c r="Q578" s="130" t="n"/>
      <c r="R578" s="129" t="n"/>
      <c r="S578" s="129" t="n"/>
      <c r="T578" s="106" t="n"/>
      <c r="U578" s="106" t="n"/>
      <c r="V578" s="129" t="n"/>
      <c r="W578" s="138" t="str">
        <f>IF(R578="","",IFERROR(INDEX($C$10:$C$69,MATCH(R578,$B$10:$B$69,0)),"—"))</f>
        <v/>
      </c>
    </row>
    <row r="579">
      <c r="Q579" s="130" t="n"/>
      <c r="R579" s="129" t="n"/>
      <c r="S579" s="129" t="n"/>
      <c r="T579" s="106" t="n"/>
      <c r="U579" s="106" t="n"/>
      <c r="V579" s="129" t="n"/>
      <c r="W579" s="138" t="str">
        <f>IF(R579="","",IFERROR(INDEX($C$10:$C$69,MATCH(R579,$B$10:$B$69,0)),"—"))</f>
        <v/>
      </c>
    </row>
    <row r="580">
      <c r="Q580" s="130" t="n"/>
      <c r="R580" s="129" t="n"/>
      <c r="S580" s="129" t="n"/>
      <c r="T580" s="106" t="n"/>
      <c r="U580" s="106" t="n"/>
      <c r="V580" s="129" t="n"/>
      <c r="W580" s="138" t="str">
        <f>IF(R580="","",IFERROR(INDEX($C$10:$C$69,MATCH(R580,$B$10:$B$69,0)),"—"))</f>
        <v/>
      </c>
    </row>
    <row r="581">
      <c r="Q581" s="130" t="n"/>
      <c r="R581" s="129" t="n"/>
      <c r="S581" s="129" t="n"/>
      <c r="T581" s="106" t="n"/>
      <c r="U581" s="106" t="n"/>
      <c r="V581" s="129" t="n"/>
      <c r="W581" s="138" t="str">
        <f>IF(R581="","",IFERROR(INDEX($C$10:$C$69,MATCH(R581,$B$10:$B$69,0)),"—"))</f>
        <v/>
      </c>
    </row>
    <row r="582">
      <c r="Q582" s="130" t="n"/>
      <c r="R582" s="129" t="n"/>
      <c r="S582" s="129" t="n"/>
      <c r="T582" s="106" t="n"/>
      <c r="U582" s="106" t="n"/>
      <c r="V582" s="129" t="n"/>
      <c r="W582" s="138" t="str">
        <f>IF(R582="","",IFERROR(INDEX($C$10:$C$69,MATCH(R582,$B$10:$B$69,0)),"—"))</f>
        <v/>
      </c>
    </row>
    <row r="583">
      <c r="Q583" s="130" t="n"/>
      <c r="R583" s="129" t="n"/>
      <c r="S583" s="129" t="n"/>
      <c r="T583" s="106" t="n"/>
      <c r="U583" s="106" t="n"/>
      <c r="V583" s="129" t="n"/>
      <c r="W583" s="138" t="str">
        <f>IF(R583="","",IFERROR(INDEX($C$10:$C$69,MATCH(R583,$B$10:$B$69,0)),"—"))</f>
        <v/>
      </c>
    </row>
    <row r="584">
      <c r="Q584" s="130" t="n"/>
      <c r="R584" s="129" t="n"/>
      <c r="S584" s="129" t="n"/>
      <c r="T584" s="106" t="n"/>
      <c r="U584" s="106" t="n"/>
      <c r="V584" s="129" t="n"/>
      <c r="W584" s="138" t="str">
        <f>IF(R584="","",IFERROR(INDEX($C$10:$C$69,MATCH(R584,$B$10:$B$69,0)),"—"))</f>
        <v/>
      </c>
    </row>
    <row r="585">
      <c r="Q585" s="130" t="n"/>
      <c r="R585" s="129" t="n"/>
      <c r="S585" s="129" t="n"/>
      <c r="T585" s="106" t="n"/>
      <c r="U585" s="106" t="n"/>
      <c r="V585" s="129" t="n"/>
      <c r="W585" s="138" t="str">
        <f>IF(R585="","",IFERROR(INDEX($C$10:$C$69,MATCH(R585,$B$10:$B$69,0)),"—"))</f>
        <v/>
      </c>
    </row>
    <row r="586">
      <c r="Q586" s="130" t="n"/>
      <c r="R586" s="129" t="n"/>
      <c r="S586" s="129" t="n"/>
      <c r="T586" s="106" t="n"/>
      <c r="U586" s="106" t="n"/>
      <c r="V586" s="129" t="n"/>
      <c r="W586" s="138" t="str">
        <f>IF(R586="","",IFERROR(INDEX($C$10:$C$69,MATCH(R586,$B$10:$B$69,0)),"—"))</f>
        <v/>
      </c>
    </row>
    <row r="587">
      <c r="Q587" s="130" t="n"/>
      <c r="R587" s="129" t="n"/>
      <c r="S587" s="129" t="n"/>
      <c r="T587" s="106" t="n"/>
      <c r="U587" s="106" t="n"/>
      <c r="V587" s="129" t="n"/>
      <c r="W587" s="138" t="str">
        <f>IF(R587="","",IFERROR(INDEX($C$10:$C$69,MATCH(R587,$B$10:$B$69,0)),"—"))</f>
        <v/>
      </c>
    </row>
    <row r="588">
      <c r="Q588" s="130" t="n"/>
      <c r="R588" s="129" t="n"/>
      <c r="S588" s="129" t="n"/>
      <c r="T588" s="106" t="n"/>
      <c r="U588" s="106" t="n"/>
      <c r="V588" s="129" t="n"/>
      <c r="W588" s="138" t="str">
        <f>IF(R588="","",IFERROR(INDEX($C$10:$C$69,MATCH(R588,$B$10:$B$69,0)),"—"))</f>
        <v/>
      </c>
    </row>
    <row r="589">
      <c r="Q589" s="130" t="n"/>
      <c r="R589" s="129" t="n"/>
      <c r="S589" s="129" t="n"/>
      <c r="T589" s="106" t="n"/>
      <c r="U589" s="106" t="n"/>
      <c r="V589" s="129" t="n"/>
      <c r="W589" s="138" t="str">
        <f>IF(R589="","",IFERROR(INDEX($C$10:$C$69,MATCH(R589,$B$10:$B$69,0)),"—"))</f>
        <v/>
      </c>
    </row>
    <row r="590">
      <c r="Q590" s="130" t="n"/>
      <c r="R590" s="129" t="n"/>
      <c r="S590" s="129" t="n"/>
      <c r="T590" s="106" t="n"/>
      <c r="U590" s="106" t="n"/>
      <c r="V590" s="129" t="n"/>
      <c r="W590" s="138" t="str">
        <f>IF(R590="","",IFERROR(INDEX($C$10:$C$69,MATCH(R590,$B$10:$B$69,0)),"—"))</f>
        <v/>
      </c>
    </row>
    <row r="591">
      <c r="Q591" s="130" t="n"/>
      <c r="R591" s="129" t="n"/>
      <c r="S591" s="129" t="n"/>
      <c r="T591" s="106" t="n"/>
      <c r="U591" s="106" t="n"/>
      <c r="V591" s="129" t="n"/>
      <c r="W591" s="138" t="str">
        <f>IF(R591="","",IFERROR(INDEX($C$10:$C$69,MATCH(R591,$B$10:$B$69,0)),"—"))</f>
        <v/>
      </c>
    </row>
    <row r="592">
      <c r="Q592" s="130" t="n"/>
      <c r="R592" s="129" t="n"/>
      <c r="S592" s="129" t="n"/>
      <c r="T592" s="106" t="n"/>
      <c r="U592" s="106" t="n"/>
      <c r="V592" s="129" t="n"/>
      <c r="W592" s="138" t="str">
        <f>IF(R592="","",IFERROR(INDEX($C$10:$C$69,MATCH(R592,$B$10:$B$69,0)),"—"))</f>
        <v/>
      </c>
    </row>
    <row r="593">
      <c r="Q593" s="130" t="n"/>
      <c r="R593" s="129" t="n"/>
      <c r="S593" s="129" t="n"/>
      <c r="T593" s="106" t="n"/>
      <c r="U593" s="106" t="n"/>
      <c r="V593" s="129" t="n"/>
      <c r="W593" s="138" t="str">
        <f>IF(R593="","",IFERROR(INDEX($C$10:$C$69,MATCH(R593,$B$10:$B$69,0)),"—"))</f>
        <v/>
      </c>
    </row>
    <row r="594">
      <c r="Q594" s="130" t="n"/>
      <c r="R594" s="129" t="n"/>
      <c r="S594" s="129" t="n"/>
      <c r="T594" s="106" t="n"/>
      <c r="U594" s="106" t="n"/>
      <c r="V594" s="129" t="n"/>
      <c r="W594" s="138" t="str">
        <f>IF(R594="","",IFERROR(INDEX($C$10:$C$69,MATCH(R594,$B$10:$B$69,0)),"—"))</f>
        <v/>
      </c>
    </row>
    <row r="595">
      <c r="Q595" s="130" t="n"/>
      <c r="R595" s="129" t="n"/>
      <c r="S595" s="129" t="n"/>
      <c r="T595" s="106" t="n"/>
      <c r="U595" s="106" t="n"/>
      <c r="V595" s="129" t="n"/>
      <c r="W595" s="138" t="str">
        <f>IF(R595="","",IFERROR(INDEX($C$10:$C$69,MATCH(R595,$B$10:$B$69,0)),"—"))</f>
        <v/>
      </c>
    </row>
    <row r="596">
      <c r="Q596" s="130" t="n"/>
      <c r="R596" s="129" t="n"/>
      <c r="S596" s="129" t="n"/>
      <c r="T596" s="106" t="n"/>
      <c r="U596" s="106" t="n"/>
      <c r="V596" s="129" t="n"/>
      <c r="W596" s="138" t="str">
        <f>IF(R596="","",IFERROR(INDEX($C$10:$C$69,MATCH(R596,$B$10:$B$69,0)),"—"))</f>
        <v/>
      </c>
    </row>
    <row r="597">
      <c r="Q597" s="130" t="n"/>
      <c r="R597" s="129" t="n"/>
      <c r="S597" s="129" t="n"/>
      <c r="T597" s="106" t="n"/>
      <c r="U597" s="106" t="n"/>
      <c r="V597" s="129" t="n"/>
      <c r="W597" s="138" t="str">
        <f>IF(R597="","",IFERROR(INDEX($C$10:$C$69,MATCH(R597,$B$10:$B$69,0)),"—"))</f>
        <v/>
      </c>
    </row>
    <row r="598">
      <c r="Q598" s="130" t="n"/>
      <c r="R598" s="129" t="n"/>
      <c r="S598" s="129" t="n"/>
      <c r="T598" s="106" t="n"/>
      <c r="U598" s="106" t="n"/>
      <c r="V598" s="129" t="n"/>
      <c r="W598" s="138" t="str">
        <f>IF(R598="","",IFERROR(INDEX($C$10:$C$69,MATCH(R598,$B$10:$B$69,0)),"—"))</f>
        <v/>
      </c>
    </row>
    <row r="599">
      <c r="Q599" s="130" t="n"/>
      <c r="R599" s="129" t="n"/>
      <c r="S599" s="129" t="n"/>
      <c r="T599" s="106" t="n"/>
      <c r="U599" s="106" t="n"/>
      <c r="V599" s="129" t="n"/>
      <c r="W599" s="138" t="str">
        <f>IF(R599="","",IFERROR(INDEX($C$10:$C$69,MATCH(R599,$B$10:$B$69,0)),"—"))</f>
        <v/>
      </c>
    </row>
    <row r="600">
      <c r="Q600" s="130" t="n"/>
      <c r="R600" s="129" t="n"/>
      <c r="S600" s="129" t="n"/>
      <c r="T600" s="106" t="n"/>
      <c r="U600" s="106" t="n"/>
      <c r="V600" s="129" t="n"/>
      <c r="W600" s="138" t="str">
        <f>IF(R600="","",IFERROR(INDEX($C$10:$C$69,MATCH(R600,$B$10:$B$69,0)),"—"))</f>
        <v/>
      </c>
    </row>
    <row r="601">
      <c r="Q601" s="130" t="n"/>
      <c r="R601" s="129" t="n"/>
      <c r="S601" s="129" t="n"/>
      <c r="T601" s="106" t="n"/>
      <c r="U601" s="106" t="n"/>
      <c r="V601" s="129" t="n"/>
      <c r="W601" s="138" t="str">
        <f>IF(R601="","",IFERROR(INDEX($C$10:$C$69,MATCH(R601,$B$10:$B$69,0)),"—"))</f>
        <v/>
      </c>
    </row>
    <row r="602">
      <c r="Q602" s="130" t="n"/>
      <c r="R602" s="129" t="n"/>
      <c r="S602" s="129" t="n"/>
      <c r="T602" s="106" t="n"/>
      <c r="U602" s="106" t="n"/>
      <c r="V602" s="129" t="n"/>
      <c r="W602" s="138" t="str">
        <f>IF(R602="","",IFERROR(INDEX($C$10:$C$69,MATCH(R602,$B$10:$B$69,0)),"—"))</f>
        <v/>
      </c>
    </row>
    <row r="603">
      <c r="Q603" s="130" t="n"/>
      <c r="R603" s="129" t="n"/>
      <c r="S603" s="129" t="n"/>
      <c r="T603" s="106" t="n"/>
      <c r="U603" s="106" t="n"/>
      <c r="V603" s="129" t="n"/>
      <c r="W603" s="138" t="str">
        <f>IF(R603="","",IFERROR(INDEX($C$10:$C$69,MATCH(R603,$B$10:$B$69,0)),"—"))</f>
        <v/>
      </c>
    </row>
    <row r="604">
      <c r="Q604" s="130" t="n"/>
      <c r="R604" s="129" t="n"/>
      <c r="S604" s="129" t="n"/>
      <c r="T604" s="106" t="n"/>
      <c r="U604" s="106" t="n"/>
      <c r="V604" s="129" t="n"/>
      <c r="W604" s="138" t="str">
        <f>IF(R604="","",IFERROR(INDEX($C$10:$C$69,MATCH(R604,$B$10:$B$69,0)),"—"))</f>
        <v/>
      </c>
    </row>
    <row r="605">
      <c r="Q605" s="130" t="n"/>
      <c r="R605" s="129" t="n"/>
      <c r="S605" s="129" t="n"/>
      <c r="T605" s="106" t="n"/>
      <c r="U605" s="106" t="n"/>
      <c r="V605" s="129" t="n"/>
      <c r="W605" s="138" t="str">
        <f>IF(R605="","",IFERROR(INDEX($C$10:$C$69,MATCH(R605,$B$10:$B$69,0)),"—"))</f>
        <v/>
      </c>
    </row>
    <row r="606">
      <c r="Q606" s="130" t="n"/>
      <c r="R606" s="129" t="n"/>
      <c r="S606" s="129" t="n"/>
      <c r="T606" s="106" t="n"/>
      <c r="U606" s="106" t="n"/>
      <c r="V606" s="129" t="n"/>
      <c r="W606" s="138" t="str">
        <f>IF(R606="","",IFERROR(INDEX($C$10:$C$69,MATCH(R606,$B$10:$B$69,0)),"—"))</f>
        <v/>
      </c>
    </row>
    <row r="607">
      <c r="Q607" s="130" t="n"/>
      <c r="R607" s="129" t="n"/>
      <c r="S607" s="129" t="n"/>
      <c r="T607" s="106" t="n"/>
      <c r="U607" s="106" t="n"/>
      <c r="V607" s="129" t="n"/>
      <c r="W607" s="138" t="str">
        <f>IF(R607="","",IFERROR(INDEX($C$10:$C$69,MATCH(R607,$B$10:$B$69,0)),"—"))</f>
        <v/>
      </c>
    </row>
    <row r="608">
      <c r="Q608" s="130" t="n"/>
      <c r="R608" s="129" t="n"/>
      <c r="S608" s="129" t="n"/>
      <c r="T608" s="106" t="n"/>
      <c r="U608" s="106" t="n"/>
      <c r="V608" s="129" t="n"/>
      <c r="W608" s="138" t="str">
        <f>IF(R608="","",IFERROR(INDEX($C$10:$C$69,MATCH(R608,$B$10:$B$69,0)),"—"))</f>
        <v/>
      </c>
    </row>
    <row r="609">
      <c r="Q609" s="130" t="n"/>
      <c r="R609" s="129" t="n"/>
      <c r="S609" s="129" t="n"/>
      <c r="T609" s="106" t="n"/>
      <c r="U609" s="106" t="n"/>
      <c r="V609" s="129" t="n"/>
      <c r="W609" s="138" t="str">
        <f>IF(R609="","",IFERROR(INDEX($C$10:$C$69,MATCH(R609,$B$10:$B$69,0)),"—"))</f>
        <v/>
      </c>
    </row>
  </sheetData>
  <mergeCells count="15">
    <mergeCell ref="E6:F6"/>
    <mergeCell ref="C6:D6"/>
    <mergeCell ref="C7:D7"/>
    <mergeCell ref="I6:J6"/>
    <mergeCell ref="G7:H7"/>
    <mergeCell ref="E7:F7"/>
    <mergeCell ref="K6:M6"/>
    <mergeCell ref="I7:J7"/>
    <mergeCell ref="K5:M5"/>
    <mergeCell ref="C5:D5"/>
    <mergeCell ref="G5:H5"/>
    <mergeCell ref="E5:F5"/>
    <mergeCell ref="I5:J5"/>
    <mergeCell ref="G6:H6"/>
    <mergeCell ref="K7:M7"/>
  </mergeCells>
  <conditionalFormatting sqref="B7:M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0:H69">
    <cfRule type="expression" priority="7" dxfId="5">
      <formula>LEFT(H10,1)="✔"</formula>
    </cfRule>
    <cfRule type="expression" priority="8" dxfId="6">
      <formula>LEFT(H10,1)="▲"</formula>
    </cfRule>
    <cfRule type="expression" priority="9" dxfId="7">
      <formula>LEFT(H10,1)="✖"</formula>
    </cfRule>
    <cfRule type="expression" priority="10" dxfId="8">
      <formula>LEFT(H10,1)="○"</formula>
    </cfRule>
    <cfRule type="expression" priority="11" dxfId="8">
      <formula>LEFT(H10,1)="‖"</formula>
    </cfRule>
    <cfRule type="expression" priority="12" dxfId="8">
      <formula>LEFT(H10,1)="–"</formula>
    </cfRule>
  </conditionalFormatting>
  <conditionalFormatting sqref="K10:K69">
    <cfRule type="expression" priority="13" dxfId="9">
      <formula>AND(ISNUMBER(K10),K10&lt;=AlertaAniv)</formula>
    </cfRule>
  </conditionalFormatting>
  <conditionalFormatting sqref="T10:T609">
    <cfRule type="colorScale" priority="14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Q10:W609">
    <cfRule type="expression" priority="15" dxfId="16">
      <formula>AND($Q10&lt;&gt;"",MOD(ROW(),2)=0)</formula>
    </cfRule>
  </conditionalFormatting>
  <dataValidations count="9">
    <dataValidation sqref="C10:C69" showDropDown="0" showInputMessage="0" showErrorMessage="1" allowBlank="1" errorTitle="Valor fora da lista" error="Escolha um item da lista (as listas ficam na aba Config)." type="list" errorStyle="stop">
      <formula1>lst_Relacao</formula1>
    </dataValidation>
    <dataValidation sqref="D10:D69" showDropDown="0" showInputMessage="0" showErrorMessage="1" allowBlank="1" errorTitle="Valor fora da lista" error="Escolha um item da lista (as listas ficam na aba Config)." type="list" errorStyle="stop">
      <formula1>lst_Circulo</formula1>
    </dataValidation>
    <dataValidation sqref="E10:E69" showDropDown="0" showInputMessage="1" showErrorMessage="1" allowBlank="1" errorTitle="Valor inválido" error="Use um número entre 1 e 3650." promptTitle="" prompt="Ex.: 7 = toda semana · 30 = todo mês · 90 = a cada 3 meses" type="whole" operator="between">
      <formula1>1</formula1>
      <formula2>3650</formula2>
    </dataValidation>
    <dataValidation sqref="I10:I69" showDropDown="0" showInputMessage="1" showErrorMessage="1" allowBlank="1" errorTitle="Data inválida" error="Digite uma data (ex.: 15/03/2026). Atalho: Ctrl+; insere a data de hoje." prompt="Data de nascimento (o ano pode ser qualquer um)" type="date" operator="between">
      <formula1>36526</formula1>
      <formula2>73051</formula2>
    </dataValidation>
    <dataValidation sqref="Q10:Q6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R10:R609" showDropDown="0" showInputMessage="1" showErrorMessage="1" allowBlank="1" errorTitle="Valor fora da lista" error="Escolha um item da lista (as listas ficam na aba Config)." prompt="Pessoas cadastradas à esquerda" type="list" errorStyle="stop">
      <formula1>lst_Pessoas</formula1>
    </dataValidation>
    <dataValidation sqref="S10:S609" showDropDown="0" showInputMessage="0" showErrorMessage="1" allowBlank="1" errorTitle="Valor fora da lista" error="Escolha um item da lista (as listas ficam na aba Config)." type="list" errorStyle="stop">
      <formula1>lst_TipoInter</formula1>
    </dataValidation>
    <dataValidation sqref="T10:T609" showDropDown="0" showInputMessage="1" showErrorMessage="1" allowBlank="1" errorTitle="Valor inválido" error="Use um número entre 1 e 5." promptTitle="" prompt="1 = superficial · 5 = conversa profunda, presença real" type="whole" operator="between">
      <formula1>1</formula1>
      <formula2>5</formula2>
    </dataValidation>
    <dataValidation sqref="U10:U609" showDropDown="0" showInputMessage="0" showErrorMessage="1" allowBlank="1" errorTitle="Valor inválido" error="Use um número entre 0 e 1440." type="whole" operator="between">
      <formula1>0</formula1>
      <formula2>1440</formula2>
    </dataValidation>
  </dataValidations>
  <hyperlinks>
    <hyperlink ref="W1" location="'Dashboard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3AA7"/>
    <outlinePr summaryBelow="1" summaryRight="1"/>
    <pageSetUpPr/>
  </sheetPr>
  <dimension ref="A1:U5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3" customWidth="1" min="3" max="3"/>
    <col width="18" customWidth="1" min="4" max="4"/>
    <col width="14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  <col width="9" customWidth="1" min="11" max="11"/>
    <col width="8" customWidth="1" min="12" max="12"/>
    <col width="36" customWidth="1" min="13" max="13"/>
    <col width="24" customWidth="1" min="14" max="14"/>
    <col hidden="1" width="13" customWidth="1" min="15" max="15"/>
    <col width="3" customWidth="1" min="16" max="16"/>
    <col width="11" customWidth="1" min="17" max="17"/>
    <col width="30" customWidth="1" min="18" max="18"/>
    <col width="8" customWidth="1" min="19" max="19"/>
    <col width="13" customWidth="1" min="20" max="20"/>
    <col width="36" customWidth="1" min="21" max="21"/>
  </cols>
  <sheetData>
    <row r="1" ht="34" customHeight="1">
      <c r="A1" s="189" t="n"/>
      <c r="B1" s="97" t="inlineStr">
        <is>
          <t>Aprendizado &amp; desenvolvimento pessoal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98" t="inlineStr">
        <is>
          <t>◀ Dashboard</t>
        </is>
      </c>
    </row>
    <row r="2" ht="18" customHeight="1">
      <c r="A2" s="189" t="n"/>
      <c r="B2" s="99" t="inlineStr">
        <is>
          <t>Livros, cursos, idiomas e certificações à esquerda; cada sessão de estudo à direita (as horas somam sozinhas).</t>
        </is>
      </c>
    </row>
    <row r="3" ht="16" customHeight="1">
      <c r="A3" s="18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11" t="inlineStr">
        <is>
          <t>HORAS DE ESTUDO NO MÊS</t>
        </is>
      </c>
      <c r="C5" s="212" t="inlineStr">
        <is>
          <t>HORAS NO ANO</t>
        </is>
      </c>
      <c r="D5" s="213" t="n"/>
      <c r="E5" s="212" t="inlineStr">
        <is>
          <t>LIVROS CONCLUÍDOS NO ANO</t>
        </is>
      </c>
      <c r="F5" s="213" t="n"/>
      <c r="G5" s="212" t="inlineStr">
        <is>
          <t>EM ANDAMENTO</t>
        </is>
      </c>
      <c r="H5" s="214" t="n"/>
      <c r="I5" s="213" t="n"/>
      <c r="J5" s="212" t="inlineStr">
        <is>
          <t>CONCLUÍDOS NO ANO (TUDO)</t>
        </is>
      </c>
      <c r="K5" s="214" t="n"/>
      <c r="L5" s="213" t="n"/>
      <c r="M5" s="212" t="inlineStr">
        <is>
          <t>DIAS DESDE O ÚLTIMO ESTUDO</t>
        </is>
      </c>
      <c r="N5" s="213" t="n"/>
    </row>
    <row r="6" ht="28" customHeight="1">
      <c r="B6" s="215">
        <f>SUMIFS($S$10:$S$509,$Q$10:$Q$509,"&gt;="&amp;RefIni,$Q$10:$Q$509,"&lt;="&amp;RefFim)</f>
        <v>0</v>
      </c>
      <c r="C6" s="216">
        <f>SUMIFS($S$10:$S$509,$Q$10:$Q$509,"&gt;="&amp;IniAno,$Q$10:$Q$509,"&lt;="&amp;Corte)</f>
        <v>0</v>
      </c>
      <c r="D6" s="32" t="n"/>
      <c r="E6" s="123">
        <f>COUNTIFS($C$10:$C$89,"Livro",$E$10:$E$89,"Concluído",$G$10:$G$89,"&gt;="&amp;IniAno,$G$10:$G$89,"&lt;="&amp;FimAno)</f>
        <v>0</v>
      </c>
      <c r="F6" s="32" t="n"/>
      <c r="G6" s="123">
        <f>COUNTIF($E$10:$E$89,"Em andamento")</f>
        <v>0</v>
      </c>
      <c r="H6" s="31" t="n"/>
      <c r="I6" s="32" t="n"/>
      <c r="J6" s="123">
        <f>COUNTIFS($E$10:$E$89,"Concluído",$G$10:$G$89,"&gt;="&amp;IniAno,$G$10:$G$89,"&lt;="&amp;FimAno)</f>
        <v>0</v>
      </c>
      <c r="K6" s="31" t="n"/>
      <c r="L6" s="32" t="n"/>
      <c r="M6" s="123" t="str">
        <f>IF(SUMPRODUCT(MAX(($Q$10:$Q$509&lt;=Corte)*$Q$10:$Q$509))=0,"–",Corte-SUMPRODUCT(MAX(($Q$10:$Q$509&lt;=Corte)*$Q$10:$Q$509)))</f>
        <v>–</v>
      </c>
      <c r="N6" s="32" t="n"/>
    </row>
    <row r="7" ht="25" customHeight="1">
      <c r="B7" s="126" t="str">
        <f>IF(DiasRef=0,"",IF(B6&gt;=MetaEstudoMes*DiasRef/DiasMes,"✔ ","▲ ")&amp;"meta "&amp;MetaEstudoMes&amp;" h/mês")</f>
        <v>▲ meta 24 h/mês</v>
      </c>
      <c r="C7" s="127" t="str">
        <f>IF(DiasAno=0,"","≈ "&amp;FIXED(C6/DiasAno*7,1)&amp;" h por semana")</f>
        <v>≈ 0.0 h por semana</v>
      </c>
      <c r="D7" s="38" t="n"/>
      <c r="E7" s="127" t="str">
        <f>IF(DiasAno=0,"",IF(E6&gt;=MetaLivrosAno*DiasAno/365*0.9,"✔ ","▲ ")&amp;"meta "&amp;MetaLivrosAno&amp;" · esperado hoje "&amp;ROUND(MetaLivrosAno*DiasAno/365,0))</f>
        <v>▲ meta 12 · esperado hoje 9</v>
      </c>
      <c r="F7" s="38" t="n"/>
      <c r="G7" s="127" t="str">
        <f>IF(G6&gt;3,"▲ muitos ao mesmo tempo dispersam","✔ foco saudável")</f>
        <v>✔ foco saudável</v>
      </c>
      <c r="H7" s="37" t="n"/>
      <c r="I7" s="38" t="n"/>
      <c r="J7" s="127" t="str">
        <f>IFERROR("nota média "&amp;FIXED(AVERAGEIFS($L$10:$L$89,$E$10:$E$89,"Concluído"),1)&amp;"/5","")</f>
        <v/>
      </c>
      <c r="K7" s="37" t="n"/>
      <c r="L7" s="38" t="n"/>
      <c r="M7" s="127" t="str">
        <f>IF(ISNUMBER(M6),IF(M6&lt;=2,"✔ constância","▲ retome hoje, nem que seja 15 min"),"")</f>
        <v/>
      </c>
      <c r="N7" s="38" t="n"/>
    </row>
    <row r="8" ht="22" customHeight="1">
      <c r="B8" s="190" t="inlineStr">
        <is>
          <t>O QUE ESTOU APRENDENDO</t>
        </is>
      </c>
      <c r="C8" s="191" t="n"/>
      <c r="D8" s="191" t="n"/>
      <c r="E8" s="191" t="n"/>
      <c r="F8" s="191" t="n"/>
      <c r="G8" s="191" t="n"/>
      <c r="H8" s="191" t="n"/>
      <c r="I8" s="191" t="n"/>
      <c r="J8" s="191" t="n"/>
      <c r="K8" s="191" t="n"/>
      <c r="L8" s="191" t="n"/>
      <c r="M8" s="191" t="n"/>
      <c r="N8" s="191" t="n"/>
      <c r="Q8" s="190" t="inlineStr">
        <is>
          <t>SESSÕES DE ESTUDO</t>
        </is>
      </c>
      <c r="R8" s="191" t="n"/>
      <c r="S8" s="191" t="n"/>
      <c r="T8" s="191" t="n"/>
      <c r="U8" s="191" t="n"/>
    </row>
    <row r="9" ht="34" customHeight="1">
      <c r="B9" s="103" t="inlineStr">
        <is>
          <t>Título</t>
        </is>
      </c>
      <c r="C9" s="103" t="inlineStr">
        <is>
          <t>Tipo</t>
        </is>
      </c>
      <c r="D9" s="103" t="inlineStr">
        <is>
          <t>Área da vida</t>
        </is>
      </c>
      <c r="E9" s="103" t="inlineStr">
        <is>
          <t>Status</t>
        </is>
      </c>
      <c r="F9" s="103" t="inlineStr">
        <is>
          <t>Início</t>
        </is>
      </c>
      <c r="G9" s="103" t="inlineStr">
        <is>
          <t>Conclusão</t>
        </is>
      </c>
      <c r="H9" s="103" t="inlineStr">
        <is>
          <t>Total (pág./aulas)</t>
        </is>
      </c>
      <c r="I9" s="103" t="inlineStr">
        <is>
          <t>Onde estou</t>
        </is>
      </c>
      <c r="J9" s="104" t="inlineStr">
        <is>
          <t>Progresso</t>
        </is>
      </c>
      <c r="K9" s="104" t="inlineStr">
        <is>
          <t>Horas</t>
        </is>
      </c>
      <c r="L9" s="103" t="inlineStr">
        <is>
          <t>Nota (1–5)</t>
        </is>
      </c>
      <c r="M9" s="103" t="inlineStr">
        <is>
          <t>Principais aprendizados</t>
        </is>
      </c>
      <c r="N9" s="103" t="inlineStr">
        <is>
          <t>Próximo passo / notas</t>
        </is>
      </c>
      <c r="Q9" s="103" t="inlineStr">
        <is>
          <t>Data</t>
        </is>
      </c>
      <c r="R9" s="103" t="inlineStr">
        <is>
          <t>Item / assunto</t>
        </is>
      </c>
      <c r="S9" s="103" t="inlineStr">
        <is>
          <t>Horas</t>
        </is>
      </c>
      <c r="T9" s="103" t="inlineStr">
        <is>
          <t>Atividade</t>
        </is>
      </c>
      <c r="U9" s="103" t="inlineStr">
        <is>
          <t>O que aprendi / notas</t>
        </is>
      </c>
    </row>
    <row r="10">
      <c r="B10" s="129" t="n"/>
      <c r="C10" s="129" t="n"/>
      <c r="D10" s="129" t="n"/>
      <c r="E10" s="129" t="n"/>
      <c r="F10" s="130" t="n"/>
      <c r="G10" s="130" t="n"/>
      <c r="H10" s="106" t="n"/>
      <c r="I10" s="106" t="n"/>
      <c r="J10" s="133" t="str">
        <f>IF(B10="","",IF(E10="Concluído",1,IF(AND(N(H10)&gt;0,ISNUMBER(I10)),MIN(1,I10/H10),0)))</f>
        <v/>
      </c>
      <c r="K10" s="176" t="str">
        <f>IF(B10="","",SUMIF($R$10:$R$509,B10,$S$10:$S$509))</f>
        <v/>
      </c>
      <c r="L10" s="106" t="n"/>
      <c r="M10" s="135" t="n"/>
      <c r="N10" s="135" t="n"/>
      <c r="O10" t="str">
        <f>IF(AND(B10&lt;&gt;"",E10="Em andamento"),ROW(),"")</f>
        <v/>
      </c>
      <c r="Q10" s="130" t="n"/>
      <c r="R10" s="129" t="n"/>
      <c r="S10" s="174" t="n"/>
      <c r="T10" s="129" t="n"/>
      <c r="U10" s="129" t="n"/>
    </row>
    <row r="11">
      <c r="B11" s="129" t="n"/>
      <c r="C11" s="129" t="n"/>
      <c r="D11" s="129" t="n"/>
      <c r="E11" s="129" t="n"/>
      <c r="F11" s="130" t="n"/>
      <c r="G11" s="130" t="n"/>
      <c r="H11" s="106" t="n"/>
      <c r="I11" s="106" t="n"/>
      <c r="J11" s="133" t="str">
        <f>IF(B11="","",IF(E11="Concluído",1,IF(AND(N(H11)&gt;0,ISNUMBER(I11)),MIN(1,I11/H11),0)))</f>
        <v/>
      </c>
      <c r="K11" s="176" t="str">
        <f>IF(B11="","",SUMIF($R$10:$R$509,B11,$S$10:$S$509))</f>
        <v/>
      </c>
      <c r="L11" s="106" t="n"/>
      <c r="M11" s="135" t="n"/>
      <c r="N11" s="135" t="n"/>
      <c r="O11" t="str">
        <f>IF(AND(B11&lt;&gt;"",E11="Em andamento"),ROW(),"")</f>
        <v/>
      </c>
      <c r="Q11" s="130" t="n"/>
      <c r="R11" s="129" t="n"/>
      <c r="S11" s="174" t="n"/>
      <c r="T11" s="129" t="n"/>
      <c r="U11" s="129" t="n"/>
    </row>
    <row r="12">
      <c r="B12" s="129" t="n"/>
      <c r="C12" s="129" t="n"/>
      <c r="D12" s="129" t="n"/>
      <c r="E12" s="129" t="n"/>
      <c r="F12" s="130" t="n"/>
      <c r="G12" s="130" t="n"/>
      <c r="H12" s="106" t="n"/>
      <c r="I12" s="106" t="n"/>
      <c r="J12" s="133" t="str">
        <f>IF(B12="","",IF(E12="Concluído",1,IF(AND(N(H12)&gt;0,ISNUMBER(I12)),MIN(1,I12/H12),0)))</f>
        <v/>
      </c>
      <c r="K12" s="176" t="str">
        <f>IF(B12="","",SUMIF($R$10:$R$509,B12,$S$10:$S$509))</f>
        <v/>
      </c>
      <c r="L12" s="106" t="n"/>
      <c r="M12" s="135" t="n"/>
      <c r="N12" s="135" t="n"/>
      <c r="O12" t="str">
        <f>IF(AND(B12&lt;&gt;"",E12="Em andamento"),ROW(),"")</f>
        <v/>
      </c>
      <c r="Q12" s="130" t="n"/>
      <c r="R12" s="129" t="n"/>
      <c r="S12" s="174" t="n"/>
      <c r="T12" s="129" t="n"/>
      <c r="U12" s="129" t="n"/>
    </row>
    <row r="13">
      <c r="B13" s="129" t="n"/>
      <c r="C13" s="129" t="n"/>
      <c r="D13" s="129" t="n"/>
      <c r="E13" s="129" t="n"/>
      <c r="F13" s="130" t="n"/>
      <c r="G13" s="130" t="n"/>
      <c r="H13" s="106" t="n"/>
      <c r="I13" s="106" t="n"/>
      <c r="J13" s="133" t="str">
        <f>IF(B13="","",IF(E13="Concluído",1,IF(AND(N(H13)&gt;0,ISNUMBER(I13)),MIN(1,I13/H13),0)))</f>
        <v/>
      </c>
      <c r="K13" s="176" t="str">
        <f>IF(B13="","",SUMIF($R$10:$R$509,B13,$S$10:$S$509))</f>
        <v/>
      </c>
      <c r="L13" s="106" t="n"/>
      <c r="M13" s="135" t="n"/>
      <c r="N13" s="135" t="n"/>
      <c r="O13" t="str">
        <f>IF(AND(B13&lt;&gt;"",E13="Em andamento"),ROW(),"")</f>
        <v/>
      </c>
      <c r="Q13" s="130" t="n"/>
      <c r="R13" s="129" t="n"/>
      <c r="S13" s="174" t="n"/>
      <c r="T13" s="129" t="n"/>
      <c r="U13" s="129" t="n"/>
    </row>
    <row r="14">
      <c r="B14" s="129" t="n"/>
      <c r="C14" s="129" t="n"/>
      <c r="D14" s="129" t="n"/>
      <c r="E14" s="129" t="n"/>
      <c r="F14" s="130" t="n"/>
      <c r="G14" s="130" t="n"/>
      <c r="H14" s="106" t="n"/>
      <c r="I14" s="106" t="n"/>
      <c r="J14" s="133" t="str">
        <f>IF(B14="","",IF(E14="Concluído",1,IF(AND(N(H14)&gt;0,ISNUMBER(I14)),MIN(1,I14/H14),0)))</f>
        <v/>
      </c>
      <c r="K14" s="176" t="str">
        <f>IF(B14="","",SUMIF($R$10:$R$509,B14,$S$10:$S$509))</f>
        <v/>
      </c>
      <c r="L14" s="106" t="n"/>
      <c r="M14" s="135" t="n"/>
      <c r="N14" s="135" t="n"/>
      <c r="O14" t="str">
        <f>IF(AND(B14&lt;&gt;"",E14="Em andamento"),ROW(),"")</f>
        <v/>
      </c>
      <c r="Q14" s="130" t="n"/>
      <c r="R14" s="129" t="n"/>
      <c r="S14" s="174" t="n"/>
      <c r="T14" s="129" t="n"/>
      <c r="U14" s="129" t="n"/>
    </row>
    <row r="15">
      <c r="B15" s="129" t="n"/>
      <c r="C15" s="129" t="n"/>
      <c r="D15" s="129" t="n"/>
      <c r="E15" s="129" t="n"/>
      <c r="F15" s="130" t="n"/>
      <c r="G15" s="130" t="n"/>
      <c r="H15" s="106" t="n"/>
      <c r="I15" s="106" t="n"/>
      <c r="J15" s="133" t="str">
        <f>IF(B15="","",IF(E15="Concluído",1,IF(AND(N(H15)&gt;0,ISNUMBER(I15)),MIN(1,I15/H15),0)))</f>
        <v/>
      </c>
      <c r="K15" s="176" t="str">
        <f>IF(B15="","",SUMIF($R$10:$R$509,B15,$S$10:$S$509))</f>
        <v/>
      </c>
      <c r="L15" s="106" t="n"/>
      <c r="M15" s="135" t="n"/>
      <c r="N15" s="135" t="n"/>
      <c r="O15" t="str">
        <f>IF(AND(B15&lt;&gt;"",E15="Em andamento"),ROW(),"")</f>
        <v/>
      </c>
      <c r="Q15" s="130" t="n"/>
      <c r="R15" s="129" t="n"/>
      <c r="S15" s="174" t="n"/>
      <c r="T15" s="129" t="n"/>
      <c r="U15" s="129" t="n"/>
    </row>
    <row r="16">
      <c r="B16" s="129" t="n"/>
      <c r="C16" s="129" t="n"/>
      <c r="D16" s="129" t="n"/>
      <c r="E16" s="129" t="n"/>
      <c r="F16" s="130" t="n"/>
      <c r="G16" s="130" t="n"/>
      <c r="H16" s="106" t="n"/>
      <c r="I16" s="106" t="n"/>
      <c r="J16" s="133" t="str">
        <f>IF(B16="","",IF(E16="Concluído",1,IF(AND(N(H16)&gt;0,ISNUMBER(I16)),MIN(1,I16/H16),0)))</f>
        <v/>
      </c>
      <c r="K16" s="176" t="str">
        <f>IF(B16="","",SUMIF($R$10:$R$509,B16,$S$10:$S$509))</f>
        <v/>
      </c>
      <c r="L16" s="106" t="n"/>
      <c r="M16" s="135" t="n"/>
      <c r="N16" s="135" t="n"/>
      <c r="O16" t="str">
        <f>IF(AND(B16&lt;&gt;"",E16="Em andamento"),ROW(),"")</f>
        <v/>
      </c>
      <c r="Q16" s="130" t="n"/>
      <c r="R16" s="129" t="n"/>
      <c r="S16" s="174" t="n"/>
      <c r="T16" s="129" t="n"/>
      <c r="U16" s="129" t="n"/>
    </row>
    <row r="17">
      <c r="B17" s="129" t="n"/>
      <c r="C17" s="129" t="n"/>
      <c r="D17" s="129" t="n"/>
      <c r="E17" s="129" t="n"/>
      <c r="F17" s="130" t="n"/>
      <c r="G17" s="130" t="n"/>
      <c r="H17" s="106" t="n"/>
      <c r="I17" s="106" t="n"/>
      <c r="J17" s="133" t="str">
        <f>IF(B17="","",IF(E17="Concluído",1,IF(AND(N(H17)&gt;0,ISNUMBER(I17)),MIN(1,I17/H17),0)))</f>
        <v/>
      </c>
      <c r="K17" s="176" t="str">
        <f>IF(B17="","",SUMIF($R$10:$R$509,B17,$S$10:$S$509))</f>
        <v/>
      </c>
      <c r="L17" s="106" t="n"/>
      <c r="M17" s="135" t="n"/>
      <c r="N17" s="135" t="n"/>
      <c r="O17" t="str">
        <f>IF(AND(B17&lt;&gt;"",E17="Em andamento"),ROW(),"")</f>
        <v/>
      </c>
      <c r="Q17" s="130" t="n"/>
      <c r="R17" s="129" t="n"/>
      <c r="S17" s="174" t="n"/>
      <c r="T17" s="129" t="n"/>
      <c r="U17" s="129" t="n"/>
    </row>
    <row r="18">
      <c r="B18" s="129" t="n"/>
      <c r="C18" s="129" t="n"/>
      <c r="D18" s="129" t="n"/>
      <c r="E18" s="129" t="n"/>
      <c r="F18" s="130" t="n"/>
      <c r="G18" s="130" t="n"/>
      <c r="H18" s="106" t="n"/>
      <c r="I18" s="106" t="n"/>
      <c r="J18" s="133" t="str">
        <f>IF(B18="","",IF(E18="Concluído",1,IF(AND(N(H18)&gt;0,ISNUMBER(I18)),MIN(1,I18/H18),0)))</f>
        <v/>
      </c>
      <c r="K18" s="176" t="str">
        <f>IF(B18="","",SUMIF($R$10:$R$509,B18,$S$10:$S$509))</f>
        <v/>
      </c>
      <c r="L18" s="106" t="n"/>
      <c r="M18" s="135" t="n"/>
      <c r="N18" s="135" t="n"/>
      <c r="O18" t="str">
        <f>IF(AND(B18&lt;&gt;"",E18="Em andamento"),ROW(),"")</f>
        <v/>
      </c>
      <c r="Q18" s="130" t="n"/>
      <c r="R18" s="129" t="n"/>
      <c r="S18" s="174" t="n"/>
      <c r="T18" s="129" t="n"/>
      <c r="U18" s="129" t="n"/>
    </row>
    <row r="19">
      <c r="B19" s="129" t="n"/>
      <c r="C19" s="129" t="n"/>
      <c r="D19" s="129" t="n"/>
      <c r="E19" s="129" t="n"/>
      <c r="F19" s="130" t="n"/>
      <c r="G19" s="130" t="n"/>
      <c r="H19" s="106" t="n"/>
      <c r="I19" s="106" t="n"/>
      <c r="J19" s="133" t="str">
        <f>IF(B19="","",IF(E19="Concluído",1,IF(AND(N(H19)&gt;0,ISNUMBER(I19)),MIN(1,I19/H19),0)))</f>
        <v/>
      </c>
      <c r="K19" s="176" t="str">
        <f>IF(B19="","",SUMIF($R$10:$R$509,B19,$S$10:$S$509))</f>
        <v/>
      </c>
      <c r="L19" s="106" t="n"/>
      <c r="M19" s="135" t="n"/>
      <c r="N19" s="135" t="n"/>
      <c r="O19" t="str">
        <f>IF(AND(B19&lt;&gt;"",E19="Em andamento"),ROW(),"")</f>
        <v/>
      </c>
      <c r="Q19" s="130" t="n"/>
      <c r="R19" s="129" t="n"/>
      <c r="S19" s="174" t="n"/>
      <c r="T19" s="129" t="n"/>
      <c r="U19" s="129" t="n"/>
    </row>
    <row r="20">
      <c r="B20" s="129" t="n"/>
      <c r="C20" s="129" t="n"/>
      <c r="D20" s="129" t="n"/>
      <c r="E20" s="129" t="n"/>
      <c r="F20" s="130" t="n"/>
      <c r="G20" s="130" t="n"/>
      <c r="H20" s="106" t="n"/>
      <c r="I20" s="106" t="n"/>
      <c r="J20" s="133" t="str">
        <f>IF(B20="","",IF(E20="Concluído",1,IF(AND(N(H20)&gt;0,ISNUMBER(I20)),MIN(1,I20/H20),0)))</f>
        <v/>
      </c>
      <c r="K20" s="176" t="str">
        <f>IF(B20="","",SUMIF($R$10:$R$509,B20,$S$10:$S$509))</f>
        <v/>
      </c>
      <c r="L20" s="106" t="n"/>
      <c r="M20" s="135" t="n"/>
      <c r="N20" s="135" t="n"/>
      <c r="O20" t="str">
        <f>IF(AND(B20&lt;&gt;"",E20="Em andamento"),ROW(),"")</f>
        <v/>
      </c>
      <c r="Q20" s="130" t="n"/>
      <c r="R20" s="129" t="n"/>
      <c r="S20" s="174" t="n"/>
      <c r="T20" s="129" t="n"/>
      <c r="U20" s="129" t="n"/>
    </row>
    <row r="21">
      <c r="B21" s="129" t="n"/>
      <c r="C21" s="129" t="n"/>
      <c r="D21" s="129" t="n"/>
      <c r="E21" s="129" t="n"/>
      <c r="F21" s="130" t="n"/>
      <c r="G21" s="130" t="n"/>
      <c r="H21" s="106" t="n"/>
      <c r="I21" s="106" t="n"/>
      <c r="J21" s="133" t="str">
        <f>IF(B21="","",IF(E21="Concluído",1,IF(AND(N(H21)&gt;0,ISNUMBER(I21)),MIN(1,I21/H21),0)))</f>
        <v/>
      </c>
      <c r="K21" s="176" t="str">
        <f>IF(B21="","",SUMIF($R$10:$R$509,B21,$S$10:$S$509))</f>
        <v/>
      </c>
      <c r="L21" s="106" t="n"/>
      <c r="M21" s="135" t="n"/>
      <c r="N21" s="135" t="n"/>
      <c r="O21" t="str">
        <f>IF(AND(B21&lt;&gt;"",E21="Em andamento"),ROW(),"")</f>
        <v/>
      </c>
      <c r="Q21" s="130" t="n"/>
      <c r="R21" s="129" t="n"/>
      <c r="S21" s="174" t="n"/>
      <c r="T21" s="129" t="n"/>
      <c r="U21" s="129" t="n"/>
    </row>
    <row r="22">
      <c r="B22" s="129" t="n"/>
      <c r="C22" s="129" t="n"/>
      <c r="D22" s="129" t="n"/>
      <c r="E22" s="129" t="n"/>
      <c r="F22" s="130" t="n"/>
      <c r="G22" s="130" t="n"/>
      <c r="H22" s="106" t="n"/>
      <c r="I22" s="106" t="n"/>
      <c r="J22" s="133" t="str">
        <f>IF(B22="","",IF(E22="Concluído",1,IF(AND(N(H22)&gt;0,ISNUMBER(I22)),MIN(1,I22/H22),0)))</f>
        <v/>
      </c>
      <c r="K22" s="176" t="str">
        <f>IF(B22="","",SUMIF($R$10:$R$509,B22,$S$10:$S$509))</f>
        <v/>
      </c>
      <c r="L22" s="106" t="n"/>
      <c r="M22" s="135" t="n"/>
      <c r="N22" s="135" t="n"/>
      <c r="O22" t="str">
        <f>IF(AND(B22&lt;&gt;"",E22="Em andamento"),ROW(),"")</f>
        <v/>
      </c>
      <c r="Q22" s="130" t="n"/>
      <c r="R22" s="129" t="n"/>
      <c r="S22" s="174" t="n"/>
      <c r="T22" s="129" t="n"/>
      <c r="U22" s="129" t="n"/>
    </row>
    <row r="23">
      <c r="B23" s="129" t="n"/>
      <c r="C23" s="129" t="n"/>
      <c r="D23" s="129" t="n"/>
      <c r="E23" s="129" t="n"/>
      <c r="F23" s="130" t="n"/>
      <c r="G23" s="130" t="n"/>
      <c r="H23" s="106" t="n"/>
      <c r="I23" s="106" t="n"/>
      <c r="J23" s="133" t="str">
        <f>IF(B23="","",IF(E23="Concluído",1,IF(AND(N(H23)&gt;0,ISNUMBER(I23)),MIN(1,I23/H23),0)))</f>
        <v/>
      </c>
      <c r="K23" s="176" t="str">
        <f>IF(B23="","",SUMIF($R$10:$R$509,B23,$S$10:$S$509))</f>
        <v/>
      </c>
      <c r="L23" s="106" t="n"/>
      <c r="M23" s="135" t="n"/>
      <c r="N23" s="135" t="n"/>
      <c r="O23" t="str">
        <f>IF(AND(B23&lt;&gt;"",E23="Em andamento"),ROW(),"")</f>
        <v/>
      </c>
      <c r="Q23" s="130" t="n"/>
      <c r="R23" s="129" t="n"/>
      <c r="S23" s="174" t="n"/>
      <c r="T23" s="129" t="n"/>
      <c r="U23" s="129" t="n"/>
    </row>
    <row r="24">
      <c r="B24" s="129" t="n"/>
      <c r="C24" s="129" t="n"/>
      <c r="D24" s="129" t="n"/>
      <c r="E24" s="129" t="n"/>
      <c r="F24" s="130" t="n"/>
      <c r="G24" s="130" t="n"/>
      <c r="H24" s="106" t="n"/>
      <c r="I24" s="106" t="n"/>
      <c r="J24" s="133" t="str">
        <f>IF(B24="","",IF(E24="Concluído",1,IF(AND(N(H24)&gt;0,ISNUMBER(I24)),MIN(1,I24/H24),0)))</f>
        <v/>
      </c>
      <c r="K24" s="176" t="str">
        <f>IF(B24="","",SUMIF($R$10:$R$509,B24,$S$10:$S$509))</f>
        <v/>
      </c>
      <c r="L24" s="106" t="n"/>
      <c r="M24" s="135" t="n"/>
      <c r="N24" s="135" t="n"/>
      <c r="O24" t="str">
        <f>IF(AND(B24&lt;&gt;"",E24="Em andamento"),ROW(),"")</f>
        <v/>
      </c>
      <c r="Q24" s="130" t="n"/>
      <c r="R24" s="129" t="n"/>
      <c r="S24" s="174" t="n"/>
      <c r="T24" s="129" t="n"/>
      <c r="U24" s="129" t="n"/>
    </row>
    <row r="25">
      <c r="B25" s="129" t="n"/>
      <c r="C25" s="129" t="n"/>
      <c r="D25" s="129" t="n"/>
      <c r="E25" s="129" t="n"/>
      <c r="F25" s="130" t="n"/>
      <c r="G25" s="130" t="n"/>
      <c r="H25" s="106" t="n"/>
      <c r="I25" s="106" t="n"/>
      <c r="J25" s="133" t="str">
        <f>IF(B25="","",IF(E25="Concluído",1,IF(AND(N(H25)&gt;0,ISNUMBER(I25)),MIN(1,I25/H25),0)))</f>
        <v/>
      </c>
      <c r="K25" s="176" t="str">
        <f>IF(B25="","",SUMIF($R$10:$R$509,B25,$S$10:$S$509))</f>
        <v/>
      </c>
      <c r="L25" s="106" t="n"/>
      <c r="M25" s="135" t="n"/>
      <c r="N25" s="135" t="n"/>
      <c r="O25" t="str">
        <f>IF(AND(B25&lt;&gt;"",E25="Em andamento"),ROW(),"")</f>
        <v/>
      </c>
      <c r="Q25" s="130" t="n"/>
      <c r="R25" s="129" t="n"/>
      <c r="S25" s="174" t="n"/>
      <c r="T25" s="129" t="n"/>
      <c r="U25" s="129" t="n"/>
    </row>
    <row r="26">
      <c r="B26" s="129" t="n"/>
      <c r="C26" s="129" t="n"/>
      <c r="D26" s="129" t="n"/>
      <c r="E26" s="129" t="n"/>
      <c r="F26" s="130" t="n"/>
      <c r="G26" s="130" t="n"/>
      <c r="H26" s="106" t="n"/>
      <c r="I26" s="106" t="n"/>
      <c r="J26" s="133" t="str">
        <f>IF(B26="","",IF(E26="Concluído",1,IF(AND(N(H26)&gt;0,ISNUMBER(I26)),MIN(1,I26/H26),0)))</f>
        <v/>
      </c>
      <c r="K26" s="176" t="str">
        <f>IF(B26="","",SUMIF($R$10:$R$509,B26,$S$10:$S$509))</f>
        <v/>
      </c>
      <c r="L26" s="106" t="n"/>
      <c r="M26" s="135" t="n"/>
      <c r="N26" s="135" t="n"/>
      <c r="O26" t="str">
        <f>IF(AND(B26&lt;&gt;"",E26="Em andamento"),ROW(),"")</f>
        <v/>
      </c>
      <c r="Q26" s="130" t="n"/>
      <c r="R26" s="129" t="n"/>
      <c r="S26" s="174" t="n"/>
      <c r="T26" s="129" t="n"/>
      <c r="U26" s="129" t="n"/>
    </row>
    <row r="27">
      <c r="B27" s="129" t="n"/>
      <c r="C27" s="129" t="n"/>
      <c r="D27" s="129" t="n"/>
      <c r="E27" s="129" t="n"/>
      <c r="F27" s="130" t="n"/>
      <c r="G27" s="130" t="n"/>
      <c r="H27" s="106" t="n"/>
      <c r="I27" s="106" t="n"/>
      <c r="J27" s="133" t="str">
        <f>IF(B27="","",IF(E27="Concluído",1,IF(AND(N(H27)&gt;0,ISNUMBER(I27)),MIN(1,I27/H27),0)))</f>
        <v/>
      </c>
      <c r="K27" s="176" t="str">
        <f>IF(B27="","",SUMIF($R$10:$R$509,B27,$S$10:$S$509))</f>
        <v/>
      </c>
      <c r="L27" s="106" t="n"/>
      <c r="M27" s="135" t="n"/>
      <c r="N27" s="135" t="n"/>
      <c r="O27" t="str">
        <f>IF(AND(B27&lt;&gt;"",E27="Em andamento"),ROW(),"")</f>
        <v/>
      </c>
      <c r="Q27" s="130" t="n"/>
      <c r="R27" s="129" t="n"/>
      <c r="S27" s="174" t="n"/>
      <c r="T27" s="129" t="n"/>
      <c r="U27" s="129" t="n"/>
    </row>
    <row r="28">
      <c r="B28" s="129" t="n"/>
      <c r="C28" s="129" t="n"/>
      <c r="D28" s="129" t="n"/>
      <c r="E28" s="129" t="n"/>
      <c r="F28" s="130" t="n"/>
      <c r="G28" s="130" t="n"/>
      <c r="H28" s="106" t="n"/>
      <c r="I28" s="106" t="n"/>
      <c r="J28" s="133" t="str">
        <f>IF(B28="","",IF(E28="Concluído",1,IF(AND(N(H28)&gt;0,ISNUMBER(I28)),MIN(1,I28/H28),0)))</f>
        <v/>
      </c>
      <c r="K28" s="176" t="str">
        <f>IF(B28="","",SUMIF($R$10:$R$509,B28,$S$10:$S$509))</f>
        <v/>
      </c>
      <c r="L28" s="106" t="n"/>
      <c r="M28" s="135" t="n"/>
      <c r="N28" s="135" t="n"/>
      <c r="O28" t="str">
        <f>IF(AND(B28&lt;&gt;"",E28="Em andamento"),ROW(),"")</f>
        <v/>
      </c>
      <c r="Q28" s="130" t="n"/>
      <c r="R28" s="129" t="n"/>
      <c r="S28" s="174" t="n"/>
      <c r="T28" s="129" t="n"/>
      <c r="U28" s="129" t="n"/>
    </row>
    <row r="29">
      <c r="B29" s="129" t="n"/>
      <c r="C29" s="129" t="n"/>
      <c r="D29" s="129" t="n"/>
      <c r="E29" s="129" t="n"/>
      <c r="F29" s="130" t="n"/>
      <c r="G29" s="130" t="n"/>
      <c r="H29" s="106" t="n"/>
      <c r="I29" s="106" t="n"/>
      <c r="J29" s="133" t="str">
        <f>IF(B29="","",IF(E29="Concluído",1,IF(AND(N(H29)&gt;0,ISNUMBER(I29)),MIN(1,I29/H29),0)))</f>
        <v/>
      </c>
      <c r="K29" s="176" t="str">
        <f>IF(B29="","",SUMIF($R$10:$R$509,B29,$S$10:$S$509))</f>
        <v/>
      </c>
      <c r="L29" s="106" t="n"/>
      <c r="M29" s="135" t="n"/>
      <c r="N29" s="135" t="n"/>
      <c r="O29" t="str">
        <f>IF(AND(B29&lt;&gt;"",E29="Em andamento"),ROW(),"")</f>
        <v/>
      </c>
      <c r="Q29" s="130" t="n"/>
      <c r="R29" s="129" t="n"/>
      <c r="S29" s="174" t="n"/>
      <c r="T29" s="129" t="n"/>
      <c r="U29" s="129" t="n"/>
    </row>
    <row r="30">
      <c r="B30" s="129" t="n"/>
      <c r="C30" s="129" t="n"/>
      <c r="D30" s="129" t="n"/>
      <c r="E30" s="129" t="n"/>
      <c r="F30" s="130" t="n"/>
      <c r="G30" s="130" t="n"/>
      <c r="H30" s="106" t="n"/>
      <c r="I30" s="106" t="n"/>
      <c r="J30" s="133" t="str">
        <f>IF(B30="","",IF(E30="Concluído",1,IF(AND(N(H30)&gt;0,ISNUMBER(I30)),MIN(1,I30/H30),0)))</f>
        <v/>
      </c>
      <c r="K30" s="176" t="str">
        <f>IF(B30="","",SUMIF($R$10:$R$509,B30,$S$10:$S$509))</f>
        <v/>
      </c>
      <c r="L30" s="106" t="n"/>
      <c r="M30" s="135" t="n"/>
      <c r="N30" s="135" t="n"/>
      <c r="O30" t="str">
        <f>IF(AND(B30&lt;&gt;"",E30="Em andamento"),ROW(),"")</f>
        <v/>
      </c>
      <c r="Q30" s="130" t="n"/>
      <c r="R30" s="129" t="n"/>
      <c r="S30" s="174" t="n"/>
      <c r="T30" s="129" t="n"/>
      <c r="U30" s="129" t="n"/>
    </row>
    <row r="31">
      <c r="B31" s="129" t="n"/>
      <c r="C31" s="129" t="n"/>
      <c r="D31" s="129" t="n"/>
      <c r="E31" s="129" t="n"/>
      <c r="F31" s="130" t="n"/>
      <c r="G31" s="130" t="n"/>
      <c r="H31" s="106" t="n"/>
      <c r="I31" s="106" t="n"/>
      <c r="J31" s="133" t="str">
        <f>IF(B31="","",IF(E31="Concluído",1,IF(AND(N(H31)&gt;0,ISNUMBER(I31)),MIN(1,I31/H31),0)))</f>
        <v/>
      </c>
      <c r="K31" s="176" t="str">
        <f>IF(B31="","",SUMIF($R$10:$R$509,B31,$S$10:$S$509))</f>
        <v/>
      </c>
      <c r="L31" s="106" t="n"/>
      <c r="M31" s="135" t="n"/>
      <c r="N31" s="135" t="n"/>
      <c r="O31" t="str">
        <f>IF(AND(B31&lt;&gt;"",E31="Em andamento"),ROW(),"")</f>
        <v/>
      </c>
      <c r="Q31" s="130" t="n"/>
      <c r="R31" s="129" t="n"/>
      <c r="S31" s="174" t="n"/>
      <c r="T31" s="129" t="n"/>
      <c r="U31" s="129" t="n"/>
    </row>
    <row r="32">
      <c r="B32" s="129" t="n"/>
      <c r="C32" s="129" t="n"/>
      <c r="D32" s="129" t="n"/>
      <c r="E32" s="129" t="n"/>
      <c r="F32" s="130" t="n"/>
      <c r="G32" s="130" t="n"/>
      <c r="H32" s="106" t="n"/>
      <c r="I32" s="106" t="n"/>
      <c r="J32" s="133" t="str">
        <f>IF(B32="","",IF(E32="Concluído",1,IF(AND(N(H32)&gt;0,ISNUMBER(I32)),MIN(1,I32/H32),0)))</f>
        <v/>
      </c>
      <c r="K32" s="176" t="str">
        <f>IF(B32="","",SUMIF($R$10:$R$509,B32,$S$10:$S$509))</f>
        <v/>
      </c>
      <c r="L32" s="106" t="n"/>
      <c r="M32" s="135" t="n"/>
      <c r="N32" s="135" t="n"/>
      <c r="O32" t="str">
        <f>IF(AND(B32&lt;&gt;"",E32="Em andamento"),ROW(),"")</f>
        <v/>
      </c>
      <c r="Q32" s="130" t="n"/>
      <c r="R32" s="129" t="n"/>
      <c r="S32" s="174" t="n"/>
      <c r="T32" s="129" t="n"/>
      <c r="U32" s="129" t="n"/>
    </row>
    <row r="33">
      <c r="B33" s="129" t="n"/>
      <c r="C33" s="129" t="n"/>
      <c r="D33" s="129" t="n"/>
      <c r="E33" s="129" t="n"/>
      <c r="F33" s="130" t="n"/>
      <c r="G33" s="130" t="n"/>
      <c r="H33" s="106" t="n"/>
      <c r="I33" s="106" t="n"/>
      <c r="J33" s="133" t="str">
        <f>IF(B33="","",IF(E33="Concluído",1,IF(AND(N(H33)&gt;0,ISNUMBER(I33)),MIN(1,I33/H33),0)))</f>
        <v/>
      </c>
      <c r="K33" s="176" t="str">
        <f>IF(B33="","",SUMIF($R$10:$R$509,B33,$S$10:$S$509))</f>
        <v/>
      </c>
      <c r="L33" s="106" t="n"/>
      <c r="M33" s="135" t="n"/>
      <c r="N33" s="135" t="n"/>
      <c r="O33" t="str">
        <f>IF(AND(B33&lt;&gt;"",E33="Em andamento"),ROW(),"")</f>
        <v/>
      </c>
      <c r="Q33" s="130" t="n"/>
      <c r="R33" s="129" t="n"/>
      <c r="S33" s="174" t="n"/>
      <c r="T33" s="129" t="n"/>
      <c r="U33" s="129" t="n"/>
    </row>
    <row r="34">
      <c r="B34" s="129" t="n"/>
      <c r="C34" s="129" t="n"/>
      <c r="D34" s="129" t="n"/>
      <c r="E34" s="129" t="n"/>
      <c r="F34" s="130" t="n"/>
      <c r="G34" s="130" t="n"/>
      <c r="H34" s="106" t="n"/>
      <c r="I34" s="106" t="n"/>
      <c r="J34" s="133" t="str">
        <f>IF(B34="","",IF(E34="Concluído",1,IF(AND(N(H34)&gt;0,ISNUMBER(I34)),MIN(1,I34/H34),0)))</f>
        <v/>
      </c>
      <c r="K34" s="176" t="str">
        <f>IF(B34="","",SUMIF($R$10:$R$509,B34,$S$10:$S$509))</f>
        <v/>
      </c>
      <c r="L34" s="106" t="n"/>
      <c r="M34" s="135" t="n"/>
      <c r="N34" s="135" t="n"/>
      <c r="O34" t="str">
        <f>IF(AND(B34&lt;&gt;"",E34="Em andamento"),ROW(),"")</f>
        <v/>
      </c>
      <c r="Q34" s="130" t="n"/>
      <c r="R34" s="129" t="n"/>
      <c r="S34" s="174" t="n"/>
      <c r="T34" s="129" t="n"/>
      <c r="U34" s="129" t="n"/>
    </row>
    <row r="35">
      <c r="B35" s="129" t="n"/>
      <c r="C35" s="129" t="n"/>
      <c r="D35" s="129" t="n"/>
      <c r="E35" s="129" t="n"/>
      <c r="F35" s="130" t="n"/>
      <c r="G35" s="130" t="n"/>
      <c r="H35" s="106" t="n"/>
      <c r="I35" s="106" t="n"/>
      <c r="J35" s="133" t="str">
        <f>IF(B35="","",IF(E35="Concluído",1,IF(AND(N(H35)&gt;0,ISNUMBER(I35)),MIN(1,I35/H35),0)))</f>
        <v/>
      </c>
      <c r="K35" s="176" t="str">
        <f>IF(B35="","",SUMIF($R$10:$R$509,B35,$S$10:$S$509))</f>
        <v/>
      </c>
      <c r="L35" s="106" t="n"/>
      <c r="M35" s="135" t="n"/>
      <c r="N35" s="135" t="n"/>
      <c r="O35" t="str">
        <f>IF(AND(B35&lt;&gt;"",E35="Em andamento"),ROW(),"")</f>
        <v/>
      </c>
      <c r="Q35" s="130" t="n"/>
      <c r="R35" s="129" t="n"/>
      <c r="S35" s="174" t="n"/>
      <c r="T35" s="129" t="n"/>
      <c r="U35" s="129" t="n"/>
    </row>
    <row r="36">
      <c r="B36" s="129" t="n"/>
      <c r="C36" s="129" t="n"/>
      <c r="D36" s="129" t="n"/>
      <c r="E36" s="129" t="n"/>
      <c r="F36" s="130" t="n"/>
      <c r="G36" s="130" t="n"/>
      <c r="H36" s="106" t="n"/>
      <c r="I36" s="106" t="n"/>
      <c r="J36" s="133" t="str">
        <f>IF(B36="","",IF(E36="Concluído",1,IF(AND(N(H36)&gt;0,ISNUMBER(I36)),MIN(1,I36/H36),0)))</f>
        <v/>
      </c>
      <c r="K36" s="176" t="str">
        <f>IF(B36="","",SUMIF($R$10:$R$509,B36,$S$10:$S$509))</f>
        <v/>
      </c>
      <c r="L36" s="106" t="n"/>
      <c r="M36" s="135" t="n"/>
      <c r="N36" s="135" t="n"/>
      <c r="O36" t="str">
        <f>IF(AND(B36&lt;&gt;"",E36="Em andamento"),ROW(),"")</f>
        <v/>
      </c>
      <c r="Q36" s="130" t="n"/>
      <c r="R36" s="129" t="n"/>
      <c r="S36" s="174" t="n"/>
      <c r="T36" s="129" t="n"/>
      <c r="U36" s="129" t="n"/>
    </row>
    <row r="37">
      <c r="B37" s="129" t="n"/>
      <c r="C37" s="129" t="n"/>
      <c r="D37" s="129" t="n"/>
      <c r="E37" s="129" t="n"/>
      <c r="F37" s="130" t="n"/>
      <c r="G37" s="130" t="n"/>
      <c r="H37" s="106" t="n"/>
      <c r="I37" s="106" t="n"/>
      <c r="J37" s="133" t="str">
        <f>IF(B37="","",IF(E37="Concluído",1,IF(AND(N(H37)&gt;0,ISNUMBER(I37)),MIN(1,I37/H37),0)))</f>
        <v/>
      </c>
      <c r="K37" s="176" t="str">
        <f>IF(B37="","",SUMIF($R$10:$R$509,B37,$S$10:$S$509))</f>
        <v/>
      </c>
      <c r="L37" s="106" t="n"/>
      <c r="M37" s="135" t="n"/>
      <c r="N37" s="135" t="n"/>
      <c r="O37" t="str">
        <f>IF(AND(B37&lt;&gt;"",E37="Em andamento"),ROW(),"")</f>
        <v/>
      </c>
      <c r="Q37" s="130" t="n"/>
      <c r="R37" s="129" t="n"/>
      <c r="S37" s="174" t="n"/>
      <c r="T37" s="129" t="n"/>
      <c r="U37" s="129" t="n"/>
    </row>
    <row r="38">
      <c r="B38" s="129" t="n"/>
      <c r="C38" s="129" t="n"/>
      <c r="D38" s="129" t="n"/>
      <c r="E38" s="129" t="n"/>
      <c r="F38" s="130" t="n"/>
      <c r="G38" s="130" t="n"/>
      <c r="H38" s="106" t="n"/>
      <c r="I38" s="106" t="n"/>
      <c r="J38" s="133" t="str">
        <f>IF(B38="","",IF(E38="Concluído",1,IF(AND(N(H38)&gt;0,ISNUMBER(I38)),MIN(1,I38/H38),0)))</f>
        <v/>
      </c>
      <c r="K38" s="176" t="str">
        <f>IF(B38="","",SUMIF($R$10:$R$509,B38,$S$10:$S$509))</f>
        <v/>
      </c>
      <c r="L38" s="106" t="n"/>
      <c r="M38" s="135" t="n"/>
      <c r="N38" s="135" t="n"/>
      <c r="O38" t="str">
        <f>IF(AND(B38&lt;&gt;"",E38="Em andamento"),ROW(),"")</f>
        <v/>
      </c>
      <c r="Q38" s="130" t="n"/>
      <c r="R38" s="129" t="n"/>
      <c r="S38" s="174" t="n"/>
      <c r="T38" s="129" t="n"/>
      <c r="U38" s="129" t="n"/>
    </row>
    <row r="39">
      <c r="B39" s="129" t="n"/>
      <c r="C39" s="129" t="n"/>
      <c r="D39" s="129" t="n"/>
      <c r="E39" s="129" t="n"/>
      <c r="F39" s="130" t="n"/>
      <c r="G39" s="130" t="n"/>
      <c r="H39" s="106" t="n"/>
      <c r="I39" s="106" t="n"/>
      <c r="J39" s="133" t="str">
        <f>IF(B39="","",IF(E39="Concluído",1,IF(AND(N(H39)&gt;0,ISNUMBER(I39)),MIN(1,I39/H39),0)))</f>
        <v/>
      </c>
      <c r="K39" s="176" t="str">
        <f>IF(B39="","",SUMIF($R$10:$R$509,B39,$S$10:$S$509))</f>
        <v/>
      </c>
      <c r="L39" s="106" t="n"/>
      <c r="M39" s="135" t="n"/>
      <c r="N39" s="135" t="n"/>
      <c r="O39" t="str">
        <f>IF(AND(B39&lt;&gt;"",E39="Em andamento"),ROW(),"")</f>
        <v/>
      </c>
      <c r="Q39" s="130" t="n"/>
      <c r="R39" s="129" t="n"/>
      <c r="S39" s="174" t="n"/>
      <c r="T39" s="129" t="n"/>
      <c r="U39" s="129" t="n"/>
    </row>
    <row r="40">
      <c r="B40" s="129" t="n"/>
      <c r="C40" s="129" t="n"/>
      <c r="D40" s="129" t="n"/>
      <c r="E40" s="129" t="n"/>
      <c r="F40" s="130" t="n"/>
      <c r="G40" s="130" t="n"/>
      <c r="H40" s="106" t="n"/>
      <c r="I40" s="106" t="n"/>
      <c r="J40" s="133" t="str">
        <f>IF(B40="","",IF(E40="Concluído",1,IF(AND(N(H40)&gt;0,ISNUMBER(I40)),MIN(1,I40/H40),0)))</f>
        <v/>
      </c>
      <c r="K40" s="176" t="str">
        <f>IF(B40="","",SUMIF($R$10:$R$509,B40,$S$10:$S$509))</f>
        <v/>
      </c>
      <c r="L40" s="106" t="n"/>
      <c r="M40" s="135" t="n"/>
      <c r="N40" s="135" t="n"/>
      <c r="O40" t="str">
        <f>IF(AND(B40&lt;&gt;"",E40="Em andamento"),ROW(),"")</f>
        <v/>
      </c>
      <c r="Q40" s="130" t="n"/>
      <c r="R40" s="129" t="n"/>
      <c r="S40" s="174" t="n"/>
      <c r="T40" s="129" t="n"/>
      <c r="U40" s="129" t="n"/>
    </row>
    <row r="41">
      <c r="B41" s="129" t="n"/>
      <c r="C41" s="129" t="n"/>
      <c r="D41" s="129" t="n"/>
      <c r="E41" s="129" t="n"/>
      <c r="F41" s="130" t="n"/>
      <c r="G41" s="130" t="n"/>
      <c r="H41" s="106" t="n"/>
      <c r="I41" s="106" t="n"/>
      <c r="J41" s="133" t="str">
        <f>IF(B41="","",IF(E41="Concluído",1,IF(AND(N(H41)&gt;0,ISNUMBER(I41)),MIN(1,I41/H41),0)))</f>
        <v/>
      </c>
      <c r="K41" s="176" t="str">
        <f>IF(B41="","",SUMIF($R$10:$R$509,B41,$S$10:$S$509))</f>
        <v/>
      </c>
      <c r="L41" s="106" t="n"/>
      <c r="M41" s="135" t="n"/>
      <c r="N41" s="135" t="n"/>
      <c r="O41" t="str">
        <f>IF(AND(B41&lt;&gt;"",E41="Em andamento"),ROW(),"")</f>
        <v/>
      </c>
      <c r="Q41" s="130" t="n"/>
      <c r="R41" s="129" t="n"/>
      <c r="S41" s="174" t="n"/>
      <c r="T41" s="129" t="n"/>
      <c r="U41" s="129" t="n"/>
    </row>
    <row r="42">
      <c r="B42" s="129" t="n"/>
      <c r="C42" s="129" t="n"/>
      <c r="D42" s="129" t="n"/>
      <c r="E42" s="129" t="n"/>
      <c r="F42" s="130" t="n"/>
      <c r="G42" s="130" t="n"/>
      <c r="H42" s="106" t="n"/>
      <c r="I42" s="106" t="n"/>
      <c r="J42" s="133" t="str">
        <f>IF(B42="","",IF(E42="Concluído",1,IF(AND(N(H42)&gt;0,ISNUMBER(I42)),MIN(1,I42/H42),0)))</f>
        <v/>
      </c>
      <c r="K42" s="176" t="str">
        <f>IF(B42="","",SUMIF($R$10:$R$509,B42,$S$10:$S$509))</f>
        <v/>
      </c>
      <c r="L42" s="106" t="n"/>
      <c r="M42" s="135" t="n"/>
      <c r="N42" s="135" t="n"/>
      <c r="O42" t="str">
        <f>IF(AND(B42&lt;&gt;"",E42="Em andamento"),ROW(),"")</f>
        <v/>
      </c>
      <c r="Q42" s="130" t="n"/>
      <c r="R42" s="129" t="n"/>
      <c r="S42" s="174" t="n"/>
      <c r="T42" s="129" t="n"/>
      <c r="U42" s="129" t="n"/>
    </row>
    <row r="43">
      <c r="B43" s="129" t="n"/>
      <c r="C43" s="129" t="n"/>
      <c r="D43" s="129" t="n"/>
      <c r="E43" s="129" t="n"/>
      <c r="F43" s="130" t="n"/>
      <c r="G43" s="130" t="n"/>
      <c r="H43" s="106" t="n"/>
      <c r="I43" s="106" t="n"/>
      <c r="J43" s="133" t="str">
        <f>IF(B43="","",IF(E43="Concluído",1,IF(AND(N(H43)&gt;0,ISNUMBER(I43)),MIN(1,I43/H43),0)))</f>
        <v/>
      </c>
      <c r="K43" s="176" t="str">
        <f>IF(B43="","",SUMIF($R$10:$R$509,B43,$S$10:$S$509))</f>
        <v/>
      </c>
      <c r="L43" s="106" t="n"/>
      <c r="M43" s="135" t="n"/>
      <c r="N43" s="135" t="n"/>
      <c r="O43" t="str">
        <f>IF(AND(B43&lt;&gt;"",E43="Em andamento"),ROW(),"")</f>
        <v/>
      </c>
      <c r="Q43" s="130" t="n"/>
      <c r="R43" s="129" t="n"/>
      <c r="S43" s="174" t="n"/>
      <c r="T43" s="129" t="n"/>
      <c r="U43" s="129" t="n"/>
    </row>
    <row r="44">
      <c r="B44" s="129" t="n"/>
      <c r="C44" s="129" t="n"/>
      <c r="D44" s="129" t="n"/>
      <c r="E44" s="129" t="n"/>
      <c r="F44" s="130" t="n"/>
      <c r="G44" s="130" t="n"/>
      <c r="H44" s="106" t="n"/>
      <c r="I44" s="106" t="n"/>
      <c r="J44" s="133" t="str">
        <f>IF(B44="","",IF(E44="Concluído",1,IF(AND(N(H44)&gt;0,ISNUMBER(I44)),MIN(1,I44/H44),0)))</f>
        <v/>
      </c>
      <c r="K44" s="176" t="str">
        <f>IF(B44="","",SUMIF($R$10:$R$509,B44,$S$10:$S$509))</f>
        <v/>
      </c>
      <c r="L44" s="106" t="n"/>
      <c r="M44" s="135" t="n"/>
      <c r="N44" s="135" t="n"/>
      <c r="O44" t="str">
        <f>IF(AND(B44&lt;&gt;"",E44="Em andamento"),ROW(),"")</f>
        <v/>
      </c>
      <c r="Q44" s="130" t="n"/>
      <c r="R44" s="129" t="n"/>
      <c r="S44" s="174" t="n"/>
      <c r="T44" s="129" t="n"/>
      <c r="U44" s="129" t="n"/>
    </row>
    <row r="45">
      <c r="B45" s="129" t="n"/>
      <c r="C45" s="129" t="n"/>
      <c r="D45" s="129" t="n"/>
      <c r="E45" s="129" t="n"/>
      <c r="F45" s="130" t="n"/>
      <c r="G45" s="130" t="n"/>
      <c r="H45" s="106" t="n"/>
      <c r="I45" s="106" t="n"/>
      <c r="J45" s="133" t="str">
        <f>IF(B45="","",IF(E45="Concluído",1,IF(AND(N(H45)&gt;0,ISNUMBER(I45)),MIN(1,I45/H45),0)))</f>
        <v/>
      </c>
      <c r="K45" s="176" t="str">
        <f>IF(B45="","",SUMIF($R$10:$R$509,B45,$S$10:$S$509))</f>
        <v/>
      </c>
      <c r="L45" s="106" t="n"/>
      <c r="M45" s="135" t="n"/>
      <c r="N45" s="135" t="n"/>
      <c r="O45" t="str">
        <f>IF(AND(B45&lt;&gt;"",E45="Em andamento"),ROW(),"")</f>
        <v/>
      </c>
      <c r="Q45" s="130" t="n"/>
      <c r="R45" s="129" t="n"/>
      <c r="S45" s="174" t="n"/>
      <c r="T45" s="129" t="n"/>
      <c r="U45" s="129" t="n"/>
    </row>
    <row r="46">
      <c r="B46" s="129" t="n"/>
      <c r="C46" s="129" t="n"/>
      <c r="D46" s="129" t="n"/>
      <c r="E46" s="129" t="n"/>
      <c r="F46" s="130" t="n"/>
      <c r="G46" s="130" t="n"/>
      <c r="H46" s="106" t="n"/>
      <c r="I46" s="106" t="n"/>
      <c r="J46" s="133" t="str">
        <f>IF(B46="","",IF(E46="Concluído",1,IF(AND(N(H46)&gt;0,ISNUMBER(I46)),MIN(1,I46/H46),0)))</f>
        <v/>
      </c>
      <c r="K46" s="176" t="str">
        <f>IF(B46="","",SUMIF($R$10:$R$509,B46,$S$10:$S$509))</f>
        <v/>
      </c>
      <c r="L46" s="106" t="n"/>
      <c r="M46" s="135" t="n"/>
      <c r="N46" s="135" t="n"/>
      <c r="O46" t="str">
        <f>IF(AND(B46&lt;&gt;"",E46="Em andamento"),ROW(),"")</f>
        <v/>
      </c>
      <c r="Q46" s="130" t="n"/>
      <c r="R46" s="129" t="n"/>
      <c r="S46" s="174" t="n"/>
      <c r="T46" s="129" t="n"/>
      <c r="U46" s="129" t="n"/>
    </row>
    <row r="47">
      <c r="B47" s="129" t="n"/>
      <c r="C47" s="129" t="n"/>
      <c r="D47" s="129" t="n"/>
      <c r="E47" s="129" t="n"/>
      <c r="F47" s="130" t="n"/>
      <c r="G47" s="130" t="n"/>
      <c r="H47" s="106" t="n"/>
      <c r="I47" s="106" t="n"/>
      <c r="J47" s="133" t="str">
        <f>IF(B47="","",IF(E47="Concluído",1,IF(AND(N(H47)&gt;0,ISNUMBER(I47)),MIN(1,I47/H47),0)))</f>
        <v/>
      </c>
      <c r="K47" s="176" t="str">
        <f>IF(B47="","",SUMIF($R$10:$R$509,B47,$S$10:$S$509))</f>
        <v/>
      </c>
      <c r="L47" s="106" t="n"/>
      <c r="M47" s="135" t="n"/>
      <c r="N47" s="135" t="n"/>
      <c r="O47" t="str">
        <f>IF(AND(B47&lt;&gt;"",E47="Em andamento"),ROW(),"")</f>
        <v/>
      </c>
      <c r="Q47" s="130" t="n"/>
      <c r="R47" s="129" t="n"/>
      <c r="S47" s="174" t="n"/>
      <c r="T47" s="129" t="n"/>
      <c r="U47" s="129" t="n"/>
    </row>
    <row r="48">
      <c r="B48" s="129" t="n"/>
      <c r="C48" s="129" t="n"/>
      <c r="D48" s="129" t="n"/>
      <c r="E48" s="129" t="n"/>
      <c r="F48" s="130" t="n"/>
      <c r="G48" s="130" t="n"/>
      <c r="H48" s="106" t="n"/>
      <c r="I48" s="106" t="n"/>
      <c r="J48" s="133" t="str">
        <f>IF(B48="","",IF(E48="Concluído",1,IF(AND(N(H48)&gt;0,ISNUMBER(I48)),MIN(1,I48/H48),0)))</f>
        <v/>
      </c>
      <c r="K48" s="176" t="str">
        <f>IF(B48="","",SUMIF($R$10:$R$509,B48,$S$10:$S$509))</f>
        <v/>
      </c>
      <c r="L48" s="106" t="n"/>
      <c r="M48" s="135" t="n"/>
      <c r="N48" s="135" t="n"/>
      <c r="O48" t="str">
        <f>IF(AND(B48&lt;&gt;"",E48="Em andamento"),ROW(),"")</f>
        <v/>
      </c>
      <c r="Q48" s="130" t="n"/>
      <c r="R48" s="129" t="n"/>
      <c r="S48" s="174" t="n"/>
      <c r="T48" s="129" t="n"/>
      <c r="U48" s="129" t="n"/>
    </row>
    <row r="49">
      <c r="B49" s="129" t="n"/>
      <c r="C49" s="129" t="n"/>
      <c r="D49" s="129" t="n"/>
      <c r="E49" s="129" t="n"/>
      <c r="F49" s="130" t="n"/>
      <c r="G49" s="130" t="n"/>
      <c r="H49" s="106" t="n"/>
      <c r="I49" s="106" t="n"/>
      <c r="J49" s="133" t="str">
        <f>IF(B49="","",IF(E49="Concluído",1,IF(AND(N(H49)&gt;0,ISNUMBER(I49)),MIN(1,I49/H49),0)))</f>
        <v/>
      </c>
      <c r="K49" s="176" t="str">
        <f>IF(B49="","",SUMIF($R$10:$R$509,B49,$S$10:$S$509))</f>
        <v/>
      </c>
      <c r="L49" s="106" t="n"/>
      <c r="M49" s="135" t="n"/>
      <c r="N49" s="135" t="n"/>
      <c r="O49" t="str">
        <f>IF(AND(B49&lt;&gt;"",E49="Em andamento"),ROW(),"")</f>
        <v/>
      </c>
      <c r="Q49" s="130" t="n"/>
      <c r="R49" s="129" t="n"/>
      <c r="S49" s="174" t="n"/>
      <c r="T49" s="129" t="n"/>
      <c r="U49" s="129" t="n"/>
    </row>
    <row r="50">
      <c r="B50" s="129" t="n"/>
      <c r="C50" s="129" t="n"/>
      <c r="D50" s="129" t="n"/>
      <c r="E50" s="129" t="n"/>
      <c r="F50" s="130" t="n"/>
      <c r="G50" s="130" t="n"/>
      <c r="H50" s="106" t="n"/>
      <c r="I50" s="106" t="n"/>
      <c r="J50" s="133" t="str">
        <f>IF(B50="","",IF(E50="Concluído",1,IF(AND(N(H50)&gt;0,ISNUMBER(I50)),MIN(1,I50/H50),0)))</f>
        <v/>
      </c>
      <c r="K50" s="176" t="str">
        <f>IF(B50="","",SUMIF($R$10:$R$509,B50,$S$10:$S$509))</f>
        <v/>
      </c>
      <c r="L50" s="106" t="n"/>
      <c r="M50" s="135" t="n"/>
      <c r="N50" s="135" t="n"/>
      <c r="O50" t="str">
        <f>IF(AND(B50&lt;&gt;"",E50="Em andamento"),ROW(),"")</f>
        <v/>
      </c>
      <c r="Q50" s="130" t="n"/>
      <c r="R50" s="129" t="n"/>
      <c r="S50" s="174" t="n"/>
      <c r="T50" s="129" t="n"/>
      <c r="U50" s="129" t="n"/>
    </row>
    <row r="51">
      <c r="B51" s="129" t="n"/>
      <c r="C51" s="129" t="n"/>
      <c r="D51" s="129" t="n"/>
      <c r="E51" s="129" t="n"/>
      <c r="F51" s="130" t="n"/>
      <c r="G51" s="130" t="n"/>
      <c r="H51" s="106" t="n"/>
      <c r="I51" s="106" t="n"/>
      <c r="J51" s="133" t="str">
        <f>IF(B51="","",IF(E51="Concluído",1,IF(AND(N(H51)&gt;0,ISNUMBER(I51)),MIN(1,I51/H51),0)))</f>
        <v/>
      </c>
      <c r="K51" s="176" t="str">
        <f>IF(B51="","",SUMIF($R$10:$R$509,B51,$S$10:$S$509))</f>
        <v/>
      </c>
      <c r="L51" s="106" t="n"/>
      <c r="M51" s="135" t="n"/>
      <c r="N51" s="135" t="n"/>
      <c r="O51" t="str">
        <f>IF(AND(B51&lt;&gt;"",E51="Em andamento"),ROW(),"")</f>
        <v/>
      </c>
      <c r="Q51" s="130" t="n"/>
      <c r="R51" s="129" t="n"/>
      <c r="S51" s="174" t="n"/>
      <c r="T51" s="129" t="n"/>
      <c r="U51" s="129" t="n"/>
    </row>
    <row r="52">
      <c r="B52" s="129" t="n"/>
      <c r="C52" s="129" t="n"/>
      <c r="D52" s="129" t="n"/>
      <c r="E52" s="129" t="n"/>
      <c r="F52" s="130" t="n"/>
      <c r="G52" s="130" t="n"/>
      <c r="H52" s="106" t="n"/>
      <c r="I52" s="106" t="n"/>
      <c r="J52" s="133" t="str">
        <f>IF(B52="","",IF(E52="Concluído",1,IF(AND(N(H52)&gt;0,ISNUMBER(I52)),MIN(1,I52/H52),0)))</f>
        <v/>
      </c>
      <c r="K52" s="176" t="str">
        <f>IF(B52="","",SUMIF($R$10:$R$509,B52,$S$10:$S$509))</f>
        <v/>
      </c>
      <c r="L52" s="106" t="n"/>
      <c r="M52" s="135" t="n"/>
      <c r="N52" s="135" t="n"/>
      <c r="O52" t="str">
        <f>IF(AND(B52&lt;&gt;"",E52="Em andamento"),ROW(),"")</f>
        <v/>
      </c>
      <c r="Q52" s="130" t="n"/>
      <c r="R52" s="129" t="n"/>
      <c r="S52" s="174" t="n"/>
      <c r="T52" s="129" t="n"/>
      <c r="U52" s="129" t="n"/>
    </row>
    <row r="53">
      <c r="B53" s="129" t="n"/>
      <c r="C53" s="129" t="n"/>
      <c r="D53" s="129" t="n"/>
      <c r="E53" s="129" t="n"/>
      <c r="F53" s="130" t="n"/>
      <c r="G53" s="130" t="n"/>
      <c r="H53" s="106" t="n"/>
      <c r="I53" s="106" t="n"/>
      <c r="J53" s="133" t="str">
        <f>IF(B53="","",IF(E53="Concluído",1,IF(AND(N(H53)&gt;0,ISNUMBER(I53)),MIN(1,I53/H53),0)))</f>
        <v/>
      </c>
      <c r="K53" s="176" t="str">
        <f>IF(B53="","",SUMIF($R$10:$R$509,B53,$S$10:$S$509))</f>
        <v/>
      </c>
      <c r="L53" s="106" t="n"/>
      <c r="M53" s="135" t="n"/>
      <c r="N53" s="135" t="n"/>
      <c r="O53" t="str">
        <f>IF(AND(B53&lt;&gt;"",E53="Em andamento"),ROW(),"")</f>
        <v/>
      </c>
      <c r="Q53" s="130" t="n"/>
      <c r="R53" s="129" t="n"/>
      <c r="S53" s="174" t="n"/>
      <c r="T53" s="129" t="n"/>
      <c r="U53" s="129" t="n"/>
    </row>
    <row r="54">
      <c r="B54" s="129" t="n"/>
      <c r="C54" s="129" t="n"/>
      <c r="D54" s="129" t="n"/>
      <c r="E54" s="129" t="n"/>
      <c r="F54" s="130" t="n"/>
      <c r="G54" s="130" t="n"/>
      <c r="H54" s="106" t="n"/>
      <c r="I54" s="106" t="n"/>
      <c r="J54" s="133" t="str">
        <f>IF(B54="","",IF(E54="Concluído",1,IF(AND(N(H54)&gt;0,ISNUMBER(I54)),MIN(1,I54/H54),0)))</f>
        <v/>
      </c>
      <c r="K54" s="176" t="str">
        <f>IF(B54="","",SUMIF($R$10:$R$509,B54,$S$10:$S$509))</f>
        <v/>
      </c>
      <c r="L54" s="106" t="n"/>
      <c r="M54" s="135" t="n"/>
      <c r="N54" s="135" t="n"/>
      <c r="O54" t="str">
        <f>IF(AND(B54&lt;&gt;"",E54="Em andamento"),ROW(),"")</f>
        <v/>
      </c>
      <c r="Q54" s="130" t="n"/>
      <c r="R54" s="129" t="n"/>
      <c r="S54" s="174" t="n"/>
      <c r="T54" s="129" t="n"/>
      <c r="U54" s="129" t="n"/>
    </row>
    <row r="55">
      <c r="B55" s="129" t="n"/>
      <c r="C55" s="129" t="n"/>
      <c r="D55" s="129" t="n"/>
      <c r="E55" s="129" t="n"/>
      <c r="F55" s="130" t="n"/>
      <c r="G55" s="130" t="n"/>
      <c r="H55" s="106" t="n"/>
      <c r="I55" s="106" t="n"/>
      <c r="J55" s="133" t="str">
        <f>IF(B55="","",IF(E55="Concluído",1,IF(AND(N(H55)&gt;0,ISNUMBER(I55)),MIN(1,I55/H55),0)))</f>
        <v/>
      </c>
      <c r="K55" s="176" t="str">
        <f>IF(B55="","",SUMIF($R$10:$R$509,B55,$S$10:$S$509))</f>
        <v/>
      </c>
      <c r="L55" s="106" t="n"/>
      <c r="M55" s="135" t="n"/>
      <c r="N55" s="135" t="n"/>
      <c r="O55" t="str">
        <f>IF(AND(B55&lt;&gt;"",E55="Em andamento"),ROW(),"")</f>
        <v/>
      </c>
      <c r="Q55" s="130" t="n"/>
      <c r="R55" s="129" t="n"/>
      <c r="S55" s="174" t="n"/>
      <c r="T55" s="129" t="n"/>
      <c r="U55" s="129" t="n"/>
    </row>
    <row r="56">
      <c r="B56" s="129" t="n"/>
      <c r="C56" s="129" t="n"/>
      <c r="D56" s="129" t="n"/>
      <c r="E56" s="129" t="n"/>
      <c r="F56" s="130" t="n"/>
      <c r="G56" s="130" t="n"/>
      <c r="H56" s="106" t="n"/>
      <c r="I56" s="106" t="n"/>
      <c r="J56" s="133" t="str">
        <f>IF(B56="","",IF(E56="Concluído",1,IF(AND(N(H56)&gt;0,ISNUMBER(I56)),MIN(1,I56/H56),0)))</f>
        <v/>
      </c>
      <c r="K56" s="176" t="str">
        <f>IF(B56="","",SUMIF($R$10:$R$509,B56,$S$10:$S$509))</f>
        <v/>
      </c>
      <c r="L56" s="106" t="n"/>
      <c r="M56" s="135" t="n"/>
      <c r="N56" s="135" t="n"/>
      <c r="O56" t="str">
        <f>IF(AND(B56&lt;&gt;"",E56="Em andamento"),ROW(),"")</f>
        <v/>
      </c>
      <c r="Q56" s="130" t="n"/>
      <c r="R56" s="129" t="n"/>
      <c r="S56" s="174" t="n"/>
      <c r="T56" s="129" t="n"/>
      <c r="U56" s="129" t="n"/>
    </row>
    <row r="57">
      <c r="B57" s="129" t="n"/>
      <c r="C57" s="129" t="n"/>
      <c r="D57" s="129" t="n"/>
      <c r="E57" s="129" t="n"/>
      <c r="F57" s="130" t="n"/>
      <c r="G57" s="130" t="n"/>
      <c r="H57" s="106" t="n"/>
      <c r="I57" s="106" t="n"/>
      <c r="J57" s="133" t="str">
        <f>IF(B57="","",IF(E57="Concluído",1,IF(AND(N(H57)&gt;0,ISNUMBER(I57)),MIN(1,I57/H57),0)))</f>
        <v/>
      </c>
      <c r="K57" s="176" t="str">
        <f>IF(B57="","",SUMIF($R$10:$R$509,B57,$S$10:$S$509))</f>
        <v/>
      </c>
      <c r="L57" s="106" t="n"/>
      <c r="M57" s="135" t="n"/>
      <c r="N57" s="135" t="n"/>
      <c r="O57" t="str">
        <f>IF(AND(B57&lt;&gt;"",E57="Em andamento"),ROW(),"")</f>
        <v/>
      </c>
      <c r="Q57" s="130" t="n"/>
      <c r="R57" s="129" t="n"/>
      <c r="S57" s="174" t="n"/>
      <c r="T57" s="129" t="n"/>
      <c r="U57" s="129" t="n"/>
    </row>
    <row r="58">
      <c r="B58" s="129" t="n"/>
      <c r="C58" s="129" t="n"/>
      <c r="D58" s="129" t="n"/>
      <c r="E58" s="129" t="n"/>
      <c r="F58" s="130" t="n"/>
      <c r="G58" s="130" t="n"/>
      <c r="H58" s="106" t="n"/>
      <c r="I58" s="106" t="n"/>
      <c r="J58" s="133" t="str">
        <f>IF(B58="","",IF(E58="Concluído",1,IF(AND(N(H58)&gt;0,ISNUMBER(I58)),MIN(1,I58/H58),0)))</f>
        <v/>
      </c>
      <c r="K58" s="176" t="str">
        <f>IF(B58="","",SUMIF($R$10:$R$509,B58,$S$10:$S$509))</f>
        <v/>
      </c>
      <c r="L58" s="106" t="n"/>
      <c r="M58" s="135" t="n"/>
      <c r="N58" s="135" t="n"/>
      <c r="O58" t="str">
        <f>IF(AND(B58&lt;&gt;"",E58="Em andamento"),ROW(),"")</f>
        <v/>
      </c>
      <c r="Q58" s="130" t="n"/>
      <c r="R58" s="129" t="n"/>
      <c r="S58" s="174" t="n"/>
      <c r="T58" s="129" t="n"/>
      <c r="U58" s="129" t="n"/>
    </row>
    <row r="59">
      <c r="B59" s="129" t="n"/>
      <c r="C59" s="129" t="n"/>
      <c r="D59" s="129" t="n"/>
      <c r="E59" s="129" t="n"/>
      <c r="F59" s="130" t="n"/>
      <c r="G59" s="130" t="n"/>
      <c r="H59" s="106" t="n"/>
      <c r="I59" s="106" t="n"/>
      <c r="J59" s="133" t="str">
        <f>IF(B59="","",IF(E59="Concluído",1,IF(AND(N(H59)&gt;0,ISNUMBER(I59)),MIN(1,I59/H59),0)))</f>
        <v/>
      </c>
      <c r="K59" s="176" t="str">
        <f>IF(B59="","",SUMIF($R$10:$R$509,B59,$S$10:$S$509))</f>
        <v/>
      </c>
      <c r="L59" s="106" t="n"/>
      <c r="M59" s="135" t="n"/>
      <c r="N59" s="135" t="n"/>
      <c r="O59" t="str">
        <f>IF(AND(B59&lt;&gt;"",E59="Em andamento"),ROW(),"")</f>
        <v/>
      </c>
      <c r="Q59" s="130" t="n"/>
      <c r="R59" s="129" t="n"/>
      <c r="S59" s="174" t="n"/>
      <c r="T59" s="129" t="n"/>
      <c r="U59" s="129" t="n"/>
    </row>
    <row r="60">
      <c r="B60" s="129" t="n"/>
      <c r="C60" s="129" t="n"/>
      <c r="D60" s="129" t="n"/>
      <c r="E60" s="129" t="n"/>
      <c r="F60" s="130" t="n"/>
      <c r="G60" s="130" t="n"/>
      <c r="H60" s="106" t="n"/>
      <c r="I60" s="106" t="n"/>
      <c r="J60" s="133" t="str">
        <f>IF(B60="","",IF(E60="Concluído",1,IF(AND(N(H60)&gt;0,ISNUMBER(I60)),MIN(1,I60/H60),0)))</f>
        <v/>
      </c>
      <c r="K60" s="176" t="str">
        <f>IF(B60="","",SUMIF($R$10:$R$509,B60,$S$10:$S$509))</f>
        <v/>
      </c>
      <c r="L60" s="106" t="n"/>
      <c r="M60" s="135" t="n"/>
      <c r="N60" s="135" t="n"/>
      <c r="O60" t="str">
        <f>IF(AND(B60&lt;&gt;"",E60="Em andamento"),ROW(),"")</f>
        <v/>
      </c>
      <c r="Q60" s="130" t="n"/>
      <c r="R60" s="129" t="n"/>
      <c r="S60" s="174" t="n"/>
      <c r="T60" s="129" t="n"/>
      <c r="U60" s="129" t="n"/>
    </row>
    <row r="61">
      <c r="B61" s="129" t="n"/>
      <c r="C61" s="129" t="n"/>
      <c r="D61" s="129" t="n"/>
      <c r="E61" s="129" t="n"/>
      <c r="F61" s="130" t="n"/>
      <c r="G61" s="130" t="n"/>
      <c r="H61" s="106" t="n"/>
      <c r="I61" s="106" t="n"/>
      <c r="J61" s="133" t="str">
        <f>IF(B61="","",IF(E61="Concluído",1,IF(AND(N(H61)&gt;0,ISNUMBER(I61)),MIN(1,I61/H61),0)))</f>
        <v/>
      </c>
      <c r="K61" s="176" t="str">
        <f>IF(B61="","",SUMIF($R$10:$R$509,B61,$S$10:$S$509))</f>
        <v/>
      </c>
      <c r="L61" s="106" t="n"/>
      <c r="M61" s="135" t="n"/>
      <c r="N61" s="135" t="n"/>
      <c r="O61" t="str">
        <f>IF(AND(B61&lt;&gt;"",E61="Em andamento"),ROW(),"")</f>
        <v/>
      </c>
      <c r="Q61" s="130" t="n"/>
      <c r="R61" s="129" t="n"/>
      <c r="S61" s="174" t="n"/>
      <c r="T61" s="129" t="n"/>
      <c r="U61" s="129" t="n"/>
    </row>
    <row r="62">
      <c r="B62" s="129" t="n"/>
      <c r="C62" s="129" t="n"/>
      <c r="D62" s="129" t="n"/>
      <c r="E62" s="129" t="n"/>
      <c r="F62" s="130" t="n"/>
      <c r="G62" s="130" t="n"/>
      <c r="H62" s="106" t="n"/>
      <c r="I62" s="106" t="n"/>
      <c r="J62" s="133" t="str">
        <f>IF(B62="","",IF(E62="Concluído",1,IF(AND(N(H62)&gt;0,ISNUMBER(I62)),MIN(1,I62/H62),0)))</f>
        <v/>
      </c>
      <c r="K62" s="176" t="str">
        <f>IF(B62="","",SUMIF($R$10:$R$509,B62,$S$10:$S$509))</f>
        <v/>
      </c>
      <c r="L62" s="106" t="n"/>
      <c r="M62" s="135" t="n"/>
      <c r="N62" s="135" t="n"/>
      <c r="O62" t="str">
        <f>IF(AND(B62&lt;&gt;"",E62="Em andamento"),ROW(),"")</f>
        <v/>
      </c>
      <c r="Q62" s="130" t="n"/>
      <c r="R62" s="129" t="n"/>
      <c r="S62" s="174" t="n"/>
      <c r="T62" s="129" t="n"/>
      <c r="U62" s="129" t="n"/>
    </row>
    <row r="63">
      <c r="B63" s="129" t="n"/>
      <c r="C63" s="129" t="n"/>
      <c r="D63" s="129" t="n"/>
      <c r="E63" s="129" t="n"/>
      <c r="F63" s="130" t="n"/>
      <c r="G63" s="130" t="n"/>
      <c r="H63" s="106" t="n"/>
      <c r="I63" s="106" t="n"/>
      <c r="J63" s="133" t="str">
        <f>IF(B63="","",IF(E63="Concluído",1,IF(AND(N(H63)&gt;0,ISNUMBER(I63)),MIN(1,I63/H63),0)))</f>
        <v/>
      </c>
      <c r="K63" s="176" t="str">
        <f>IF(B63="","",SUMIF($R$10:$R$509,B63,$S$10:$S$509))</f>
        <v/>
      </c>
      <c r="L63" s="106" t="n"/>
      <c r="M63" s="135" t="n"/>
      <c r="N63" s="135" t="n"/>
      <c r="O63" t="str">
        <f>IF(AND(B63&lt;&gt;"",E63="Em andamento"),ROW(),"")</f>
        <v/>
      </c>
      <c r="Q63" s="130" t="n"/>
      <c r="R63" s="129" t="n"/>
      <c r="S63" s="174" t="n"/>
      <c r="T63" s="129" t="n"/>
      <c r="U63" s="129" t="n"/>
    </row>
    <row r="64">
      <c r="B64" s="129" t="n"/>
      <c r="C64" s="129" t="n"/>
      <c r="D64" s="129" t="n"/>
      <c r="E64" s="129" t="n"/>
      <c r="F64" s="130" t="n"/>
      <c r="G64" s="130" t="n"/>
      <c r="H64" s="106" t="n"/>
      <c r="I64" s="106" t="n"/>
      <c r="J64" s="133" t="str">
        <f>IF(B64="","",IF(E64="Concluído",1,IF(AND(N(H64)&gt;0,ISNUMBER(I64)),MIN(1,I64/H64),0)))</f>
        <v/>
      </c>
      <c r="K64" s="176" t="str">
        <f>IF(B64="","",SUMIF($R$10:$R$509,B64,$S$10:$S$509))</f>
        <v/>
      </c>
      <c r="L64" s="106" t="n"/>
      <c r="M64" s="135" t="n"/>
      <c r="N64" s="135" t="n"/>
      <c r="O64" t="str">
        <f>IF(AND(B64&lt;&gt;"",E64="Em andamento"),ROW(),"")</f>
        <v/>
      </c>
      <c r="Q64" s="130" t="n"/>
      <c r="R64" s="129" t="n"/>
      <c r="S64" s="174" t="n"/>
      <c r="T64" s="129" t="n"/>
      <c r="U64" s="129" t="n"/>
    </row>
    <row r="65">
      <c r="B65" s="129" t="n"/>
      <c r="C65" s="129" t="n"/>
      <c r="D65" s="129" t="n"/>
      <c r="E65" s="129" t="n"/>
      <c r="F65" s="130" t="n"/>
      <c r="G65" s="130" t="n"/>
      <c r="H65" s="106" t="n"/>
      <c r="I65" s="106" t="n"/>
      <c r="J65" s="133" t="str">
        <f>IF(B65="","",IF(E65="Concluído",1,IF(AND(N(H65)&gt;0,ISNUMBER(I65)),MIN(1,I65/H65),0)))</f>
        <v/>
      </c>
      <c r="K65" s="176" t="str">
        <f>IF(B65="","",SUMIF($R$10:$R$509,B65,$S$10:$S$509))</f>
        <v/>
      </c>
      <c r="L65" s="106" t="n"/>
      <c r="M65" s="135" t="n"/>
      <c r="N65" s="135" t="n"/>
      <c r="O65" t="str">
        <f>IF(AND(B65&lt;&gt;"",E65="Em andamento"),ROW(),"")</f>
        <v/>
      </c>
      <c r="Q65" s="130" t="n"/>
      <c r="R65" s="129" t="n"/>
      <c r="S65" s="174" t="n"/>
      <c r="T65" s="129" t="n"/>
      <c r="U65" s="129" t="n"/>
    </row>
    <row r="66">
      <c r="B66" s="129" t="n"/>
      <c r="C66" s="129" t="n"/>
      <c r="D66" s="129" t="n"/>
      <c r="E66" s="129" t="n"/>
      <c r="F66" s="130" t="n"/>
      <c r="G66" s="130" t="n"/>
      <c r="H66" s="106" t="n"/>
      <c r="I66" s="106" t="n"/>
      <c r="J66" s="133" t="str">
        <f>IF(B66="","",IF(E66="Concluído",1,IF(AND(N(H66)&gt;0,ISNUMBER(I66)),MIN(1,I66/H66),0)))</f>
        <v/>
      </c>
      <c r="K66" s="176" t="str">
        <f>IF(B66="","",SUMIF($R$10:$R$509,B66,$S$10:$S$509))</f>
        <v/>
      </c>
      <c r="L66" s="106" t="n"/>
      <c r="M66" s="135" t="n"/>
      <c r="N66" s="135" t="n"/>
      <c r="O66" t="str">
        <f>IF(AND(B66&lt;&gt;"",E66="Em andamento"),ROW(),"")</f>
        <v/>
      </c>
      <c r="Q66" s="130" t="n"/>
      <c r="R66" s="129" t="n"/>
      <c r="S66" s="174" t="n"/>
      <c r="T66" s="129" t="n"/>
      <c r="U66" s="129" t="n"/>
    </row>
    <row r="67">
      <c r="B67" s="129" t="n"/>
      <c r="C67" s="129" t="n"/>
      <c r="D67" s="129" t="n"/>
      <c r="E67" s="129" t="n"/>
      <c r="F67" s="130" t="n"/>
      <c r="G67" s="130" t="n"/>
      <c r="H67" s="106" t="n"/>
      <c r="I67" s="106" t="n"/>
      <c r="J67" s="133" t="str">
        <f>IF(B67="","",IF(E67="Concluído",1,IF(AND(N(H67)&gt;0,ISNUMBER(I67)),MIN(1,I67/H67),0)))</f>
        <v/>
      </c>
      <c r="K67" s="176" t="str">
        <f>IF(B67="","",SUMIF($R$10:$R$509,B67,$S$10:$S$509))</f>
        <v/>
      </c>
      <c r="L67" s="106" t="n"/>
      <c r="M67" s="135" t="n"/>
      <c r="N67" s="135" t="n"/>
      <c r="O67" t="str">
        <f>IF(AND(B67&lt;&gt;"",E67="Em andamento"),ROW(),"")</f>
        <v/>
      </c>
      <c r="Q67" s="130" t="n"/>
      <c r="R67" s="129" t="n"/>
      <c r="S67" s="174" t="n"/>
      <c r="T67" s="129" t="n"/>
      <c r="U67" s="129" t="n"/>
    </row>
    <row r="68">
      <c r="B68" s="129" t="n"/>
      <c r="C68" s="129" t="n"/>
      <c r="D68" s="129" t="n"/>
      <c r="E68" s="129" t="n"/>
      <c r="F68" s="130" t="n"/>
      <c r="G68" s="130" t="n"/>
      <c r="H68" s="106" t="n"/>
      <c r="I68" s="106" t="n"/>
      <c r="J68" s="133" t="str">
        <f>IF(B68="","",IF(E68="Concluído",1,IF(AND(N(H68)&gt;0,ISNUMBER(I68)),MIN(1,I68/H68),0)))</f>
        <v/>
      </c>
      <c r="K68" s="176" t="str">
        <f>IF(B68="","",SUMIF($R$10:$R$509,B68,$S$10:$S$509))</f>
        <v/>
      </c>
      <c r="L68" s="106" t="n"/>
      <c r="M68" s="135" t="n"/>
      <c r="N68" s="135" t="n"/>
      <c r="O68" t="str">
        <f>IF(AND(B68&lt;&gt;"",E68="Em andamento"),ROW(),"")</f>
        <v/>
      </c>
      <c r="Q68" s="130" t="n"/>
      <c r="R68" s="129" t="n"/>
      <c r="S68" s="174" t="n"/>
      <c r="T68" s="129" t="n"/>
      <c r="U68" s="129" t="n"/>
    </row>
    <row r="69">
      <c r="B69" s="129" t="n"/>
      <c r="C69" s="129" t="n"/>
      <c r="D69" s="129" t="n"/>
      <c r="E69" s="129" t="n"/>
      <c r="F69" s="130" t="n"/>
      <c r="G69" s="130" t="n"/>
      <c r="H69" s="106" t="n"/>
      <c r="I69" s="106" t="n"/>
      <c r="J69" s="133" t="str">
        <f>IF(B69="","",IF(E69="Concluído",1,IF(AND(N(H69)&gt;0,ISNUMBER(I69)),MIN(1,I69/H69),0)))</f>
        <v/>
      </c>
      <c r="K69" s="176" t="str">
        <f>IF(B69="","",SUMIF($R$10:$R$509,B69,$S$10:$S$509))</f>
        <v/>
      </c>
      <c r="L69" s="106" t="n"/>
      <c r="M69" s="135" t="n"/>
      <c r="N69" s="135" t="n"/>
      <c r="O69" t="str">
        <f>IF(AND(B69&lt;&gt;"",E69="Em andamento"),ROW(),"")</f>
        <v/>
      </c>
      <c r="Q69" s="130" t="n"/>
      <c r="R69" s="129" t="n"/>
      <c r="S69" s="174" t="n"/>
      <c r="T69" s="129" t="n"/>
      <c r="U69" s="129" t="n"/>
    </row>
    <row r="70">
      <c r="B70" s="129" t="n"/>
      <c r="C70" s="129" t="n"/>
      <c r="D70" s="129" t="n"/>
      <c r="E70" s="129" t="n"/>
      <c r="F70" s="130" t="n"/>
      <c r="G70" s="130" t="n"/>
      <c r="H70" s="106" t="n"/>
      <c r="I70" s="106" t="n"/>
      <c r="J70" s="133" t="str">
        <f>IF(B70="","",IF(E70="Concluído",1,IF(AND(N(H70)&gt;0,ISNUMBER(I70)),MIN(1,I70/H70),0)))</f>
        <v/>
      </c>
      <c r="K70" s="176" t="str">
        <f>IF(B70="","",SUMIF($R$10:$R$509,B70,$S$10:$S$509))</f>
        <v/>
      </c>
      <c r="L70" s="106" t="n"/>
      <c r="M70" s="135" t="n"/>
      <c r="N70" s="135" t="n"/>
      <c r="O70" t="str">
        <f>IF(AND(B70&lt;&gt;"",E70="Em andamento"),ROW(),"")</f>
        <v/>
      </c>
      <c r="Q70" s="130" t="n"/>
      <c r="R70" s="129" t="n"/>
      <c r="S70" s="174" t="n"/>
      <c r="T70" s="129" t="n"/>
      <c r="U70" s="129" t="n"/>
    </row>
    <row r="71">
      <c r="B71" s="129" t="n"/>
      <c r="C71" s="129" t="n"/>
      <c r="D71" s="129" t="n"/>
      <c r="E71" s="129" t="n"/>
      <c r="F71" s="130" t="n"/>
      <c r="G71" s="130" t="n"/>
      <c r="H71" s="106" t="n"/>
      <c r="I71" s="106" t="n"/>
      <c r="J71" s="133" t="str">
        <f>IF(B71="","",IF(E71="Concluído",1,IF(AND(N(H71)&gt;0,ISNUMBER(I71)),MIN(1,I71/H71),0)))</f>
        <v/>
      </c>
      <c r="K71" s="176" t="str">
        <f>IF(B71="","",SUMIF($R$10:$R$509,B71,$S$10:$S$509))</f>
        <v/>
      </c>
      <c r="L71" s="106" t="n"/>
      <c r="M71" s="135" t="n"/>
      <c r="N71" s="135" t="n"/>
      <c r="O71" t="str">
        <f>IF(AND(B71&lt;&gt;"",E71="Em andamento"),ROW(),"")</f>
        <v/>
      </c>
      <c r="Q71" s="130" t="n"/>
      <c r="R71" s="129" t="n"/>
      <c r="S71" s="174" t="n"/>
      <c r="T71" s="129" t="n"/>
      <c r="U71" s="129" t="n"/>
    </row>
    <row r="72">
      <c r="B72" s="129" t="n"/>
      <c r="C72" s="129" t="n"/>
      <c r="D72" s="129" t="n"/>
      <c r="E72" s="129" t="n"/>
      <c r="F72" s="130" t="n"/>
      <c r="G72" s="130" t="n"/>
      <c r="H72" s="106" t="n"/>
      <c r="I72" s="106" t="n"/>
      <c r="J72" s="133" t="str">
        <f>IF(B72="","",IF(E72="Concluído",1,IF(AND(N(H72)&gt;0,ISNUMBER(I72)),MIN(1,I72/H72),0)))</f>
        <v/>
      </c>
      <c r="K72" s="176" t="str">
        <f>IF(B72="","",SUMIF($R$10:$R$509,B72,$S$10:$S$509))</f>
        <v/>
      </c>
      <c r="L72" s="106" t="n"/>
      <c r="M72" s="135" t="n"/>
      <c r="N72" s="135" t="n"/>
      <c r="O72" t="str">
        <f>IF(AND(B72&lt;&gt;"",E72="Em andamento"),ROW(),"")</f>
        <v/>
      </c>
      <c r="Q72" s="130" t="n"/>
      <c r="R72" s="129" t="n"/>
      <c r="S72" s="174" t="n"/>
      <c r="T72" s="129" t="n"/>
      <c r="U72" s="129" t="n"/>
    </row>
    <row r="73">
      <c r="B73" s="129" t="n"/>
      <c r="C73" s="129" t="n"/>
      <c r="D73" s="129" t="n"/>
      <c r="E73" s="129" t="n"/>
      <c r="F73" s="130" t="n"/>
      <c r="G73" s="130" t="n"/>
      <c r="H73" s="106" t="n"/>
      <c r="I73" s="106" t="n"/>
      <c r="J73" s="133" t="str">
        <f>IF(B73="","",IF(E73="Concluído",1,IF(AND(N(H73)&gt;0,ISNUMBER(I73)),MIN(1,I73/H73),0)))</f>
        <v/>
      </c>
      <c r="K73" s="176" t="str">
        <f>IF(B73="","",SUMIF($R$10:$R$509,B73,$S$10:$S$509))</f>
        <v/>
      </c>
      <c r="L73" s="106" t="n"/>
      <c r="M73" s="135" t="n"/>
      <c r="N73" s="135" t="n"/>
      <c r="O73" t="str">
        <f>IF(AND(B73&lt;&gt;"",E73="Em andamento"),ROW(),"")</f>
        <v/>
      </c>
      <c r="Q73" s="130" t="n"/>
      <c r="R73" s="129" t="n"/>
      <c r="S73" s="174" t="n"/>
      <c r="T73" s="129" t="n"/>
      <c r="U73" s="129" t="n"/>
    </row>
    <row r="74">
      <c r="B74" s="129" t="n"/>
      <c r="C74" s="129" t="n"/>
      <c r="D74" s="129" t="n"/>
      <c r="E74" s="129" t="n"/>
      <c r="F74" s="130" t="n"/>
      <c r="G74" s="130" t="n"/>
      <c r="H74" s="106" t="n"/>
      <c r="I74" s="106" t="n"/>
      <c r="J74" s="133" t="str">
        <f>IF(B74="","",IF(E74="Concluído",1,IF(AND(N(H74)&gt;0,ISNUMBER(I74)),MIN(1,I74/H74),0)))</f>
        <v/>
      </c>
      <c r="K74" s="176" t="str">
        <f>IF(B74="","",SUMIF($R$10:$R$509,B74,$S$10:$S$509))</f>
        <v/>
      </c>
      <c r="L74" s="106" t="n"/>
      <c r="M74" s="135" t="n"/>
      <c r="N74" s="135" t="n"/>
      <c r="O74" t="str">
        <f>IF(AND(B74&lt;&gt;"",E74="Em andamento"),ROW(),"")</f>
        <v/>
      </c>
      <c r="Q74" s="130" t="n"/>
      <c r="R74" s="129" t="n"/>
      <c r="S74" s="174" t="n"/>
      <c r="T74" s="129" t="n"/>
      <c r="U74" s="129" t="n"/>
    </row>
    <row r="75">
      <c r="B75" s="129" t="n"/>
      <c r="C75" s="129" t="n"/>
      <c r="D75" s="129" t="n"/>
      <c r="E75" s="129" t="n"/>
      <c r="F75" s="130" t="n"/>
      <c r="G75" s="130" t="n"/>
      <c r="H75" s="106" t="n"/>
      <c r="I75" s="106" t="n"/>
      <c r="J75" s="133" t="str">
        <f>IF(B75="","",IF(E75="Concluído",1,IF(AND(N(H75)&gt;0,ISNUMBER(I75)),MIN(1,I75/H75),0)))</f>
        <v/>
      </c>
      <c r="K75" s="176" t="str">
        <f>IF(B75="","",SUMIF($R$10:$R$509,B75,$S$10:$S$509))</f>
        <v/>
      </c>
      <c r="L75" s="106" t="n"/>
      <c r="M75" s="135" t="n"/>
      <c r="N75" s="135" t="n"/>
      <c r="O75" t="str">
        <f>IF(AND(B75&lt;&gt;"",E75="Em andamento"),ROW(),"")</f>
        <v/>
      </c>
      <c r="Q75" s="130" t="n"/>
      <c r="R75" s="129" t="n"/>
      <c r="S75" s="174" t="n"/>
      <c r="T75" s="129" t="n"/>
      <c r="U75" s="129" t="n"/>
    </row>
    <row r="76">
      <c r="B76" s="129" t="n"/>
      <c r="C76" s="129" t="n"/>
      <c r="D76" s="129" t="n"/>
      <c r="E76" s="129" t="n"/>
      <c r="F76" s="130" t="n"/>
      <c r="G76" s="130" t="n"/>
      <c r="H76" s="106" t="n"/>
      <c r="I76" s="106" t="n"/>
      <c r="J76" s="133" t="str">
        <f>IF(B76="","",IF(E76="Concluído",1,IF(AND(N(H76)&gt;0,ISNUMBER(I76)),MIN(1,I76/H76),0)))</f>
        <v/>
      </c>
      <c r="K76" s="176" t="str">
        <f>IF(B76="","",SUMIF($R$10:$R$509,B76,$S$10:$S$509))</f>
        <v/>
      </c>
      <c r="L76" s="106" t="n"/>
      <c r="M76" s="135" t="n"/>
      <c r="N76" s="135" t="n"/>
      <c r="O76" t="str">
        <f>IF(AND(B76&lt;&gt;"",E76="Em andamento"),ROW(),"")</f>
        <v/>
      </c>
      <c r="Q76" s="130" t="n"/>
      <c r="R76" s="129" t="n"/>
      <c r="S76" s="174" t="n"/>
      <c r="T76" s="129" t="n"/>
      <c r="U76" s="129" t="n"/>
    </row>
    <row r="77">
      <c r="B77" s="129" t="n"/>
      <c r="C77" s="129" t="n"/>
      <c r="D77" s="129" t="n"/>
      <c r="E77" s="129" t="n"/>
      <c r="F77" s="130" t="n"/>
      <c r="G77" s="130" t="n"/>
      <c r="H77" s="106" t="n"/>
      <c r="I77" s="106" t="n"/>
      <c r="J77" s="133" t="str">
        <f>IF(B77="","",IF(E77="Concluído",1,IF(AND(N(H77)&gt;0,ISNUMBER(I77)),MIN(1,I77/H77),0)))</f>
        <v/>
      </c>
      <c r="K77" s="176" t="str">
        <f>IF(B77="","",SUMIF($R$10:$R$509,B77,$S$10:$S$509))</f>
        <v/>
      </c>
      <c r="L77" s="106" t="n"/>
      <c r="M77" s="135" t="n"/>
      <c r="N77" s="135" t="n"/>
      <c r="O77" t="str">
        <f>IF(AND(B77&lt;&gt;"",E77="Em andamento"),ROW(),"")</f>
        <v/>
      </c>
      <c r="Q77" s="130" t="n"/>
      <c r="R77" s="129" t="n"/>
      <c r="S77" s="174" t="n"/>
      <c r="T77" s="129" t="n"/>
      <c r="U77" s="129" t="n"/>
    </row>
    <row r="78">
      <c r="B78" s="129" t="n"/>
      <c r="C78" s="129" t="n"/>
      <c r="D78" s="129" t="n"/>
      <c r="E78" s="129" t="n"/>
      <c r="F78" s="130" t="n"/>
      <c r="G78" s="130" t="n"/>
      <c r="H78" s="106" t="n"/>
      <c r="I78" s="106" t="n"/>
      <c r="J78" s="133" t="str">
        <f>IF(B78="","",IF(E78="Concluído",1,IF(AND(N(H78)&gt;0,ISNUMBER(I78)),MIN(1,I78/H78),0)))</f>
        <v/>
      </c>
      <c r="K78" s="176" t="str">
        <f>IF(B78="","",SUMIF($R$10:$R$509,B78,$S$10:$S$509))</f>
        <v/>
      </c>
      <c r="L78" s="106" t="n"/>
      <c r="M78" s="135" t="n"/>
      <c r="N78" s="135" t="n"/>
      <c r="O78" t="str">
        <f>IF(AND(B78&lt;&gt;"",E78="Em andamento"),ROW(),"")</f>
        <v/>
      </c>
      <c r="Q78" s="130" t="n"/>
      <c r="R78" s="129" t="n"/>
      <c r="S78" s="174" t="n"/>
      <c r="T78" s="129" t="n"/>
      <c r="U78" s="129" t="n"/>
    </row>
    <row r="79">
      <c r="B79" s="129" t="n"/>
      <c r="C79" s="129" t="n"/>
      <c r="D79" s="129" t="n"/>
      <c r="E79" s="129" t="n"/>
      <c r="F79" s="130" t="n"/>
      <c r="G79" s="130" t="n"/>
      <c r="H79" s="106" t="n"/>
      <c r="I79" s="106" t="n"/>
      <c r="J79" s="133" t="str">
        <f>IF(B79="","",IF(E79="Concluído",1,IF(AND(N(H79)&gt;0,ISNUMBER(I79)),MIN(1,I79/H79),0)))</f>
        <v/>
      </c>
      <c r="K79" s="176" t="str">
        <f>IF(B79="","",SUMIF($R$10:$R$509,B79,$S$10:$S$509))</f>
        <v/>
      </c>
      <c r="L79" s="106" t="n"/>
      <c r="M79" s="135" t="n"/>
      <c r="N79" s="135" t="n"/>
      <c r="O79" t="str">
        <f>IF(AND(B79&lt;&gt;"",E79="Em andamento"),ROW(),"")</f>
        <v/>
      </c>
      <c r="Q79" s="130" t="n"/>
      <c r="R79" s="129" t="n"/>
      <c r="S79" s="174" t="n"/>
      <c r="T79" s="129" t="n"/>
      <c r="U79" s="129" t="n"/>
    </row>
    <row r="80">
      <c r="B80" s="129" t="n"/>
      <c r="C80" s="129" t="n"/>
      <c r="D80" s="129" t="n"/>
      <c r="E80" s="129" t="n"/>
      <c r="F80" s="130" t="n"/>
      <c r="G80" s="130" t="n"/>
      <c r="H80" s="106" t="n"/>
      <c r="I80" s="106" t="n"/>
      <c r="J80" s="133" t="str">
        <f>IF(B80="","",IF(E80="Concluído",1,IF(AND(N(H80)&gt;0,ISNUMBER(I80)),MIN(1,I80/H80),0)))</f>
        <v/>
      </c>
      <c r="K80" s="176" t="str">
        <f>IF(B80="","",SUMIF($R$10:$R$509,B80,$S$10:$S$509))</f>
        <v/>
      </c>
      <c r="L80" s="106" t="n"/>
      <c r="M80" s="135" t="n"/>
      <c r="N80" s="135" t="n"/>
      <c r="O80" t="str">
        <f>IF(AND(B80&lt;&gt;"",E80="Em andamento"),ROW(),"")</f>
        <v/>
      </c>
      <c r="Q80" s="130" t="n"/>
      <c r="R80" s="129" t="n"/>
      <c r="S80" s="174" t="n"/>
      <c r="T80" s="129" t="n"/>
      <c r="U80" s="129" t="n"/>
    </row>
    <row r="81">
      <c r="B81" s="129" t="n"/>
      <c r="C81" s="129" t="n"/>
      <c r="D81" s="129" t="n"/>
      <c r="E81" s="129" t="n"/>
      <c r="F81" s="130" t="n"/>
      <c r="G81" s="130" t="n"/>
      <c r="H81" s="106" t="n"/>
      <c r="I81" s="106" t="n"/>
      <c r="J81" s="133" t="str">
        <f>IF(B81="","",IF(E81="Concluído",1,IF(AND(N(H81)&gt;0,ISNUMBER(I81)),MIN(1,I81/H81),0)))</f>
        <v/>
      </c>
      <c r="K81" s="176" t="str">
        <f>IF(B81="","",SUMIF($R$10:$R$509,B81,$S$10:$S$509))</f>
        <v/>
      </c>
      <c r="L81" s="106" t="n"/>
      <c r="M81" s="135" t="n"/>
      <c r="N81" s="135" t="n"/>
      <c r="O81" t="str">
        <f>IF(AND(B81&lt;&gt;"",E81="Em andamento"),ROW(),"")</f>
        <v/>
      </c>
      <c r="Q81" s="130" t="n"/>
      <c r="R81" s="129" t="n"/>
      <c r="S81" s="174" t="n"/>
      <c r="T81" s="129" t="n"/>
      <c r="U81" s="129" t="n"/>
    </row>
    <row r="82">
      <c r="B82" s="129" t="n"/>
      <c r="C82" s="129" t="n"/>
      <c r="D82" s="129" t="n"/>
      <c r="E82" s="129" t="n"/>
      <c r="F82" s="130" t="n"/>
      <c r="G82" s="130" t="n"/>
      <c r="H82" s="106" t="n"/>
      <c r="I82" s="106" t="n"/>
      <c r="J82" s="133" t="str">
        <f>IF(B82="","",IF(E82="Concluído",1,IF(AND(N(H82)&gt;0,ISNUMBER(I82)),MIN(1,I82/H82),0)))</f>
        <v/>
      </c>
      <c r="K82" s="176" t="str">
        <f>IF(B82="","",SUMIF($R$10:$R$509,B82,$S$10:$S$509))</f>
        <v/>
      </c>
      <c r="L82" s="106" t="n"/>
      <c r="M82" s="135" t="n"/>
      <c r="N82" s="135" t="n"/>
      <c r="O82" t="str">
        <f>IF(AND(B82&lt;&gt;"",E82="Em andamento"),ROW(),"")</f>
        <v/>
      </c>
      <c r="Q82" s="130" t="n"/>
      <c r="R82" s="129" t="n"/>
      <c r="S82" s="174" t="n"/>
      <c r="T82" s="129" t="n"/>
      <c r="U82" s="129" t="n"/>
    </row>
    <row r="83">
      <c r="B83" s="129" t="n"/>
      <c r="C83" s="129" t="n"/>
      <c r="D83" s="129" t="n"/>
      <c r="E83" s="129" t="n"/>
      <c r="F83" s="130" t="n"/>
      <c r="G83" s="130" t="n"/>
      <c r="H83" s="106" t="n"/>
      <c r="I83" s="106" t="n"/>
      <c r="J83" s="133" t="str">
        <f>IF(B83="","",IF(E83="Concluído",1,IF(AND(N(H83)&gt;0,ISNUMBER(I83)),MIN(1,I83/H83),0)))</f>
        <v/>
      </c>
      <c r="K83" s="176" t="str">
        <f>IF(B83="","",SUMIF($R$10:$R$509,B83,$S$10:$S$509))</f>
        <v/>
      </c>
      <c r="L83" s="106" t="n"/>
      <c r="M83" s="135" t="n"/>
      <c r="N83" s="135" t="n"/>
      <c r="O83" t="str">
        <f>IF(AND(B83&lt;&gt;"",E83="Em andamento"),ROW(),"")</f>
        <v/>
      </c>
      <c r="Q83" s="130" t="n"/>
      <c r="R83" s="129" t="n"/>
      <c r="S83" s="174" t="n"/>
      <c r="T83" s="129" t="n"/>
      <c r="U83" s="129" t="n"/>
    </row>
    <row r="84">
      <c r="B84" s="129" t="n"/>
      <c r="C84" s="129" t="n"/>
      <c r="D84" s="129" t="n"/>
      <c r="E84" s="129" t="n"/>
      <c r="F84" s="130" t="n"/>
      <c r="G84" s="130" t="n"/>
      <c r="H84" s="106" t="n"/>
      <c r="I84" s="106" t="n"/>
      <c r="J84" s="133" t="str">
        <f>IF(B84="","",IF(E84="Concluído",1,IF(AND(N(H84)&gt;0,ISNUMBER(I84)),MIN(1,I84/H84),0)))</f>
        <v/>
      </c>
      <c r="K84" s="176" t="str">
        <f>IF(B84="","",SUMIF($R$10:$R$509,B84,$S$10:$S$509))</f>
        <v/>
      </c>
      <c r="L84" s="106" t="n"/>
      <c r="M84" s="135" t="n"/>
      <c r="N84" s="135" t="n"/>
      <c r="O84" t="str">
        <f>IF(AND(B84&lt;&gt;"",E84="Em andamento"),ROW(),"")</f>
        <v/>
      </c>
      <c r="Q84" s="130" t="n"/>
      <c r="R84" s="129" t="n"/>
      <c r="S84" s="174" t="n"/>
      <c r="T84" s="129" t="n"/>
      <c r="U84" s="129" t="n"/>
    </row>
    <row r="85">
      <c r="B85" s="129" t="n"/>
      <c r="C85" s="129" t="n"/>
      <c r="D85" s="129" t="n"/>
      <c r="E85" s="129" t="n"/>
      <c r="F85" s="130" t="n"/>
      <c r="G85" s="130" t="n"/>
      <c r="H85" s="106" t="n"/>
      <c r="I85" s="106" t="n"/>
      <c r="J85" s="133" t="str">
        <f>IF(B85="","",IF(E85="Concluído",1,IF(AND(N(H85)&gt;0,ISNUMBER(I85)),MIN(1,I85/H85),0)))</f>
        <v/>
      </c>
      <c r="K85" s="176" t="str">
        <f>IF(B85="","",SUMIF($R$10:$R$509,B85,$S$10:$S$509))</f>
        <v/>
      </c>
      <c r="L85" s="106" t="n"/>
      <c r="M85" s="135" t="n"/>
      <c r="N85" s="135" t="n"/>
      <c r="O85" t="str">
        <f>IF(AND(B85&lt;&gt;"",E85="Em andamento"),ROW(),"")</f>
        <v/>
      </c>
      <c r="Q85" s="130" t="n"/>
      <c r="R85" s="129" t="n"/>
      <c r="S85" s="174" t="n"/>
      <c r="T85" s="129" t="n"/>
      <c r="U85" s="129" t="n"/>
    </row>
    <row r="86">
      <c r="B86" s="129" t="n"/>
      <c r="C86" s="129" t="n"/>
      <c r="D86" s="129" t="n"/>
      <c r="E86" s="129" t="n"/>
      <c r="F86" s="130" t="n"/>
      <c r="G86" s="130" t="n"/>
      <c r="H86" s="106" t="n"/>
      <c r="I86" s="106" t="n"/>
      <c r="J86" s="133" t="str">
        <f>IF(B86="","",IF(E86="Concluído",1,IF(AND(N(H86)&gt;0,ISNUMBER(I86)),MIN(1,I86/H86),0)))</f>
        <v/>
      </c>
      <c r="K86" s="176" t="str">
        <f>IF(B86="","",SUMIF($R$10:$R$509,B86,$S$10:$S$509))</f>
        <v/>
      </c>
      <c r="L86" s="106" t="n"/>
      <c r="M86" s="135" t="n"/>
      <c r="N86" s="135" t="n"/>
      <c r="O86" t="str">
        <f>IF(AND(B86&lt;&gt;"",E86="Em andamento"),ROW(),"")</f>
        <v/>
      </c>
      <c r="Q86" s="130" t="n"/>
      <c r="R86" s="129" t="n"/>
      <c r="S86" s="174" t="n"/>
      <c r="T86" s="129" t="n"/>
      <c r="U86" s="129" t="n"/>
    </row>
    <row r="87">
      <c r="B87" s="129" t="n"/>
      <c r="C87" s="129" t="n"/>
      <c r="D87" s="129" t="n"/>
      <c r="E87" s="129" t="n"/>
      <c r="F87" s="130" t="n"/>
      <c r="G87" s="130" t="n"/>
      <c r="H87" s="106" t="n"/>
      <c r="I87" s="106" t="n"/>
      <c r="J87" s="133" t="str">
        <f>IF(B87="","",IF(E87="Concluído",1,IF(AND(N(H87)&gt;0,ISNUMBER(I87)),MIN(1,I87/H87),0)))</f>
        <v/>
      </c>
      <c r="K87" s="176" t="str">
        <f>IF(B87="","",SUMIF($R$10:$R$509,B87,$S$10:$S$509))</f>
        <v/>
      </c>
      <c r="L87" s="106" t="n"/>
      <c r="M87" s="135" t="n"/>
      <c r="N87" s="135" t="n"/>
      <c r="O87" t="str">
        <f>IF(AND(B87&lt;&gt;"",E87="Em andamento"),ROW(),"")</f>
        <v/>
      </c>
      <c r="Q87" s="130" t="n"/>
      <c r="R87" s="129" t="n"/>
      <c r="S87" s="174" t="n"/>
      <c r="T87" s="129" t="n"/>
      <c r="U87" s="129" t="n"/>
    </row>
    <row r="88">
      <c r="B88" s="129" t="n"/>
      <c r="C88" s="129" t="n"/>
      <c r="D88" s="129" t="n"/>
      <c r="E88" s="129" t="n"/>
      <c r="F88" s="130" t="n"/>
      <c r="G88" s="130" t="n"/>
      <c r="H88" s="106" t="n"/>
      <c r="I88" s="106" t="n"/>
      <c r="J88" s="133" t="str">
        <f>IF(B88="","",IF(E88="Concluído",1,IF(AND(N(H88)&gt;0,ISNUMBER(I88)),MIN(1,I88/H88),0)))</f>
        <v/>
      </c>
      <c r="K88" s="176" t="str">
        <f>IF(B88="","",SUMIF($R$10:$R$509,B88,$S$10:$S$509))</f>
        <v/>
      </c>
      <c r="L88" s="106" t="n"/>
      <c r="M88" s="135" t="n"/>
      <c r="N88" s="135" t="n"/>
      <c r="O88" t="str">
        <f>IF(AND(B88&lt;&gt;"",E88="Em andamento"),ROW(),"")</f>
        <v/>
      </c>
      <c r="Q88" s="130" t="n"/>
      <c r="R88" s="129" t="n"/>
      <c r="S88" s="174" t="n"/>
      <c r="T88" s="129" t="n"/>
      <c r="U88" s="129" t="n"/>
    </row>
    <row r="89">
      <c r="B89" s="129" t="n"/>
      <c r="C89" s="129" t="n"/>
      <c r="D89" s="129" t="n"/>
      <c r="E89" s="129" t="n"/>
      <c r="F89" s="130" t="n"/>
      <c r="G89" s="130" t="n"/>
      <c r="H89" s="106" t="n"/>
      <c r="I89" s="106" t="n"/>
      <c r="J89" s="133" t="str">
        <f>IF(B89="","",IF(E89="Concluído",1,IF(AND(N(H89)&gt;0,ISNUMBER(I89)),MIN(1,I89/H89),0)))</f>
        <v/>
      </c>
      <c r="K89" s="176" t="str">
        <f>IF(B89="","",SUMIF($R$10:$R$509,B89,$S$10:$S$509))</f>
        <v/>
      </c>
      <c r="L89" s="106" t="n"/>
      <c r="M89" s="135" t="n"/>
      <c r="N89" s="135" t="n"/>
      <c r="O89" t="str">
        <f>IF(AND(B89&lt;&gt;"",E89="Em andamento"),ROW(),"")</f>
        <v/>
      </c>
      <c r="Q89" s="130" t="n"/>
      <c r="R89" s="129" t="n"/>
      <c r="S89" s="174" t="n"/>
      <c r="T89" s="129" t="n"/>
      <c r="U89" s="129" t="n"/>
    </row>
    <row r="90">
      <c r="Q90" s="130" t="n"/>
      <c r="R90" s="129" t="n"/>
      <c r="S90" s="174" t="n"/>
      <c r="T90" s="129" t="n"/>
      <c r="U90" s="129" t="n"/>
    </row>
    <row r="91">
      <c r="Q91" s="130" t="n"/>
      <c r="R91" s="129" t="n"/>
      <c r="S91" s="174" t="n"/>
      <c r="T91" s="129" t="n"/>
      <c r="U91" s="129" t="n"/>
    </row>
    <row r="92">
      <c r="Q92" s="130" t="n"/>
      <c r="R92" s="129" t="n"/>
      <c r="S92" s="174" t="n"/>
      <c r="T92" s="129" t="n"/>
      <c r="U92" s="129" t="n"/>
    </row>
    <row r="93">
      <c r="Q93" s="130" t="n"/>
      <c r="R93" s="129" t="n"/>
      <c r="S93" s="174" t="n"/>
      <c r="T93" s="129" t="n"/>
      <c r="U93" s="129" t="n"/>
    </row>
    <row r="94">
      <c r="Q94" s="130" t="n"/>
      <c r="R94" s="129" t="n"/>
      <c r="S94" s="174" t="n"/>
      <c r="T94" s="129" t="n"/>
      <c r="U94" s="129" t="n"/>
    </row>
    <row r="95">
      <c r="Q95" s="130" t="n"/>
      <c r="R95" s="129" t="n"/>
      <c r="S95" s="174" t="n"/>
      <c r="T95" s="129" t="n"/>
      <c r="U95" s="129" t="n"/>
    </row>
    <row r="96">
      <c r="Q96" s="130" t="n"/>
      <c r="R96" s="129" t="n"/>
      <c r="S96" s="174" t="n"/>
      <c r="T96" s="129" t="n"/>
      <c r="U96" s="129" t="n"/>
    </row>
    <row r="97">
      <c r="Q97" s="130" t="n"/>
      <c r="R97" s="129" t="n"/>
      <c r="S97" s="174" t="n"/>
      <c r="T97" s="129" t="n"/>
      <c r="U97" s="129" t="n"/>
    </row>
    <row r="98">
      <c r="Q98" s="130" t="n"/>
      <c r="R98" s="129" t="n"/>
      <c r="S98" s="174" t="n"/>
      <c r="T98" s="129" t="n"/>
      <c r="U98" s="129" t="n"/>
    </row>
    <row r="99">
      <c r="Q99" s="130" t="n"/>
      <c r="R99" s="129" t="n"/>
      <c r="S99" s="174" t="n"/>
      <c r="T99" s="129" t="n"/>
      <c r="U99" s="129" t="n"/>
    </row>
    <row r="100">
      <c r="Q100" s="130" t="n"/>
      <c r="R100" s="129" t="n"/>
      <c r="S100" s="174" t="n"/>
      <c r="T100" s="129" t="n"/>
      <c r="U100" s="129" t="n"/>
    </row>
    <row r="101">
      <c r="Q101" s="130" t="n"/>
      <c r="R101" s="129" t="n"/>
      <c r="S101" s="174" t="n"/>
      <c r="T101" s="129" t="n"/>
      <c r="U101" s="129" t="n"/>
    </row>
    <row r="102">
      <c r="Q102" s="130" t="n"/>
      <c r="R102" s="129" t="n"/>
      <c r="S102" s="174" t="n"/>
      <c r="T102" s="129" t="n"/>
      <c r="U102" s="129" t="n"/>
    </row>
    <row r="103">
      <c r="Q103" s="130" t="n"/>
      <c r="R103" s="129" t="n"/>
      <c r="S103" s="174" t="n"/>
      <c r="T103" s="129" t="n"/>
      <c r="U103" s="129" t="n"/>
    </row>
    <row r="104">
      <c r="Q104" s="130" t="n"/>
      <c r="R104" s="129" t="n"/>
      <c r="S104" s="174" t="n"/>
      <c r="T104" s="129" t="n"/>
      <c r="U104" s="129" t="n"/>
    </row>
    <row r="105">
      <c r="Q105" s="130" t="n"/>
      <c r="R105" s="129" t="n"/>
      <c r="S105" s="174" t="n"/>
      <c r="T105" s="129" t="n"/>
      <c r="U105" s="129" t="n"/>
    </row>
    <row r="106">
      <c r="Q106" s="130" t="n"/>
      <c r="R106" s="129" t="n"/>
      <c r="S106" s="174" t="n"/>
      <c r="T106" s="129" t="n"/>
      <c r="U106" s="129" t="n"/>
    </row>
    <row r="107">
      <c r="Q107" s="130" t="n"/>
      <c r="R107" s="129" t="n"/>
      <c r="S107" s="174" t="n"/>
      <c r="T107" s="129" t="n"/>
      <c r="U107" s="129" t="n"/>
    </row>
    <row r="108">
      <c r="Q108" s="130" t="n"/>
      <c r="R108" s="129" t="n"/>
      <c r="S108" s="174" t="n"/>
      <c r="T108" s="129" t="n"/>
      <c r="U108" s="129" t="n"/>
    </row>
    <row r="109">
      <c r="Q109" s="130" t="n"/>
      <c r="R109" s="129" t="n"/>
      <c r="S109" s="174" t="n"/>
      <c r="T109" s="129" t="n"/>
      <c r="U109" s="129" t="n"/>
    </row>
    <row r="110">
      <c r="Q110" s="130" t="n"/>
      <c r="R110" s="129" t="n"/>
      <c r="S110" s="174" t="n"/>
      <c r="T110" s="129" t="n"/>
      <c r="U110" s="129" t="n"/>
    </row>
    <row r="111">
      <c r="Q111" s="130" t="n"/>
      <c r="R111" s="129" t="n"/>
      <c r="S111" s="174" t="n"/>
      <c r="T111" s="129" t="n"/>
      <c r="U111" s="129" t="n"/>
    </row>
    <row r="112">
      <c r="Q112" s="130" t="n"/>
      <c r="R112" s="129" t="n"/>
      <c r="S112" s="174" t="n"/>
      <c r="T112" s="129" t="n"/>
      <c r="U112" s="129" t="n"/>
    </row>
    <row r="113">
      <c r="Q113" s="130" t="n"/>
      <c r="R113" s="129" t="n"/>
      <c r="S113" s="174" t="n"/>
      <c r="T113" s="129" t="n"/>
      <c r="U113" s="129" t="n"/>
    </row>
    <row r="114">
      <c r="Q114" s="130" t="n"/>
      <c r="R114" s="129" t="n"/>
      <c r="S114" s="174" t="n"/>
      <c r="T114" s="129" t="n"/>
      <c r="U114" s="129" t="n"/>
    </row>
    <row r="115">
      <c r="Q115" s="130" t="n"/>
      <c r="R115" s="129" t="n"/>
      <c r="S115" s="174" t="n"/>
      <c r="T115" s="129" t="n"/>
      <c r="U115" s="129" t="n"/>
    </row>
    <row r="116">
      <c r="Q116" s="130" t="n"/>
      <c r="R116" s="129" t="n"/>
      <c r="S116" s="174" t="n"/>
      <c r="T116" s="129" t="n"/>
      <c r="U116" s="129" t="n"/>
    </row>
    <row r="117">
      <c r="Q117" s="130" t="n"/>
      <c r="R117" s="129" t="n"/>
      <c r="S117" s="174" t="n"/>
      <c r="T117" s="129" t="n"/>
      <c r="U117" s="129" t="n"/>
    </row>
    <row r="118">
      <c r="Q118" s="130" t="n"/>
      <c r="R118" s="129" t="n"/>
      <c r="S118" s="174" t="n"/>
      <c r="T118" s="129" t="n"/>
      <c r="U118" s="129" t="n"/>
    </row>
    <row r="119">
      <c r="Q119" s="130" t="n"/>
      <c r="R119" s="129" t="n"/>
      <c r="S119" s="174" t="n"/>
      <c r="T119" s="129" t="n"/>
      <c r="U119" s="129" t="n"/>
    </row>
    <row r="120">
      <c r="Q120" s="130" t="n"/>
      <c r="R120" s="129" t="n"/>
      <c r="S120" s="174" t="n"/>
      <c r="T120" s="129" t="n"/>
      <c r="U120" s="129" t="n"/>
    </row>
    <row r="121">
      <c r="Q121" s="130" t="n"/>
      <c r="R121" s="129" t="n"/>
      <c r="S121" s="174" t="n"/>
      <c r="T121" s="129" t="n"/>
      <c r="U121" s="129" t="n"/>
    </row>
    <row r="122">
      <c r="Q122" s="130" t="n"/>
      <c r="R122" s="129" t="n"/>
      <c r="S122" s="174" t="n"/>
      <c r="T122" s="129" t="n"/>
      <c r="U122" s="129" t="n"/>
    </row>
    <row r="123">
      <c r="Q123" s="130" t="n"/>
      <c r="R123" s="129" t="n"/>
      <c r="S123" s="174" t="n"/>
      <c r="T123" s="129" t="n"/>
      <c r="U123" s="129" t="n"/>
    </row>
    <row r="124">
      <c r="Q124" s="130" t="n"/>
      <c r="R124" s="129" t="n"/>
      <c r="S124" s="174" t="n"/>
      <c r="T124" s="129" t="n"/>
      <c r="U124" s="129" t="n"/>
    </row>
    <row r="125">
      <c r="Q125" s="130" t="n"/>
      <c r="R125" s="129" t="n"/>
      <c r="S125" s="174" t="n"/>
      <c r="T125" s="129" t="n"/>
      <c r="U125" s="129" t="n"/>
    </row>
    <row r="126">
      <c r="Q126" s="130" t="n"/>
      <c r="R126" s="129" t="n"/>
      <c r="S126" s="174" t="n"/>
      <c r="T126" s="129" t="n"/>
      <c r="U126" s="129" t="n"/>
    </row>
    <row r="127">
      <c r="Q127" s="130" t="n"/>
      <c r="R127" s="129" t="n"/>
      <c r="S127" s="174" t="n"/>
      <c r="T127" s="129" t="n"/>
      <c r="U127" s="129" t="n"/>
    </row>
    <row r="128">
      <c r="Q128" s="130" t="n"/>
      <c r="R128" s="129" t="n"/>
      <c r="S128" s="174" t="n"/>
      <c r="T128" s="129" t="n"/>
      <c r="U128" s="129" t="n"/>
    </row>
    <row r="129">
      <c r="Q129" s="130" t="n"/>
      <c r="R129" s="129" t="n"/>
      <c r="S129" s="174" t="n"/>
      <c r="T129" s="129" t="n"/>
      <c r="U129" s="129" t="n"/>
    </row>
    <row r="130">
      <c r="Q130" s="130" t="n"/>
      <c r="R130" s="129" t="n"/>
      <c r="S130" s="174" t="n"/>
      <c r="T130" s="129" t="n"/>
      <c r="U130" s="129" t="n"/>
    </row>
    <row r="131">
      <c r="Q131" s="130" t="n"/>
      <c r="R131" s="129" t="n"/>
      <c r="S131" s="174" t="n"/>
      <c r="T131" s="129" t="n"/>
      <c r="U131" s="129" t="n"/>
    </row>
    <row r="132">
      <c r="Q132" s="130" t="n"/>
      <c r="R132" s="129" t="n"/>
      <c r="S132" s="174" t="n"/>
      <c r="T132" s="129" t="n"/>
      <c r="U132" s="129" t="n"/>
    </row>
    <row r="133">
      <c r="Q133" s="130" t="n"/>
      <c r="R133" s="129" t="n"/>
      <c r="S133" s="174" t="n"/>
      <c r="T133" s="129" t="n"/>
      <c r="U133" s="129" t="n"/>
    </row>
    <row r="134">
      <c r="Q134" s="130" t="n"/>
      <c r="R134" s="129" t="n"/>
      <c r="S134" s="174" t="n"/>
      <c r="T134" s="129" t="n"/>
      <c r="U134" s="129" t="n"/>
    </row>
    <row r="135">
      <c r="Q135" s="130" t="n"/>
      <c r="R135" s="129" t="n"/>
      <c r="S135" s="174" t="n"/>
      <c r="T135" s="129" t="n"/>
      <c r="U135" s="129" t="n"/>
    </row>
    <row r="136">
      <c r="Q136" s="130" t="n"/>
      <c r="R136" s="129" t="n"/>
      <c r="S136" s="174" t="n"/>
      <c r="T136" s="129" t="n"/>
      <c r="U136" s="129" t="n"/>
    </row>
    <row r="137">
      <c r="Q137" s="130" t="n"/>
      <c r="R137" s="129" t="n"/>
      <c r="S137" s="174" t="n"/>
      <c r="T137" s="129" t="n"/>
      <c r="U137" s="129" t="n"/>
    </row>
    <row r="138">
      <c r="Q138" s="130" t="n"/>
      <c r="R138" s="129" t="n"/>
      <c r="S138" s="174" t="n"/>
      <c r="T138" s="129" t="n"/>
      <c r="U138" s="129" t="n"/>
    </row>
    <row r="139">
      <c r="Q139" s="130" t="n"/>
      <c r="R139" s="129" t="n"/>
      <c r="S139" s="174" t="n"/>
      <c r="T139" s="129" t="n"/>
      <c r="U139" s="129" t="n"/>
    </row>
    <row r="140">
      <c r="Q140" s="130" t="n"/>
      <c r="R140" s="129" t="n"/>
      <c r="S140" s="174" t="n"/>
      <c r="T140" s="129" t="n"/>
      <c r="U140" s="129" t="n"/>
    </row>
    <row r="141">
      <c r="Q141" s="130" t="n"/>
      <c r="R141" s="129" t="n"/>
      <c r="S141" s="174" t="n"/>
      <c r="T141" s="129" t="n"/>
      <c r="U141" s="129" t="n"/>
    </row>
    <row r="142">
      <c r="Q142" s="130" t="n"/>
      <c r="R142" s="129" t="n"/>
      <c r="S142" s="174" t="n"/>
      <c r="T142" s="129" t="n"/>
      <c r="U142" s="129" t="n"/>
    </row>
    <row r="143">
      <c r="Q143" s="130" t="n"/>
      <c r="R143" s="129" t="n"/>
      <c r="S143" s="174" t="n"/>
      <c r="T143" s="129" t="n"/>
      <c r="U143" s="129" t="n"/>
    </row>
    <row r="144">
      <c r="Q144" s="130" t="n"/>
      <c r="R144" s="129" t="n"/>
      <c r="S144" s="174" t="n"/>
      <c r="T144" s="129" t="n"/>
      <c r="U144" s="129" t="n"/>
    </row>
    <row r="145">
      <c r="Q145" s="130" t="n"/>
      <c r="R145" s="129" t="n"/>
      <c r="S145" s="174" t="n"/>
      <c r="T145" s="129" t="n"/>
      <c r="U145" s="129" t="n"/>
    </row>
    <row r="146">
      <c r="Q146" s="130" t="n"/>
      <c r="R146" s="129" t="n"/>
      <c r="S146" s="174" t="n"/>
      <c r="T146" s="129" t="n"/>
      <c r="U146" s="129" t="n"/>
    </row>
    <row r="147">
      <c r="Q147" s="130" t="n"/>
      <c r="R147" s="129" t="n"/>
      <c r="S147" s="174" t="n"/>
      <c r="T147" s="129" t="n"/>
      <c r="U147" s="129" t="n"/>
    </row>
    <row r="148">
      <c r="Q148" s="130" t="n"/>
      <c r="R148" s="129" t="n"/>
      <c r="S148" s="174" t="n"/>
      <c r="T148" s="129" t="n"/>
      <c r="U148" s="129" t="n"/>
    </row>
    <row r="149">
      <c r="Q149" s="130" t="n"/>
      <c r="R149" s="129" t="n"/>
      <c r="S149" s="174" t="n"/>
      <c r="T149" s="129" t="n"/>
      <c r="U149" s="129" t="n"/>
    </row>
    <row r="150">
      <c r="Q150" s="130" t="n"/>
      <c r="R150" s="129" t="n"/>
      <c r="S150" s="174" t="n"/>
      <c r="T150" s="129" t="n"/>
      <c r="U150" s="129" t="n"/>
    </row>
    <row r="151">
      <c r="Q151" s="130" t="n"/>
      <c r="R151" s="129" t="n"/>
      <c r="S151" s="174" t="n"/>
      <c r="T151" s="129" t="n"/>
      <c r="U151" s="129" t="n"/>
    </row>
    <row r="152">
      <c r="Q152" s="130" t="n"/>
      <c r="R152" s="129" t="n"/>
      <c r="S152" s="174" t="n"/>
      <c r="T152" s="129" t="n"/>
      <c r="U152" s="129" t="n"/>
    </row>
    <row r="153">
      <c r="Q153" s="130" t="n"/>
      <c r="R153" s="129" t="n"/>
      <c r="S153" s="174" t="n"/>
      <c r="T153" s="129" t="n"/>
      <c r="U153" s="129" t="n"/>
    </row>
    <row r="154">
      <c r="Q154" s="130" t="n"/>
      <c r="R154" s="129" t="n"/>
      <c r="S154" s="174" t="n"/>
      <c r="T154" s="129" t="n"/>
      <c r="U154" s="129" t="n"/>
    </row>
    <row r="155">
      <c r="Q155" s="130" t="n"/>
      <c r="R155" s="129" t="n"/>
      <c r="S155" s="174" t="n"/>
      <c r="T155" s="129" t="n"/>
      <c r="U155" s="129" t="n"/>
    </row>
    <row r="156">
      <c r="Q156" s="130" t="n"/>
      <c r="R156" s="129" t="n"/>
      <c r="S156" s="174" t="n"/>
      <c r="T156" s="129" t="n"/>
      <c r="U156" s="129" t="n"/>
    </row>
    <row r="157">
      <c r="Q157" s="130" t="n"/>
      <c r="R157" s="129" t="n"/>
      <c r="S157" s="174" t="n"/>
      <c r="T157" s="129" t="n"/>
      <c r="U157" s="129" t="n"/>
    </row>
    <row r="158">
      <c r="Q158" s="130" t="n"/>
      <c r="R158" s="129" t="n"/>
      <c r="S158" s="174" t="n"/>
      <c r="T158" s="129" t="n"/>
      <c r="U158" s="129" t="n"/>
    </row>
    <row r="159">
      <c r="Q159" s="130" t="n"/>
      <c r="R159" s="129" t="n"/>
      <c r="S159" s="174" t="n"/>
      <c r="T159" s="129" t="n"/>
      <c r="U159" s="129" t="n"/>
    </row>
    <row r="160">
      <c r="Q160" s="130" t="n"/>
      <c r="R160" s="129" t="n"/>
      <c r="S160" s="174" t="n"/>
      <c r="T160" s="129" t="n"/>
      <c r="U160" s="129" t="n"/>
    </row>
    <row r="161">
      <c r="Q161" s="130" t="n"/>
      <c r="R161" s="129" t="n"/>
      <c r="S161" s="174" t="n"/>
      <c r="T161" s="129" t="n"/>
      <c r="U161" s="129" t="n"/>
    </row>
    <row r="162">
      <c r="Q162" s="130" t="n"/>
      <c r="R162" s="129" t="n"/>
      <c r="S162" s="174" t="n"/>
      <c r="T162" s="129" t="n"/>
      <c r="U162" s="129" t="n"/>
    </row>
    <row r="163">
      <c r="Q163" s="130" t="n"/>
      <c r="R163" s="129" t="n"/>
      <c r="S163" s="174" t="n"/>
      <c r="T163" s="129" t="n"/>
      <c r="U163" s="129" t="n"/>
    </row>
    <row r="164">
      <c r="Q164" s="130" t="n"/>
      <c r="R164" s="129" t="n"/>
      <c r="S164" s="174" t="n"/>
      <c r="T164" s="129" t="n"/>
      <c r="U164" s="129" t="n"/>
    </row>
    <row r="165">
      <c r="Q165" s="130" t="n"/>
      <c r="R165" s="129" t="n"/>
      <c r="S165" s="174" t="n"/>
      <c r="T165" s="129" t="n"/>
      <c r="U165" s="129" t="n"/>
    </row>
    <row r="166">
      <c r="Q166" s="130" t="n"/>
      <c r="R166" s="129" t="n"/>
      <c r="S166" s="174" t="n"/>
      <c r="T166" s="129" t="n"/>
      <c r="U166" s="129" t="n"/>
    </row>
    <row r="167">
      <c r="Q167" s="130" t="n"/>
      <c r="R167" s="129" t="n"/>
      <c r="S167" s="174" t="n"/>
      <c r="T167" s="129" t="n"/>
      <c r="U167" s="129" t="n"/>
    </row>
    <row r="168">
      <c r="Q168" s="130" t="n"/>
      <c r="R168" s="129" t="n"/>
      <c r="S168" s="174" t="n"/>
      <c r="T168" s="129" t="n"/>
      <c r="U168" s="129" t="n"/>
    </row>
    <row r="169">
      <c r="Q169" s="130" t="n"/>
      <c r="R169" s="129" t="n"/>
      <c r="S169" s="174" t="n"/>
      <c r="T169" s="129" t="n"/>
      <c r="U169" s="129" t="n"/>
    </row>
    <row r="170">
      <c r="Q170" s="130" t="n"/>
      <c r="R170" s="129" t="n"/>
      <c r="S170" s="174" t="n"/>
      <c r="T170" s="129" t="n"/>
      <c r="U170" s="129" t="n"/>
    </row>
    <row r="171">
      <c r="Q171" s="130" t="n"/>
      <c r="R171" s="129" t="n"/>
      <c r="S171" s="174" t="n"/>
      <c r="T171" s="129" t="n"/>
      <c r="U171" s="129" t="n"/>
    </row>
    <row r="172">
      <c r="Q172" s="130" t="n"/>
      <c r="R172" s="129" t="n"/>
      <c r="S172" s="174" t="n"/>
      <c r="T172" s="129" t="n"/>
      <c r="U172" s="129" t="n"/>
    </row>
    <row r="173">
      <c r="Q173" s="130" t="n"/>
      <c r="R173" s="129" t="n"/>
      <c r="S173" s="174" t="n"/>
      <c r="T173" s="129" t="n"/>
      <c r="U173" s="129" t="n"/>
    </row>
    <row r="174">
      <c r="Q174" s="130" t="n"/>
      <c r="R174" s="129" t="n"/>
      <c r="S174" s="174" t="n"/>
      <c r="T174" s="129" t="n"/>
      <c r="U174" s="129" t="n"/>
    </row>
    <row r="175">
      <c r="Q175" s="130" t="n"/>
      <c r="R175" s="129" t="n"/>
      <c r="S175" s="174" t="n"/>
      <c r="T175" s="129" t="n"/>
      <c r="U175" s="129" t="n"/>
    </row>
    <row r="176">
      <c r="Q176" s="130" t="n"/>
      <c r="R176" s="129" t="n"/>
      <c r="S176" s="174" t="n"/>
      <c r="T176" s="129" t="n"/>
      <c r="U176" s="129" t="n"/>
    </row>
    <row r="177">
      <c r="Q177" s="130" t="n"/>
      <c r="R177" s="129" t="n"/>
      <c r="S177" s="174" t="n"/>
      <c r="T177" s="129" t="n"/>
      <c r="U177" s="129" t="n"/>
    </row>
    <row r="178">
      <c r="Q178" s="130" t="n"/>
      <c r="R178" s="129" t="n"/>
      <c r="S178" s="174" t="n"/>
      <c r="T178" s="129" t="n"/>
      <c r="U178" s="129" t="n"/>
    </row>
    <row r="179">
      <c r="Q179" s="130" t="n"/>
      <c r="R179" s="129" t="n"/>
      <c r="S179" s="174" t="n"/>
      <c r="T179" s="129" t="n"/>
      <c r="U179" s="129" t="n"/>
    </row>
    <row r="180">
      <c r="Q180" s="130" t="n"/>
      <c r="R180" s="129" t="n"/>
      <c r="S180" s="174" t="n"/>
      <c r="T180" s="129" t="n"/>
      <c r="U180" s="129" t="n"/>
    </row>
    <row r="181">
      <c r="Q181" s="130" t="n"/>
      <c r="R181" s="129" t="n"/>
      <c r="S181" s="174" t="n"/>
      <c r="T181" s="129" t="n"/>
      <c r="U181" s="129" t="n"/>
    </row>
    <row r="182">
      <c r="Q182" s="130" t="n"/>
      <c r="R182" s="129" t="n"/>
      <c r="S182" s="174" t="n"/>
      <c r="T182" s="129" t="n"/>
      <c r="U182" s="129" t="n"/>
    </row>
    <row r="183">
      <c r="Q183" s="130" t="n"/>
      <c r="R183" s="129" t="n"/>
      <c r="S183" s="174" t="n"/>
      <c r="T183" s="129" t="n"/>
      <c r="U183" s="129" t="n"/>
    </row>
    <row r="184">
      <c r="Q184" s="130" t="n"/>
      <c r="R184" s="129" t="n"/>
      <c r="S184" s="174" t="n"/>
      <c r="T184" s="129" t="n"/>
      <c r="U184" s="129" t="n"/>
    </row>
    <row r="185">
      <c r="Q185" s="130" t="n"/>
      <c r="R185" s="129" t="n"/>
      <c r="S185" s="174" t="n"/>
      <c r="T185" s="129" t="n"/>
      <c r="U185" s="129" t="n"/>
    </row>
    <row r="186">
      <c r="Q186" s="130" t="n"/>
      <c r="R186" s="129" t="n"/>
      <c r="S186" s="174" t="n"/>
      <c r="T186" s="129" t="n"/>
      <c r="U186" s="129" t="n"/>
    </row>
    <row r="187">
      <c r="Q187" s="130" t="n"/>
      <c r="R187" s="129" t="n"/>
      <c r="S187" s="174" t="n"/>
      <c r="T187" s="129" t="n"/>
      <c r="U187" s="129" t="n"/>
    </row>
    <row r="188">
      <c r="Q188" s="130" t="n"/>
      <c r="R188" s="129" t="n"/>
      <c r="S188" s="174" t="n"/>
      <c r="T188" s="129" t="n"/>
      <c r="U188" s="129" t="n"/>
    </row>
    <row r="189">
      <c r="Q189" s="130" t="n"/>
      <c r="R189" s="129" t="n"/>
      <c r="S189" s="174" t="n"/>
      <c r="T189" s="129" t="n"/>
      <c r="U189" s="129" t="n"/>
    </row>
    <row r="190">
      <c r="Q190" s="130" t="n"/>
      <c r="R190" s="129" t="n"/>
      <c r="S190" s="174" t="n"/>
      <c r="T190" s="129" t="n"/>
      <c r="U190" s="129" t="n"/>
    </row>
    <row r="191">
      <c r="Q191" s="130" t="n"/>
      <c r="R191" s="129" t="n"/>
      <c r="S191" s="174" t="n"/>
      <c r="T191" s="129" t="n"/>
      <c r="U191" s="129" t="n"/>
    </row>
    <row r="192">
      <c r="Q192" s="130" t="n"/>
      <c r="R192" s="129" t="n"/>
      <c r="S192" s="174" t="n"/>
      <c r="T192" s="129" t="n"/>
      <c r="U192" s="129" t="n"/>
    </row>
    <row r="193">
      <c r="Q193" s="130" t="n"/>
      <c r="R193" s="129" t="n"/>
      <c r="S193" s="174" t="n"/>
      <c r="T193" s="129" t="n"/>
      <c r="U193" s="129" t="n"/>
    </row>
    <row r="194">
      <c r="Q194" s="130" t="n"/>
      <c r="R194" s="129" t="n"/>
      <c r="S194" s="174" t="n"/>
      <c r="T194" s="129" t="n"/>
      <c r="U194" s="129" t="n"/>
    </row>
    <row r="195">
      <c r="Q195" s="130" t="n"/>
      <c r="R195" s="129" t="n"/>
      <c r="S195" s="174" t="n"/>
      <c r="T195" s="129" t="n"/>
      <c r="U195" s="129" t="n"/>
    </row>
    <row r="196">
      <c r="Q196" s="130" t="n"/>
      <c r="R196" s="129" t="n"/>
      <c r="S196" s="174" t="n"/>
      <c r="T196" s="129" t="n"/>
      <c r="U196" s="129" t="n"/>
    </row>
    <row r="197">
      <c r="Q197" s="130" t="n"/>
      <c r="R197" s="129" t="n"/>
      <c r="S197" s="174" t="n"/>
      <c r="T197" s="129" t="n"/>
      <c r="U197" s="129" t="n"/>
    </row>
    <row r="198">
      <c r="Q198" s="130" t="n"/>
      <c r="R198" s="129" t="n"/>
      <c r="S198" s="174" t="n"/>
      <c r="T198" s="129" t="n"/>
      <c r="U198" s="129" t="n"/>
    </row>
    <row r="199">
      <c r="Q199" s="130" t="n"/>
      <c r="R199" s="129" t="n"/>
      <c r="S199" s="174" t="n"/>
      <c r="T199" s="129" t="n"/>
      <c r="U199" s="129" t="n"/>
    </row>
    <row r="200">
      <c r="Q200" s="130" t="n"/>
      <c r="R200" s="129" t="n"/>
      <c r="S200" s="174" t="n"/>
      <c r="T200" s="129" t="n"/>
      <c r="U200" s="129" t="n"/>
    </row>
    <row r="201">
      <c r="Q201" s="130" t="n"/>
      <c r="R201" s="129" t="n"/>
      <c r="S201" s="174" t="n"/>
      <c r="T201" s="129" t="n"/>
      <c r="U201" s="129" t="n"/>
    </row>
    <row r="202">
      <c r="Q202" s="130" t="n"/>
      <c r="R202" s="129" t="n"/>
      <c r="S202" s="174" t="n"/>
      <c r="T202" s="129" t="n"/>
      <c r="U202" s="129" t="n"/>
    </row>
    <row r="203">
      <c r="Q203" s="130" t="n"/>
      <c r="R203" s="129" t="n"/>
      <c r="S203" s="174" t="n"/>
      <c r="T203" s="129" t="n"/>
      <c r="U203" s="129" t="n"/>
    </row>
    <row r="204">
      <c r="Q204" s="130" t="n"/>
      <c r="R204" s="129" t="n"/>
      <c r="S204" s="174" t="n"/>
      <c r="T204" s="129" t="n"/>
      <c r="U204" s="129" t="n"/>
    </row>
    <row r="205">
      <c r="Q205" s="130" t="n"/>
      <c r="R205" s="129" t="n"/>
      <c r="S205" s="174" t="n"/>
      <c r="T205" s="129" t="n"/>
      <c r="U205" s="129" t="n"/>
    </row>
    <row r="206">
      <c r="Q206" s="130" t="n"/>
      <c r="R206" s="129" t="n"/>
      <c r="S206" s="174" t="n"/>
      <c r="T206" s="129" t="n"/>
      <c r="U206" s="129" t="n"/>
    </row>
    <row r="207">
      <c r="Q207" s="130" t="n"/>
      <c r="R207" s="129" t="n"/>
      <c r="S207" s="174" t="n"/>
      <c r="T207" s="129" t="n"/>
      <c r="U207" s="129" t="n"/>
    </row>
    <row r="208">
      <c r="Q208" s="130" t="n"/>
      <c r="R208" s="129" t="n"/>
      <c r="S208" s="174" t="n"/>
      <c r="T208" s="129" t="n"/>
      <c r="U208" s="129" t="n"/>
    </row>
    <row r="209">
      <c r="Q209" s="130" t="n"/>
      <c r="R209" s="129" t="n"/>
      <c r="S209" s="174" t="n"/>
      <c r="T209" s="129" t="n"/>
      <c r="U209" s="129" t="n"/>
    </row>
    <row r="210">
      <c r="Q210" s="130" t="n"/>
      <c r="R210" s="129" t="n"/>
      <c r="S210" s="174" t="n"/>
      <c r="T210" s="129" t="n"/>
      <c r="U210" s="129" t="n"/>
    </row>
    <row r="211">
      <c r="Q211" s="130" t="n"/>
      <c r="R211" s="129" t="n"/>
      <c r="S211" s="174" t="n"/>
      <c r="T211" s="129" t="n"/>
      <c r="U211" s="129" t="n"/>
    </row>
    <row r="212">
      <c r="Q212" s="130" t="n"/>
      <c r="R212" s="129" t="n"/>
      <c r="S212" s="174" t="n"/>
      <c r="T212" s="129" t="n"/>
      <c r="U212" s="129" t="n"/>
    </row>
    <row r="213">
      <c r="Q213" s="130" t="n"/>
      <c r="R213" s="129" t="n"/>
      <c r="S213" s="174" t="n"/>
      <c r="T213" s="129" t="n"/>
      <c r="U213" s="129" t="n"/>
    </row>
    <row r="214">
      <c r="Q214" s="130" t="n"/>
      <c r="R214" s="129" t="n"/>
      <c r="S214" s="174" t="n"/>
      <c r="T214" s="129" t="n"/>
      <c r="U214" s="129" t="n"/>
    </row>
    <row r="215">
      <c r="Q215" s="130" t="n"/>
      <c r="R215" s="129" t="n"/>
      <c r="S215" s="174" t="n"/>
      <c r="T215" s="129" t="n"/>
      <c r="U215" s="129" t="n"/>
    </row>
    <row r="216">
      <c r="Q216" s="130" t="n"/>
      <c r="R216" s="129" t="n"/>
      <c r="S216" s="174" t="n"/>
      <c r="T216" s="129" t="n"/>
      <c r="U216" s="129" t="n"/>
    </row>
    <row r="217">
      <c r="Q217" s="130" t="n"/>
      <c r="R217" s="129" t="n"/>
      <c r="S217" s="174" t="n"/>
      <c r="T217" s="129" t="n"/>
      <c r="U217" s="129" t="n"/>
    </row>
    <row r="218">
      <c r="Q218" s="130" t="n"/>
      <c r="R218" s="129" t="n"/>
      <c r="S218" s="174" t="n"/>
      <c r="T218" s="129" t="n"/>
      <c r="U218" s="129" t="n"/>
    </row>
    <row r="219">
      <c r="Q219" s="130" t="n"/>
      <c r="R219" s="129" t="n"/>
      <c r="S219" s="174" t="n"/>
      <c r="T219" s="129" t="n"/>
      <c r="U219" s="129" t="n"/>
    </row>
    <row r="220">
      <c r="Q220" s="130" t="n"/>
      <c r="R220" s="129" t="n"/>
      <c r="S220" s="174" t="n"/>
      <c r="T220" s="129" t="n"/>
      <c r="U220" s="129" t="n"/>
    </row>
    <row r="221">
      <c r="Q221" s="130" t="n"/>
      <c r="R221" s="129" t="n"/>
      <c r="S221" s="174" t="n"/>
      <c r="T221" s="129" t="n"/>
      <c r="U221" s="129" t="n"/>
    </row>
    <row r="222">
      <c r="Q222" s="130" t="n"/>
      <c r="R222" s="129" t="n"/>
      <c r="S222" s="174" t="n"/>
      <c r="T222" s="129" t="n"/>
      <c r="U222" s="129" t="n"/>
    </row>
    <row r="223">
      <c r="Q223" s="130" t="n"/>
      <c r="R223" s="129" t="n"/>
      <c r="S223" s="174" t="n"/>
      <c r="T223" s="129" t="n"/>
      <c r="U223" s="129" t="n"/>
    </row>
    <row r="224">
      <c r="Q224" s="130" t="n"/>
      <c r="R224" s="129" t="n"/>
      <c r="S224" s="174" t="n"/>
      <c r="T224" s="129" t="n"/>
      <c r="U224" s="129" t="n"/>
    </row>
    <row r="225">
      <c r="Q225" s="130" t="n"/>
      <c r="R225" s="129" t="n"/>
      <c r="S225" s="174" t="n"/>
      <c r="T225" s="129" t="n"/>
      <c r="U225" s="129" t="n"/>
    </row>
    <row r="226">
      <c r="Q226" s="130" t="n"/>
      <c r="R226" s="129" t="n"/>
      <c r="S226" s="174" t="n"/>
      <c r="T226" s="129" t="n"/>
      <c r="U226" s="129" t="n"/>
    </row>
    <row r="227">
      <c r="Q227" s="130" t="n"/>
      <c r="R227" s="129" t="n"/>
      <c r="S227" s="174" t="n"/>
      <c r="T227" s="129" t="n"/>
      <c r="U227" s="129" t="n"/>
    </row>
    <row r="228">
      <c r="Q228" s="130" t="n"/>
      <c r="R228" s="129" t="n"/>
      <c r="S228" s="174" t="n"/>
      <c r="T228" s="129" t="n"/>
      <c r="U228" s="129" t="n"/>
    </row>
    <row r="229">
      <c r="Q229" s="130" t="n"/>
      <c r="R229" s="129" t="n"/>
      <c r="S229" s="174" t="n"/>
      <c r="T229" s="129" t="n"/>
      <c r="U229" s="129" t="n"/>
    </row>
    <row r="230">
      <c r="Q230" s="130" t="n"/>
      <c r="R230" s="129" t="n"/>
      <c r="S230" s="174" t="n"/>
      <c r="T230" s="129" t="n"/>
      <c r="U230" s="129" t="n"/>
    </row>
    <row r="231">
      <c r="Q231" s="130" t="n"/>
      <c r="R231" s="129" t="n"/>
      <c r="S231" s="174" t="n"/>
      <c r="T231" s="129" t="n"/>
      <c r="U231" s="129" t="n"/>
    </row>
    <row r="232">
      <c r="Q232" s="130" t="n"/>
      <c r="R232" s="129" t="n"/>
      <c r="S232" s="174" t="n"/>
      <c r="T232" s="129" t="n"/>
      <c r="U232" s="129" t="n"/>
    </row>
    <row r="233">
      <c r="Q233" s="130" t="n"/>
      <c r="R233" s="129" t="n"/>
      <c r="S233" s="174" t="n"/>
      <c r="T233" s="129" t="n"/>
      <c r="U233" s="129" t="n"/>
    </row>
    <row r="234">
      <c r="Q234" s="130" t="n"/>
      <c r="R234" s="129" t="n"/>
      <c r="S234" s="174" t="n"/>
      <c r="T234" s="129" t="n"/>
      <c r="U234" s="129" t="n"/>
    </row>
    <row r="235">
      <c r="Q235" s="130" t="n"/>
      <c r="R235" s="129" t="n"/>
      <c r="S235" s="174" t="n"/>
      <c r="T235" s="129" t="n"/>
      <c r="U235" s="129" t="n"/>
    </row>
    <row r="236">
      <c r="Q236" s="130" t="n"/>
      <c r="R236" s="129" t="n"/>
      <c r="S236" s="174" t="n"/>
      <c r="T236" s="129" t="n"/>
      <c r="U236" s="129" t="n"/>
    </row>
    <row r="237">
      <c r="Q237" s="130" t="n"/>
      <c r="R237" s="129" t="n"/>
      <c r="S237" s="174" t="n"/>
      <c r="T237" s="129" t="n"/>
      <c r="U237" s="129" t="n"/>
    </row>
    <row r="238">
      <c r="Q238" s="130" t="n"/>
      <c r="R238" s="129" t="n"/>
      <c r="S238" s="174" t="n"/>
      <c r="T238" s="129" t="n"/>
      <c r="U238" s="129" t="n"/>
    </row>
    <row r="239">
      <c r="Q239" s="130" t="n"/>
      <c r="R239" s="129" t="n"/>
      <c r="S239" s="174" t="n"/>
      <c r="T239" s="129" t="n"/>
      <c r="U239" s="129" t="n"/>
    </row>
    <row r="240">
      <c r="Q240" s="130" t="n"/>
      <c r="R240" s="129" t="n"/>
      <c r="S240" s="174" t="n"/>
      <c r="T240" s="129" t="n"/>
      <c r="U240" s="129" t="n"/>
    </row>
    <row r="241">
      <c r="Q241" s="130" t="n"/>
      <c r="R241" s="129" t="n"/>
      <c r="S241" s="174" t="n"/>
      <c r="T241" s="129" t="n"/>
      <c r="U241" s="129" t="n"/>
    </row>
    <row r="242">
      <c r="Q242" s="130" t="n"/>
      <c r="R242" s="129" t="n"/>
      <c r="S242" s="174" t="n"/>
      <c r="T242" s="129" t="n"/>
      <c r="U242" s="129" t="n"/>
    </row>
    <row r="243">
      <c r="Q243" s="130" t="n"/>
      <c r="R243" s="129" t="n"/>
      <c r="S243" s="174" t="n"/>
      <c r="T243" s="129" t="n"/>
      <c r="U243" s="129" t="n"/>
    </row>
    <row r="244">
      <c r="Q244" s="130" t="n"/>
      <c r="R244" s="129" t="n"/>
      <c r="S244" s="174" t="n"/>
      <c r="T244" s="129" t="n"/>
      <c r="U244" s="129" t="n"/>
    </row>
    <row r="245">
      <c r="Q245" s="130" t="n"/>
      <c r="R245" s="129" t="n"/>
      <c r="S245" s="174" t="n"/>
      <c r="T245" s="129" t="n"/>
      <c r="U245" s="129" t="n"/>
    </row>
    <row r="246">
      <c r="Q246" s="130" t="n"/>
      <c r="R246" s="129" t="n"/>
      <c r="S246" s="174" t="n"/>
      <c r="T246" s="129" t="n"/>
      <c r="U246" s="129" t="n"/>
    </row>
    <row r="247">
      <c r="Q247" s="130" t="n"/>
      <c r="R247" s="129" t="n"/>
      <c r="S247" s="174" t="n"/>
      <c r="T247" s="129" t="n"/>
      <c r="U247" s="129" t="n"/>
    </row>
    <row r="248">
      <c r="Q248" s="130" t="n"/>
      <c r="R248" s="129" t="n"/>
      <c r="S248" s="174" t="n"/>
      <c r="T248" s="129" t="n"/>
      <c r="U248" s="129" t="n"/>
    </row>
    <row r="249">
      <c r="Q249" s="130" t="n"/>
      <c r="R249" s="129" t="n"/>
      <c r="S249" s="174" t="n"/>
      <c r="T249" s="129" t="n"/>
      <c r="U249" s="129" t="n"/>
    </row>
    <row r="250">
      <c r="Q250" s="130" t="n"/>
      <c r="R250" s="129" t="n"/>
      <c r="S250" s="174" t="n"/>
      <c r="T250" s="129" t="n"/>
      <c r="U250" s="129" t="n"/>
    </row>
    <row r="251">
      <c r="Q251" s="130" t="n"/>
      <c r="R251" s="129" t="n"/>
      <c r="S251" s="174" t="n"/>
      <c r="T251" s="129" t="n"/>
      <c r="U251" s="129" t="n"/>
    </row>
    <row r="252">
      <c r="Q252" s="130" t="n"/>
      <c r="R252" s="129" t="n"/>
      <c r="S252" s="174" t="n"/>
      <c r="T252" s="129" t="n"/>
      <c r="U252" s="129" t="n"/>
    </row>
    <row r="253">
      <c r="Q253" s="130" t="n"/>
      <c r="R253" s="129" t="n"/>
      <c r="S253" s="174" t="n"/>
      <c r="T253" s="129" t="n"/>
      <c r="U253" s="129" t="n"/>
    </row>
    <row r="254">
      <c r="Q254" s="130" t="n"/>
      <c r="R254" s="129" t="n"/>
      <c r="S254" s="174" t="n"/>
      <c r="T254" s="129" t="n"/>
      <c r="U254" s="129" t="n"/>
    </row>
    <row r="255">
      <c r="Q255" s="130" t="n"/>
      <c r="R255" s="129" t="n"/>
      <c r="S255" s="174" t="n"/>
      <c r="T255" s="129" t="n"/>
      <c r="U255" s="129" t="n"/>
    </row>
    <row r="256">
      <c r="Q256" s="130" t="n"/>
      <c r="R256" s="129" t="n"/>
      <c r="S256" s="174" t="n"/>
      <c r="T256" s="129" t="n"/>
      <c r="U256" s="129" t="n"/>
    </row>
    <row r="257">
      <c r="Q257" s="130" t="n"/>
      <c r="R257" s="129" t="n"/>
      <c r="S257" s="174" t="n"/>
      <c r="T257" s="129" t="n"/>
      <c r="U257" s="129" t="n"/>
    </row>
    <row r="258">
      <c r="Q258" s="130" t="n"/>
      <c r="R258" s="129" t="n"/>
      <c r="S258" s="174" t="n"/>
      <c r="T258" s="129" t="n"/>
      <c r="U258" s="129" t="n"/>
    </row>
    <row r="259">
      <c r="Q259" s="130" t="n"/>
      <c r="R259" s="129" t="n"/>
      <c r="S259" s="174" t="n"/>
      <c r="T259" s="129" t="n"/>
      <c r="U259" s="129" t="n"/>
    </row>
    <row r="260">
      <c r="Q260" s="130" t="n"/>
      <c r="R260" s="129" t="n"/>
      <c r="S260" s="174" t="n"/>
      <c r="T260" s="129" t="n"/>
      <c r="U260" s="129" t="n"/>
    </row>
    <row r="261">
      <c r="Q261" s="130" t="n"/>
      <c r="R261" s="129" t="n"/>
      <c r="S261" s="174" t="n"/>
      <c r="T261" s="129" t="n"/>
      <c r="U261" s="129" t="n"/>
    </row>
    <row r="262">
      <c r="Q262" s="130" t="n"/>
      <c r="R262" s="129" t="n"/>
      <c r="S262" s="174" t="n"/>
      <c r="T262" s="129" t="n"/>
      <c r="U262" s="129" t="n"/>
    </row>
    <row r="263">
      <c r="Q263" s="130" t="n"/>
      <c r="R263" s="129" t="n"/>
      <c r="S263" s="174" t="n"/>
      <c r="T263" s="129" t="n"/>
      <c r="U263" s="129" t="n"/>
    </row>
    <row r="264">
      <c r="Q264" s="130" t="n"/>
      <c r="R264" s="129" t="n"/>
      <c r="S264" s="174" t="n"/>
      <c r="T264" s="129" t="n"/>
      <c r="U264" s="129" t="n"/>
    </row>
    <row r="265">
      <c r="Q265" s="130" t="n"/>
      <c r="R265" s="129" t="n"/>
      <c r="S265" s="174" t="n"/>
      <c r="T265" s="129" t="n"/>
      <c r="U265" s="129" t="n"/>
    </row>
    <row r="266">
      <c r="Q266" s="130" t="n"/>
      <c r="R266" s="129" t="n"/>
      <c r="S266" s="174" t="n"/>
      <c r="T266" s="129" t="n"/>
      <c r="U266" s="129" t="n"/>
    </row>
    <row r="267">
      <c r="Q267" s="130" t="n"/>
      <c r="R267" s="129" t="n"/>
      <c r="S267" s="174" t="n"/>
      <c r="T267" s="129" t="n"/>
      <c r="U267" s="129" t="n"/>
    </row>
    <row r="268">
      <c r="Q268" s="130" t="n"/>
      <c r="R268" s="129" t="n"/>
      <c r="S268" s="174" t="n"/>
      <c r="T268" s="129" t="n"/>
      <c r="U268" s="129" t="n"/>
    </row>
    <row r="269">
      <c r="Q269" s="130" t="n"/>
      <c r="R269" s="129" t="n"/>
      <c r="S269" s="174" t="n"/>
      <c r="T269" s="129" t="n"/>
      <c r="U269" s="129" t="n"/>
    </row>
    <row r="270">
      <c r="Q270" s="130" t="n"/>
      <c r="R270" s="129" t="n"/>
      <c r="S270" s="174" t="n"/>
      <c r="T270" s="129" t="n"/>
      <c r="U270" s="129" t="n"/>
    </row>
    <row r="271">
      <c r="Q271" s="130" t="n"/>
      <c r="R271" s="129" t="n"/>
      <c r="S271" s="174" t="n"/>
      <c r="T271" s="129" t="n"/>
      <c r="U271" s="129" t="n"/>
    </row>
    <row r="272">
      <c r="Q272" s="130" t="n"/>
      <c r="R272" s="129" t="n"/>
      <c r="S272" s="174" t="n"/>
      <c r="T272" s="129" t="n"/>
      <c r="U272" s="129" t="n"/>
    </row>
    <row r="273">
      <c r="Q273" s="130" t="n"/>
      <c r="R273" s="129" t="n"/>
      <c r="S273" s="174" t="n"/>
      <c r="T273" s="129" t="n"/>
      <c r="U273" s="129" t="n"/>
    </row>
    <row r="274">
      <c r="Q274" s="130" t="n"/>
      <c r="R274" s="129" t="n"/>
      <c r="S274" s="174" t="n"/>
      <c r="T274" s="129" t="n"/>
      <c r="U274" s="129" t="n"/>
    </row>
    <row r="275">
      <c r="Q275" s="130" t="n"/>
      <c r="R275" s="129" t="n"/>
      <c r="S275" s="174" t="n"/>
      <c r="T275" s="129" t="n"/>
      <c r="U275" s="129" t="n"/>
    </row>
    <row r="276">
      <c r="Q276" s="130" t="n"/>
      <c r="R276" s="129" t="n"/>
      <c r="S276" s="174" t="n"/>
      <c r="T276" s="129" t="n"/>
      <c r="U276" s="129" t="n"/>
    </row>
    <row r="277">
      <c r="Q277" s="130" t="n"/>
      <c r="R277" s="129" t="n"/>
      <c r="S277" s="174" t="n"/>
      <c r="T277" s="129" t="n"/>
      <c r="U277" s="129" t="n"/>
    </row>
    <row r="278">
      <c r="Q278" s="130" t="n"/>
      <c r="R278" s="129" t="n"/>
      <c r="S278" s="174" t="n"/>
      <c r="T278" s="129" t="n"/>
      <c r="U278" s="129" t="n"/>
    </row>
    <row r="279">
      <c r="Q279" s="130" t="n"/>
      <c r="R279" s="129" t="n"/>
      <c r="S279" s="174" t="n"/>
      <c r="T279" s="129" t="n"/>
      <c r="U279" s="129" t="n"/>
    </row>
    <row r="280">
      <c r="Q280" s="130" t="n"/>
      <c r="R280" s="129" t="n"/>
      <c r="S280" s="174" t="n"/>
      <c r="T280" s="129" t="n"/>
      <c r="U280" s="129" t="n"/>
    </row>
    <row r="281">
      <c r="Q281" s="130" t="n"/>
      <c r="R281" s="129" t="n"/>
      <c r="S281" s="174" t="n"/>
      <c r="T281" s="129" t="n"/>
      <c r="U281" s="129" t="n"/>
    </row>
    <row r="282">
      <c r="Q282" s="130" t="n"/>
      <c r="R282" s="129" t="n"/>
      <c r="S282" s="174" t="n"/>
      <c r="T282" s="129" t="n"/>
      <c r="U282" s="129" t="n"/>
    </row>
    <row r="283">
      <c r="Q283" s="130" t="n"/>
      <c r="R283" s="129" t="n"/>
      <c r="S283" s="174" t="n"/>
      <c r="T283" s="129" t="n"/>
      <c r="U283" s="129" t="n"/>
    </row>
    <row r="284">
      <c r="Q284" s="130" t="n"/>
      <c r="R284" s="129" t="n"/>
      <c r="S284" s="174" t="n"/>
      <c r="T284" s="129" t="n"/>
      <c r="U284" s="129" t="n"/>
    </row>
    <row r="285">
      <c r="Q285" s="130" t="n"/>
      <c r="R285" s="129" t="n"/>
      <c r="S285" s="174" t="n"/>
      <c r="T285" s="129" t="n"/>
      <c r="U285" s="129" t="n"/>
    </row>
    <row r="286">
      <c r="Q286" s="130" t="n"/>
      <c r="R286" s="129" t="n"/>
      <c r="S286" s="174" t="n"/>
      <c r="T286" s="129" t="n"/>
      <c r="U286" s="129" t="n"/>
    </row>
    <row r="287">
      <c r="Q287" s="130" t="n"/>
      <c r="R287" s="129" t="n"/>
      <c r="S287" s="174" t="n"/>
      <c r="T287" s="129" t="n"/>
      <c r="U287" s="129" t="n"/>
    </row>
    <row r="288">
      <c r="Q288" s="130" t="n"/>
      <c r="R288" s="129" t="n"/>
      <c r="S288" s="174" t="n"/>
      <c r="T288" s="129" t="n"/>
      <c r="U288" s="129" t="n"/>
    </row>
    <row r="289">
      <c r="Q289" s="130" t="n"/>
      <c r="R289" s="129" t="n"/>
      <c r="S289" s="174" t="n"/>
      <c r="T289" s="129" t="n"/>
      <c r="U289" s="129" t="n"/>
    </row>
    <row r="290">
      <c r="Q290" s="130" t="n"/>
      <c r="R290" s="129" t="n"/>
      <c r="S290" s="174" t="n"/>
      <c r="T290" s="129" t="n"/>
      <c r="U290" s="129" t="n"/>
    </row>
    <row r="291">
      <c r="Q291" s="130" t="n"/>
      <c r="R291" s="129" t="n"/>
      <c r="S291" s="174" t="n"/>
      <c r="T291" s="129" t="n"/>
      <c r="U291" s="129" t="n"/>
    </row>
    <row r="292">
      <c r="Q292" s="130" t="n"/>
      <c r="R292" s="129" t="n"/>
      <c r="S292" s="174" t="n"/>
      <c r="T292" s="129" t="n"/>
      <c r="U292" s="129" t="n"/>
    </row>
    <row r="293">
      <c r="Q293" s="130" t="n"/>
      <c r="R293" s="129" t="n"/>
      <c r="S293" s="174" t="n"/>
      <c r="T293" s="129" t="n"/>
      <c r="U293" s="129" t="n"/>
    </row>
    <row r="294">
      <c r="Q294" s="130" t="n"/>
      <c r="R294" s="129" t="n"/>
      <c r="S294" s="174" t="n"/>
      <c r="T294" s="129" t="n"/>
      <c r="U294" s="129" t="n"/>
    </row>
    <row r="295">
      <c r="Q295" s="130" t="n"/>
      <c r="R295" s="129" t="n"/>
      <c r="S295" s="174" t="n"/>
      <c r="T295" s="129" t="n"/>
      <c r="U295" s="129" t="n"/>
    </row>
    <row r="296">
      <c r="Q296" s="130" t="n"/>
      <c r="R296" s="129" t="n"/>
      <c r="S296" s="174" t="n"/>
      <c r="T296" s="129" t="n"/>
      <c r="U296" s="129" t="n"/>
    </row>
    <row r="297">
      <c r="Q297" s="130" t="n"/>
      <c r="R297" s="129" t="n"/>
      <c r="S297" s="174" t="n"/>
      <c r="T297" s="129" t="n"/>
      <c r="U297" s="129" t="n"/>
    </row>
    <row r="298">
      <c r="Q298" s="130" t="n"/>
      <c r="R298" s="129" t="n"/>
      <c r="S298" s="174" t="n"/>
      <c r="T298" s="129" t="n"/>
      <c r="U298" s="129" t="n"/>
    </row>
    <row r="299">
      <c r="Q299" s="130" t="n"/>
      <c r="R299" s="129" t="n"/>
      <c r="S299" s="174" t="n"/>
      <c r="T299" s="129" t="n"/>
      <c r="U299" s="129" t="n"/>
    </row>
    <row r="300">
      <c r="Q300" s="130" t="n"/>
      <c r="R300" s="129" t="n"/>
      <c r="S300" s="174" t="n"/>
      <c r="T300" s="129" t="n"/>
      <c r="U300" s="129" t="n"/>
    </row>
    <row r="301">
      <c r="Q301" s="130" t="n"/>
      <c r="R301" s="129" t="n"/>
      <c r="S301" s="174" t="n"/>
      <c r="T301" s="129" t="n"/>
      <c r="U301" s="129" t="n"/>
    </row>
    <row r="302">
      <c r="Q302" s="130" t="n"/>
      <c r="R302" s="129" t="n"/>
      <c r="S302" s="174" t="n"/>
      <c r="T302" s="129" t="n"/>
      <c r="U302" s="129" t="n"/>
    </row>
    <row r="303">
      <c r="Q303" s="130" t="n"/>
      <c r="R303" s="129" t="n"/>
      <c r="S303" s="174" t="n"/>
      <c r="T303" s="129" t="n"/>
      <c r="U303" s="129" t="n"/>
    </row>
    <row r="304">
      <c r="Q304" s="130" t="n"/>
      <c r="R304" s="129" t="n"/>
      <c r="S304" s="174" t="n"/>
      <c r="T304" s="129" t="n"/>
      <c r="U304" s="129" t="n"/>
    </row>
    <row r="305">
      <c r="Q305" s="130" t="n"/>
      <c r="R305" s="129" t="n"/>
      <c r="S305" s="174" t="n"/>
      <c r="T305" s="129" t="n"/>
      <c r="U305" s="129" t="n"/>
    </row>
    <row r="306">
      <c r="Q306" s="130" t="n"/>
      <c r="R306" s="129" t="n"/>
      <c r="S306" s="174" t="n"/>
      <c r="T306" s="129" t="n"/>
      <c r="U306" s="129" t="n"/>
    </row>
    <row r="307">
      <c r="Q307" s="130" t="n"/>
      <c r="R307" s="129" t="n"/>
      <c r="S307" s="174" t="n"/>
      <c r="T307" s="129" t="n"/>
      <c r="U307" s="129" t="n"/>
    </row>
    <row r="308">
      <c r="Q308" s="130" t="n"/>
      <c r="R308" s="129" t="n"/>
      <c r="S308" s="174" t="n"/>
      <c r="T308" s="129" t="n"/>
      <c r="U308" s="129" t="n"/>
    </row>
    <row r="309">
      <c r="Q309" s="130" t="n"/>
      <c r="R309" s="129" t="n"/>
      <c r="S309" s="174" t="n"/>
      <c r="T309" s="129" t="n"/>
      <c r="U309" s="129" t="n"/>
    </row>
    <row r="310">
      <c r="Q310" s="130" t="n"/>
      <c r="R310" s="129" t="n"/>
      <c r="S310" s="174" t="n"/>
      <c r="T310" s="129" t="n"/>
      <c r="U310" s="129" t="n"/>
    </row>
    <row r="311">
      <c r="Q311" s="130" t="n"/>
      <c r="R311" s="129" t="n"/>
      <c r="S311" s="174" t="n"/>
      <c r="T311" s="129" t="n"/>
      <c r="U311" s="129" t="n"/>
    </row>
    <row r="312">
      <c r="Q312" s="130" t="n"/>
      <c r="R312" s="129" t="n"/>
      <c r="S312" s="174" t="n"/>
      <c r="T312" s="129" t="n"/>
      <c r="U312" s="129" t="n"/>
    </row>
    <row r="313">
      <c r="Q313" s="130" t="n"/>
      <c r="R313" s="129" t="n"/>
      <c r="S313" s="174" t="n"/>
      <c r="T313" s="129" t="n"/>
      <c r="U313" s="129" t="n"/>
    </row>
    <row r="314">
      <c r="Q314" s="130" t="n"/>
      <c r="R314" s="129" t="n"/>
      <c r="S314" s="174" t="n"/>
      <c r="T314" s="129" t="n"/>
      <c r="U314" s="129" t="n"/>
    </row>
    <row r="315">
      <c r="Q315" s="130" t="n"/>
      <c r="R315" s="129" t="n"/>
      <c r="S315" s="174" t="n"/>
      <c r="T315" s="129" t="n"/>
      <c r="U315" s="129" t="n"/>
    </row>
    <row r="316">
      <c r="Q316" s="130" t="n"/>
      <c r="R316" s="129" t="n"/>
      <c r="S316" s="174" t="n"/>
      <c r="T316" s="129" t="n"/>
      <c r="U316" s="129" t="n"/>
    </row>
    <row r="317">
      <c r="Q317" s="130" t="n"/>
      <c r="R317" s="129" t="n"/>
      <c r="S317" s="174" t="n"/>
      <c r="T317" s="129" t="n"/>
      <c r="U317" s="129" t="n"/>
    </row>
    <row r="318">
      <c r="Q318" s="130" t="n"/>
      <c r="R318" s="129" t="n"/>
      <c r="S318" s="174" t="n"/>
      <c r="T318" s="129" t="n"/>
      <c r="U318" s="129" t="n"/>
    </row>
    <row r="319">
      <c r="Q319" s="130" t="n"/>
      <c r="R319" s="129" t="n"/>
      <c r="S319" s="174" t="n"/>
      <c r="T319" s="129" t="n"/>
      <c r="U319" s="129" t="n"/>
    </row>
    <row r="320">
      <c r="Q320" s="130" t="n"/>
      <c r="R320" s="129" t="n"/>
      <c r="S320" s="174" t="n"/>
      <c r="T320" s="129" t="n"/>
      <c r="U320" s="129" t="n"/>
    </row>
    <row r="321">
      <c r="Q321" s="130" t="n"/>
      <c r="R321" s="129" t="n"/>
      <c r="S321" s="174" t="n"/>
      <c r="T321" s="129" t="n"/>
      <c r="U321" s="129" t="n"/>
    </row>
    <row r="322">
      <c r="Q322" s="130" t="n"/>
      <c r="R322" s="129" t="n"/>
      <c r="S322" s="174" t="n"/>
      <c r="T322" s="129" t="n"/>
      <c r="U322" s="129" t="n"/>
    </row>
    <row r="323">
      <c r="Q323" s="130" t="n"/>
      <c r="R323" s="129" t="n"/>
      <c r="S323" s="174" t="n"/>
      <c r="T323" s="129" t="n"/>
      <c r="U323" s="129" t="n"/>
    </row>
    <row r="324">
      <c r="Q324" s="130" t="n"/>
      <c r="R324" s="129" t="n"/>
      <c r="S324" s="174" t="n"/>
      <c r="T324" s="129" t="n"/>
      <c r="U324" s="129" t="n"/>
    </row>
    <row r="325">
      <c r="Q325" s="130" t="n"/>
      <c r="R325" s="129" t="n"/>
      <c r="S325" s="174" t="n"/>
      <c r="T325" s="129" t="n"/>
      <c r="U325" s="129" t="n"/>
    </row>
    <row r="326">
      <c r="Q326" s="130" t="n"/>
      <c r="R326" s="129" t="n"/>
      <c r="S326" s="174" t="n"/>
      <c r="T326" s="129" t="n"/>
      <c r="U326" s="129" t="n"/>
    </row>
    <row r="327">
      <c r="Q327" s="130" t="n"/>
      <c r="R327" s="129" t="n"/>
      <c r="S327" s="174" t="n"/>
      <c r="T327" s="129" t="n"/>
      <c r="U327" s="129" t="n"/>
    </row>
    <row r="328">
      <c r="Q328" s="130" t="n"/>
      <c r="R328" s="129" t="n"/>
      <c r="S328" s="174" t="n"/>
      <c r="T328" s="129" t="n"/>
      <c r="U328" s="129" t="n"/>
    </row>
    <row r="329">
      <c r="Q329" s="130" t="n"/>
      <c r="R329" s="129" t="n"/>
      <c r="S329" s="174" t="n"/>
      <c r="T329" s="129" t="n"/>
      <c r="U329" s="129" t="n"/>
    </row>
    <row r="330">
      <c r="Q330" s="130" t="n"/>
      <c r="R330" s="129" t="n"/>
      <c r="S330" s="174" t="n"/>
      <c r="T330" s="129" t="n"/>
      <c r="U330" s="129" t="n"/>
    </row>
    <row r="331">
      <c r="Q331" s="130" t="n"/>
      <c r="R331" s="129" t="n"/>
      <c r="S331" s="174" t="n"/>
      <c r="T331" s="129" t="n"/>
      <c r="U331" s="129" t="n"/>
    </row>
    <row r="332">
      <c r="Q332" s="130" t="n"/>
      <c r="R332" s="129" t="n"/>
      <c r="S332" s="174" t="n"/>
      <c r="T332" s="129" t="n"/>
      <c r="U332" s="129" t="n"/>
    </row>
    <row r="333">
      <c r="Q333" s="130" t="n"/>
      <c r="R333" s="129" t="n"/>
      <c r="S333" s="174" t="n"/>
      <c r="T333" s="129" t="n"/>
      <c r="U333" s="129" t="n"/>
    </row>
    <row r="334">
      <c r="Q334" s="130" t="n"/>
      <c r="R334" s="129" t="n"/>
      <c r="S334" s="174" t="n"/>
      <c r="T334" s="129" t="n"/>
      <c r="U334" s="129" t="n"/>
    </row>
    <row r="335">
      <c r="Q335" s="130" t="n"/>
      <c r="R335" s="129" t="n"/>
      <c r="S335" s="174" t="n"/>
      <c r="T335" s="129" t="n"/>
      <c r="U335" s="129" t="n"/>
    </row>
    <row r="336">
      <c r="Q336" s="130" t="n"/>
      <c r="R336" s="129" t="n"/>
      <c r="S336" s="174" t="n"/>
      <c r="T336" s="129" t="n"/>
      <c r="U336" s="129" t="n"/>
    </row>
    <row r="337">
      <c r="Q337" s="130" t="n"/>
      <c r="R337" s="129" t="n"/>
      <c r="S337" s="174" t="n"/>
      <c r="T337" s="129" t="n"/>
      <c r="U337" s="129" t="n"/>
    </row>
    <row r="338">
      <c r="Q338" s="130" t="n"/>
      <c r="R338" s="129" t="n"/>
      <c r="S338" s="174" t="n"/>
      <c r="T338" s="129" t="n"/>
      <c r="U338" s="129" t="n"/>
    </row>
    <row r="339">
      <c r="Q339" s="130" t="n"/>
      <c r="R339" s="129" t="n"/>
      <c r="S339" s="174" t="n"/>
      <c r="T339" s="129" t="n"/>
      <c r="U339" s="129" t="n"/>
    </row>
    <row r="340">
      <c r="Q340" s="130" t="n"/>
      <c r="R340" s="129" t="n"/>
      <c r="S340" s="174" t="n"/>
      <c r="T340" s="129" t="n"/>
      <c r="U340" s="129" t="n"/>
    </row>
    <row r="341">
      <c r="Q341" s="130" t="n"/>
      <c r="R341" s="129" t="n"/>
      <c r="S341" s="174" t="n"/>
      <c r="T341" s="129" t="n"/>
      <c r="U341" s="129" t="n"/>
    </row>
    <row r="342">
      <c r="Q342" s="130" t="n"/>
      <c r="R342" s="129" t="n"/>
      <c r="S342" s="174" t="n"/>
      <c r="T342" s="129" t="n"/>
      <c r="U342" s="129" t="n"/>
    </row>
    <row r="343">
      <c r="Q343" s="130" t="n"/>
      <c r="R343" s="129" t="n"/>
      <c r="S343" s="174" t="n"/>
      <c r="T343" s="129" t="n"/>
      <c r="U343" s="129" t="n"/>
    </row>
    <row r="344">
      <c r="Q344" s="130" t="n"/>
      <c r="R344" s="129" t="n"/>
      <c r="S344" s="174" t="n"/>
      <c r="T344" s="129" t="n"/>
      <c r="U344" s="129" t="n"/>
    </row>
    <row r="345">
      <c r="Q345" s="130" t="n"/>
      <c r="R345" s="129" t="n"/>
      <c r="S345" s="174" t="n"/>
      <c r="T345" s="129" t="n"/>
      <c r="U345" s="129" t="n"/>
    </row>
    <row r="346">
      <c r="Q346" s="130" t="n"/>
      <c r="R346" s="129" t="n"/>
      <c r="S346" s="174" t="n"/>
      <c r="T346" s="129" t="n"/>
      <c r="U346" s="129" t="n"/>
    </row>
    <row r="347">
      <c r="Q347" s="130" t="n"/>
      <c r="R347" s="129" t="n"/>
      <c r="S347" s="174" t="n"/>
      <c r="T347" s="129" t="n"/>
      <c r="U347" s="129" t="n"/>
    </row>
    <row r="348">
      <c r="Q348" s="130" t="n"/>
      <c r="R348" s="129" t="n"/>
      <c r="S348" s="174" t="n"/>
      <c r="T348" s="129" t="n"/>
      <c r="U348" s="129" t="n"/>
    </row>
    <row r="349">
      <c r="Q349" s="130" t="n"/>
      <c r="R349" s="129" t="n"/>
      <c r="S349" s="174" t="n"/>
      <c r="T349" s="129" t="n"/>
      <c r="U349" s="129" t="n"/>
    </row>
    <row r="350">
      <c r="Q350" s="130" t="n"/>
      <c r="R350" s="129" t="n"/>
      <c r="S350" s="174" t="n"/>
      <c r="T350" s="129" t="n"/>
      <c r="U350" s="129" t="n"/>
    </row>
    <row r="351">
      <c r="Q351" s="130" t="n"/>
      <c r="R351" s="129" t="n"/>
      <c r="S351" s="174" t="n"/>
      <c r="T351" s="129" t="n"/>
      <c r="U351" s="129" t="n"/>
    </row>
    <row r="352">
      <c r="Q352" s="130" t="n"/>
      <c r="R352" s="129" t="n"/>
      <c r="S352" s="174" t="n"/>
      <c r="T352" s="129" t="n"/>
      <c r="U352" s="129" t="n"/>
    </row>
    <row r="353">
      <c r="Q353" s="130" t="n"/>
      <c r="R353" s="129" t="n"/>
      <c r="S353" s="174" t="n"/>
      <c r="T353" s="129" t="n"/>
      <c r="U353" s="129" t="n"/>
    </row>
    <row r="354">
      <c r="Q354" s="130" t="n"/>
      <c r="R354" s="129" t="n"/>
      <c r="S354" s="174" t="n"/>
      <c r="T354" s="129" t="n"/>
      <c r="U354" s="129" t="n"/>
    </row>
    <row r="355">
      <c r="Q355" s="130" t="n"/>
      <c r="R355" s="129" t="n"/>
      <c r="S355" s="174" t="n"/>
      <c r="T355" s="129" t="n"/>
      <c r="U355" s="129" t="n"/>
    </row>
    <row r="356">
      <c r="Q356" s="130" t="n"/>
      <c r="R356" s="129" t="n"/>
      <c r="S356" s="174" t="n"/>
      <c r="T356" s="129" t="n"/>
      <c r="U356" s="129" t="n"/>
    </row>
    <row r="357">
      <c r="Q357" s="130" t="n"/>
      <c r="R357" s="129" t="n"/>
      <c r="S357" s="174" t="n"/>
      <c r="T357" s="129" t="n"/>
      <c r="U357" s="129" t="n"/>
    </row>
    <row r="358">
      <c r="Q358" s="130" t="n"/>
      <c r="R358" s="129" t="n"/>
      <c r="S358" s="174" t="n"/>
      <c r="T358" s="129" t="n"/>
      <c r="U358" s="129" t="n"/>
    </row>
    <row r="359">
      <c r="Q359" s="130" t="n"/>
      <c r="R359" s="129" t="n"/>
      <c r="S359" s="174" t="n"/>
      <c r="T359" s="129" t="n"/>
      <c r="U359" s="129" t="n"/>
    </row>
    <row r="360">
      <c r="Q360" s="130" t="n"/>
      <c r="R360" s="129" t="n"/>
      <c r="S360" s="174" t="n"/>
      <c r="T360" s="129" t="n"/>
      <c r="U360" s="129" t="n"/>
    </row>
    <row r="361">
      <c r="Q361" s="130" t="n"/>
      <c r="R361" s="129" t="n"/>
      <c r="S361" s="174" t="n"/>
      <c r="T361" s="129" t="n"/>
      <c r="U361" s="129" t="n"/>
    </row>
    <row r="362">
      <c r="Q362" s="130" t="n"/>
      <c r="R362" s="129" t="n"/>
      <c r="S362" s="174" t="n"/>
      <c r="T362" s="129" t="n"/>
      <c r="U362" s="129" t="n"/>
    </row>
    <row r="363">
      <c r="Q363" s="130" t="n"/>
      <c r="R363" s="129" t="n"/>
      <c r="S363" s="174" t="n"/>
      <c r="T363" s="129" t="n"/>
      <c r="U363" s="129" t="n"/>
    </row>
    <row r="364">
      <c r="Q364" s="130" t="n"/>
      <c r="R364" s="129" t="n"/>
      <c r="S364" s="174" t="n"/>
      <c r="T364" s="129" t="n"/>
      <c r="U364" s="129" t="n"/>
    </row>
    <row r="365">
      <c r="Q365" s="130" t="n"/>
      <c r="R365" s="129" t="n"/>
      <c r="S365" s="174" t="n"/>
      <c r="T365" s="129" t="n"/>
      <c r="U365" s="129" t="n"/>
    </row>
    <row r="366">
      <c r="Q366" s="130" t="n"/>
      <c r="R366" s="129" t="n"/>
      <c r="S366" s="174" t="n"/>
      <c r="T366" s="129" t="n"/>
      <c r="U366" s="129" t="n"/>
    </row>
    <row r="367">
      <c r="Q367" s="130" t="n"/>
      <c r="R367" s="129" t="n"/>
      <c r="S367" s="174" t="n"/>
      <c r="T367" s="129" t="n"/>
      <c r="U367" s="129" t="n"/>
    </row>
    <row r="368">
      <c r="Q368" s="130" t="n"/>
      <c r="R368" s="129" t="n"/>
      <c r="S368" s="174" t="n"/>
      <c r="T368" s="129" t="n"/>
      <c r="U368" s="129" t="n"/>
    </row>
    <row r="369">
      <c r="Q369" s="130" t="n"/>
      <c r="R369" s="129" t="n"/>
      <c r="S369" s="174" t="n"/>
      <c r="T369" s="129" t="n"/>
      <c r="U369" s="129" t="n"/>
    </row>
    <row r="370">
      <c r="Q370" s="130" t="n"/>
      <c r="R370" s="129" t="n"/>
      <c r="S370" s="174" t="n"/>
      <c r="T370" s="129" t="n"/>
      <c r="U370" s="129" t="n"/>
    </row>
    <row r="371">
      <c r="Q371" s="130" t="n"/>
      <c r="R371" s="129" t="n"/>
      <c r="S371" s="174" t="n"/>
      <c r="T371" s="129" t="n"/>
      <c r="U371" s="129" t="n"/>
    </row>
    <row r="372">
      <c r="Q372" s="130" t="n"/>
      <c r="R372" s="129" t="n"/>
      <c r="S372" s="174" t="n"/>
      <c r="T372" s="129" t="n"/>
      <c r="U372" s="129" t="n"/>
    </row>
    <row r="373">
      <c r="Q373" s="130" t="n"/>
      <c r="R373" s="129" t="n"/>
      <c r="S373" s="174" t="n"/>
      <c r="T373" s="129" t="n"/>
      <c r="U373" s="129" t="n"/>
    </row>
    <row r="374">
      <c r="Q374" s="130" t="n"/>
      <c r="R374" s="129" t="n"/>
      <c r="S374" s="174" t="n"/>
      <c r="T374" s="129" t="n"/>
      <c r="U374" s="129" t="n"/>
    </row>
    <row r="375">
      <c r="Q375" s="130" t="n"/>
      <c r="R375" s="129" t="n"/>
      <c r="S375" s="174" t="n"/>
      <c r="T375" s="129" t="n"/>
      <c r="U375" s="129" t="n"/>
    </row>
    <row r="376">
      <c r="Q376" s="130" t="n"/>
      <c r="R376" s="129" t="n"/>
      <c r="S376" s="174" t="n"/>
      <c r="T376" s="129" t="n"/>
      <c r="U376" s="129" t="n"/>
    </row>
    <row r="377">
      <c r="Q377" s="130" t="n"/>
      <c r="R377" s="129" t="n"/>
      <c r="S377" s="174" t="n"/>
      <c r="T377" s="129" t="n"/>
      <c r="U377" s="129" t="n"/>
    </row>
    <row r="378">
      <c r="Q378" s="130" t="n"/>
      <c r="R378" s="129" t="n"/>
      <c r="S378" s="174" t="n"/>
      <c r="T378" s="129" t="n"/>
      <c r="U378" s="129" t="n"/>
    </row>
    <row r="379">
      <c r="Q379" s="130" t="n"/>
      <c r="R379" s="129" t="n"/>
      <c r="S379" s="174" t="n"/>
      <c r="T379" s="129" t="n"/>
      <c r="U379" s="129" t="n"/>
    </row>
    <row r="380">
      <c r="Q380" s="130" t="n"/>
      <c r="R380" s="129" t="n"/>
      <c r="S380" s="174" t="n"/>
      <c r="T380" s="129" t="n"/>
      <c r="U380" s="129" t="n"/>
    </row>
    <row r="381">
      <c r="Q381" s="130" t="n"/>
      <c r="R381" s="129" t="n"/>
      <c r="S381" s="174" t="n"/>
      <c r="T381" s="129" t="n"/>
      <c r="U381" s="129" t="n"/>
    </row>
    <row r="382">
      <c r="Q382" s="130" t="n"/>
      <c r="R382" s="129" t="n"/>
      <c r="S382" s="174" t="n"/>
      <c r="T382" s="129" t="n"/>
      <c r="U382" s="129" t="n"/>
    </row>
    <row r="383">
      <c r="Q383" s="130" t="n"/>
      <c r="R383" s="129" t="n"/>
      <c r="S383" s="174" t="n"/>
      <c r="T383" s="129" t="n"/>
      <c r="U383" s="129" t="n"/>
    </row>
    <row r="384">
      <c r="Q384" s="130" t="n"/>
      <c r="R384" s="129" t="n"/>
      <c r="S384" s="174" t="n"/>
      <c r="T384" s="129" t="n"/>
      <c r="U384" s="129" t="n"/>
    </row>
    <row r="385">
      <c r="Q385" s="130" t="n"/>
      <c r="R385" s="129" t="n"/>
      <c r="S385" s="174" t="n"/>
      <c r="T385" s="129" t="n"/>
      <c r="U385" s="129" t="n"/>
    </row>
    <row r="386">
      <c r="Q386" s="130" t="n"/>
      <c r="R386" s="129" t="n"/>
      <c r="S386" s="174" t="n"/>
      <c r="T386" s="129" t="n"/>
      <c r="U386" s="129" t="n"/>
    </row>
    <row r="387">
      <c r="Q387" s="130" t="n"/>
      <c r="R387" s="129" t="n"/>
      <c r="S387" s="174" t="n"/>
      <c r="T387" s="129" t="n"/>
      <c r="U387" s="129" t="n"/>
    </row>
    <row r="388">
      <c r="Q388" s="130" t="n"/>
      <c r="R388" s="129" t="n"/>
      <c r="S388" s="174" t="n"/>
      <c r="T388" s="129" t="n"/>
      <c r="U388" s="129" t="n"/>
    </row>
    <row r="389">
      <c r="Q389" s="130" t="n"/>
      <c r="R389" s="129" t="n"/>
      <c r="S389" s="174" t="n"/>
      <c r="T389" s="129" t="n"/>
      <c r="U389" s="129" t="n"/>
    </row>
    <row r="390">
      <c r="Q390" s="130" t="n"/>
      <c r="R390" s="129" t="n"/>
      <c r="S390" s="174" t="n"/>
      <c r="T390" s="129" t="n"/>
      <c r="U390" s="129" t="n"/>
    </row>
    <row r="391">
      <c r="Q391" s="130" t="n"/>
      <c r="R391" s="129" t="n"/>
      <c r="S391" s="174" t="n"/>
      <c r="T391" s="129" t="n"/>
      <c r="U391" s="129" t="n"/>
    </row>
    <row r="392">
      <c r="Q392" s="130" t="n"/>
      <c r="R392" s="129" t="n"/>
      <c r="S392" s="174" t="n"/>
      <c r="T392" s="129" t="n"/>
      <c r="U392" s="129" t="n"/>
    </row>
    <row r="393">
      <c r="Q393" s="130" t="n"/>
      <c r="R393" s="129" t="n"/>
      <c r="S393" s="174" t="n"/>
      <c r="T393" s="129" t="n"/>
      <c r="U393" s="129" t="n"/>
    </row>
    <row r="394">
      <c r="Q394" s="130" t="n"/>
      <c r="R394" s="129" t="n"/>
      <c r="S394" s="174" t="n"/>
      <c r="T394" s="129" t="n"/>
      <c r="U394" s="129" t="n"/>
    </row>
    <row r="395">
      <c r="Q395" s="130" t="n"/>
      <c r="R395" s="129" t="n"/>
      <c r="S395" s="174" t="n"/>
      <c r="T395" s="129" t="n"/>
      <c r="U395" s="129" t="n"/>
    </row>
    <row r="396">
      <c r="Q396" s="130" t="n"/>
      <c r="R396" s="129" t="n"/>
      <c r="S396" s="174" t="n"/>
      <c r="T396" s="129" t="n"/>
      <c r="U396" s="129" t="n"/>
    </row>
    <row r="397">
      <c r="Q397" s="130" t="n"/>
      <c r="R397" s="129" t="n"/>
      <c r="S397" s="174" t="n"/>
      <c r="T397" s="129" t="n"/>
      <c r="U397" s="129" t="n"/>
    </row>
    <row r="398">
      <c r="Q398" s="130" t="n"/>
      <c r="R398" s="129" t="n"/>
      <c r="S398" s="174" t="n"/>
      <c r="T398" s="129" t="n"/>
      <c r="U398" s="129" t="n"/>
    </row>
    <row r="399">
      <c r="Q399" s="130" t="n"/>
      <c r="R399" s="129" t="n"/>
      <c r="S399" s="174" t="n"/>
      <c r="T399" s="129" t="n"/>
      <c r="U399" s="129" t="n"/>
    </row>
    <row r="400">
      <c r="Q400" s="130" t="n"/>
      <c r="R400" s="129" t="n"/>
      <c r="S400" s="174" t="n"/>
      <c r="T400" s="129" t="n"/>
      <c r="U400" s="129" t="n"/>
    </row>
    <row r="401">
      <c r="Q401" s="130" t="n"/>
      <c r="R401" s="129" t="n"/>
      <c r="S401" s="174" t="n"/>
      <c r="T401" s="129" t="n"/>
      <c r="U401" s="129" t="n"/>
    </row>
    <row r="402">
      <c r="Q402" s="130" t="n"/>
      <c r="R402" s="129" t="n"/>
      <c r="S402" s="174" t="n"/>
      <c r="T402" s="129" t="n"/>
      <c r="U402" s="129" t="n"/>
    </row>
    <row r="403">
      <c r="Q403" s="130" t="n"/>
      <c r="R403" s="129" t="n"/>
      <c r="S403" s="174" t="n"/>
      <c r="T403" s="129" t="n"/>
      <c r="U403" s="129" t="n"/>
    </row>
    <row r="404">
      <c r="Q404" s="130" t="n"/>
      <c r="R404" s="129" t="n"/>
      <c r="S404" s="174" t="n"/>
      <c r="T404" s="129" t="n"/>
      <c r="U404" s="129" t="n"/>
    </row>
    <row r="405">
      <c r="Q405" s="130" t="n"/>
      <c r="R405" s="129" t="n"/>
      <c r="S405" s="174" t="n"/>
      <c r="T405" s="129" t="n"/>
      <c r="U405" s="129" t="n"/>
    </row>
    <row r="406">
      <c r="Q406" s="130" t="n"/>
      <c r="R406" s="129" t="n"/>
      <c r="S406" s="174" t="n"/>
      <c r="T406" s="129" t="n"/>
      <c r="U406" s="129" t="n"/>
    </row>
    <row r="407">
      <c r="Q407" s="130" t="n"/>
      <c r="R407" s="129" t="n"/>
      <c r="S407" s="174" t="n"/>
      <c r="T407" s="129" t="n"/>
      <c r="U407" s="129" t="n"/>
    </row>
    <row r="408">
      <c r="Q408" s="130" t="n"/>
      <c r="R408" s="129" t="n"/>
      <c r="S408" s="174" t="n"/>
      <c r="T408" s="129" t="n"/>
      <c r="U408" s="129" t="n"/>
    </row>
    <row r="409">
      <c r="Q409" s="130" t="n"/>
      <c r="R409" s="129" t="n"/>
      <c r="S409" s="174" t="n"/>
      <c r="T409" s="129" t="n"/>
      <c r="U409" s="129" t="n"/>
    </row>
    <row r="410">
      <c r="Q410" s="130" t="n"/>
      <c r="R410" s="129" t="n"/>
      <c r="S410" s="174" t="n"/>
      <c r="T410" s="129" t="n"/>
      <c r="U410" s="129" t="n"/>
    </row>
    <row r="411">
      <c r="Q411" s="130" t="n"/>
      <c r="R411" s="129" t="n"/>
      <c r="S411" s="174" t="n"/>
      <c r="T411" s="129" t="n"/>
      <c r="U411" s="129" t="n"/>
    </row>
    <row r="412">
      <c r="Q412" s="130" t="n"/>
      <c r="R412" s="129" t="n"/>
      <c r="S412" s="174" t="n"/>
      <c r="T412" s="129" t="n"/>
      <c r="U412" s="129" t="n"/>
    </row>
    <row r="413">
      <c r="Q413" s="130" t="n"/>
      <c r="R413" s="129" t="n"/>
      <c r="S413" s="174" t="n"/>
      <c r="T413" s="129" t="n"/>
      <c r="U413" s="129" t="n"/>
    </row>
    <row r="414">
      <c r="Q414" s="130" t="n"/>
      <c r="R414" s="129" t="n"/>
      <c r="S414" s="174" t="n"/>
      <c r="T414" s="129" t="n"/>
      <c r="U414" s="129" t="n"/>
    </row>
    <row r="415">
      <c r="Q415" s="130" t="n"/>
      <c r="R415" s="129" t="n"/>
      <c r="S415" s="174" t="n"/>
      <c r="T415" s="129" t="n"/>
      <c r="U415" s="129" t="n"/>
    </row>
    <row r="416">
      <c r="Q416" s="130" t="n"/>
      <c r="R416" s="129" t="n"/>
      <c r="S416" s="174" t="n"/>
      <c r="T416" s="129" t="n"/>
      <c r="U416" s="129" t="n"/>
    </row>
    <row r="417">
      <c r="Q417" s="130" t="n"/>
      <c r="R417" s="129" t="n"/>
      <c r="S417" s="174" t="n"/>
      <c r="T417" s="129" t="n"/>
      <c r="U417" s="129" t="n"/>
    </row>
    <row r="418">
      <c r="Q418" s="130" t="n"/>
      <c r="R418" s="129" t="n"/>
      <c r="S418" s="174" t="n"/>
      <c r="T418" s="129" t="n"/>
      <c r="U418" s="129" t="n"/>
    </row>
    <row r="419">
      <c r="Q419" s="130" t="n"/>
      <c r="R419" s="129" t="n"/>
      <c r="S419" s="174" t="n"/>
      <c r="T419" s="129" t="n"/>
      <c r="U419" s="129" t="n"/>
    </row>
    <row r="420">
      <c r="Q420" s="130" t="n"/>
      <c r="R420" s="129" t="n"/>
      <c r="S420" s="174" t="n"/>
      <c r="T420" s="129" t="n"/>
      <c r="U420" s="129" t="n"/>
    </row>
    <row r="421">
      <c r="Q421" s="130" t="n"/>
      <c r="R421" s="129" t="n"/>
      <c r="S421" s="174" t="n"/>
      <c r="T421" s="129" t="n"/>
      <c r="U421" s="129" t="n"/>
    </row>
    <row r="422">
      <c r="Q422" s="130" t="n"/>
      <c r="R422" s="129" t="n"/>
      <c r="S422" s="174" t="n"/>
      <c r="T422" s="129" t="n"/>
      <c r="U422" s="129" t="n"/>
    </row>
    <row r="423">
      <c r="Q423" s="130" t="n"/>
      <c r="R423" s="129" t="n"/>
      <c r="S423" s="174" t="n"/>
      <c r="T423" s="129" t="n"/>
      <c r="U423" s="129" t="n"/>
    </row>
    <row r="424">
      <c r="Q424" s="130" t="n"/>
      <c r="R424" s="129" t="n"/>
      <c r="S424" s="174" t="n"/>
      <c r="T424" s="129" t="n"/>
      <c r="U424" s="129" t="n"/>
    </row>
    <row r="425">
      <c r="Q425" s="130" t="n"/>
      <c r="R425" s="129" t="n"/>
      <c r="S425" s="174" t="n"/>
      <c r="T425" s="129" t="n"/>
      <c r="U425" s="129" t="n"/>
    </row>
    <row r="426">
      <c r="Q426" s="130" t="n"/>
      <c r="R426" s="129" t="n"/>
      <c r="S426" s="174" t="n"/>
      <c r="T426" s="129" t="n"/>
      <c r="U426" s="129" t="n"/>
    </row>
    <row r="427">
      <c r="Q427" s="130" t="n"/>
      <c r="R427" s="129" t="n"/>
      <c r="S427" s="174" t="n"/>
      <c r="T427" s="129" t="n"/>
      <c r="U427" s="129" t="n"/>
    </row>
    <row r="428">
      <c r="Q428" s="130" t="n"/>
      <c r="R428" s="129" t="n"/>
      <c r="S428" s="174" t="n"/>
      <c r="T428" s="129" t="n"/>
      <c r="U428" s="129" t="n"/>
    </row>
    <row r="429">
      <c r="Q429" s="130" t="n"/>
      <c r="R429" s="129" t="n"/>
      <c r="S429" s="174" t="n"/>
      <c r="T429" s="129" t="n"/>
      <c r="U429" s="129" t="n"/>
    </row>
    <row r="430">
      <c r="Q430" s="130" t="n"/>
      <c r="R430" s="129" t="n"/>
      <c r="S430" s="174" t="n"/>
      <c r="T430" s="129" t="n"/>
      <c r="U430" s="129" t="n"/>
    </row>
    <row r="431">
      <c r="Q431" s="130" t="n"/>
      <c r="R431" s="129" t="n"/>
      <c r="S431" s="174" t="n"/>
      <c r="T431" s="129" t="n"/>
      <c r="U431" s="129" t="n"/>
    </row>
    <row r="432">
      <c r="Q432" s="130" t="n"/>
      <c r="R432" s="129" t="n"/>
      <c r="S432" s="174" t="n"/>
      <c r="T432" s="129" t="n"/>
      <c r="U432" s="129" t="n"/>
    </row>
    <row r="433">
      <c r="Q433" s="130" t="n"/>
      <c r="R433" s="129" t="n"/>
      <c r="S433" s="174" t="n"/>
      <c r="T433" s="129" t="n"/>
      <c r="U433" s="129" t="n"/>
    </row>
    <row r="434">
      <c r="Q434" s="130" t="n"/>
      <c r="R434" s="129" t="n"/>
      <c r="S434" s="174" t="n"/>
      <c r="T434" s="129" t="n"/>
      <c r="U434" s="129" t="n"/>
    </row>
    <row r="435">
      <c r="Q435" s="130" t="n"/>
      <c r="R435" s="129" t="n"/>
      <c r="S435" s="174" t="n"/>
      <c r="T435" s="129" t="n"/>
      <c r="U435" s="129" t="n"/>
    </row>
    <row r="436">
      <c r="Q436" s="130" t="n"/>
      <c r="R436" s="129" t="n"/>
      <c r="S436" s="174" t="n"/>
      <c r="T436" s="129" t="n"/>
      <c r="U436" s="129" t="n"/>
    </row>
    <row r="437">
      <c r="Q437" s="130" t="n"/>
      <c r="R437" s="129" t="n"/>
      <c r="S437" s="174" t="n"/>
      <c r="T437" s="129" t="n"/>
      <c r="U437" s="129" t="n"/>
    </row>
    <row r="438">
      <c r="Q438" s="130" t="n"/>
      <c r="R438" s="129" t="n"/>
      <c r="S438" s="174" t="n"/>
      <c r="T438" s="129" t="n"/>
      <c r="U438" s="129" t="n"/>
    </row>
    <row r="439">
      <c r="Q439" s="130" t="n"/>
      <c r="R439" s="129" t="n"/>
      <c r="S439" s="174" t="n"/>
      <c r="T439" s="129" t="n"/>
      <c r="U439" s="129" t="n"/>
    </row>
    <row r="440">
      <c r="Q440" s="130" t="n"/>
      <c r="R440" s="129" t="n"/>
      <c r="S440" s="174" t="n"/>
      <c r="T440" s="129" t="n"/>
      <c r="U440" s="129" t="n"/>
    </row>
    <row r="441">
      <c r="Q441" s="130" t="n"/>
      <c r="R441" s="129" t="n"/>
      <c r="S441" s="174" t="n"/>
      <c r="T441" s="129" t="n"/>
      <c r="U441" s="129" t="n"/>
    </row>
    <row r="442">
      <c r="Q442" s="130" t="n"/>
      <c r="R442" s="129" t="n"/>
      <c r="S442" s="174" t="n"/>
      <c r="T442" s="129" t="n"/>
      <c r="U442" s="129" t="n"/>
    </row>
    <row r="443">
      <c r="Q443" s="130" t="n"/>
      <c r="R443" s="129" t="n"/>
      <c r="S443" s="174" t="n"/>
      <c r="T443" s="129" t="n"/>
      <c r="U443" s="129" t="n"/>
    </row>
    <row r="444">
      <c r="Q444" s="130" t="n"/>
      <c r="R444" s="129" t="n"/>
      <c r="S444" s="174" t="n"/>
      <c r="T444" s="129" t="n"/>
      <c r="U444" s="129" t="n"/>
    </row>
    <row r="445">
      <c r="Q445" s="130" t="n"/>
      <c r="R445" s="129" t="n"/>
      <c r="S445" s="174" t="n"/>
      <c r="T445" s="129" t="n"/>
      <c r="U445" s="129" t="n"/>
    </row>
    <row r="446">
      <c r="Q446" s="130" t="n"/>
      <c r="R446" s="129" t="n"/>
      <c r="S446" s="174" t="n"/>
      <c r="T446" s="129" t="n"/>
      <c r="U446" s="129" t="n"/>
    </row>
    <row r="447">
      <c r="Q447" s="130" t="n"/>
      <c r="R447" s="129" t="n"/>
      <c r="S447" s="174" t="n"/>
      <c r="T447" s="129" t="n"/>
      <c r="U447" s="129" t="n"/>
    </row>
    <row r="448">
      <c r="Q448" s="130" t="n"/>
      <c r="R448" s="129" t="n"/>
      <c r="S448" s="174" t="n"/>
      <c r="T448" s="129" t="n"/>
      <c r="U448" s="129" t="n"/>
    </row>
    <row r="449">
      <c r="Q449" s="130" t="n"/>
      <c r="R449" s="129" t="n"/>
      <c r="S449" s="174" t="n"/>
      <c r="T449" s="129" t="n"/>
      <c r="U449" s="129" t="n"/>
    </row>
    <row r="450">
      <c r="Q450" s="130" t="n"/>
      <c r="R450" s="129" t="n"/>
      <c r="S450" s="174" t="n"/>
      <c r="T450" s="129" t="n"/>
      <c r="U450" s="129" t="n"/>
    </row>
    <row r="451">
      <c r="Q451" s="130" t="n"/>
      <c r="R451" s="129" t="n"/>
      <c r="S451" s="174" t="n"/>
      <c r="T451" s="129" t="n"/>
      <c r="U451" s="129" t="n"/>
    </row>
    <row r="452">
      <c r="Q452" s="130" t="n"/>
      <c r="R452" s="129" t="n"/>
      <c r="S452" s="174" t="n"/>
      <c r="T452" s="129" t="n"/>
      <c r="U452" s="129" t="n"/>
    </row>
    <row r="453">
      <c r="Q453" s="130" t="n"/>
      <c r="R453" s="129" t="n"/>
      <c r="S453" s="174" t="n"/>
      <c r="T453" s="129" t="n"/>
      <c r="U453" s="129" t="n"/>
    </row>
    <row r="454">
      <c r="Q454" s="130" t="n"/>
      <c r="R454" s="129" t="n"/>
      <c r="S454" s="174" t="n"/>
      <c r="T454" s="129" t="n"/>
      <c r="U454" s="129" t="n"/>
    </row>
    <row r="455">
      <c r="Q455" s="130" t="n"/>
      <c r="R455" s="129" t="n"/>
      <c r="S455" s="174" t="n"/>
      <c r="T455" s="129" t="n"/>
      <c r="U455" s="129" t="n"/>
    </row>
    <row r="456">
      <c r="Q456" s="130" t="n"/>
      <c r="R456" s="129" t="n"/>
      <c r="S456" s="174" t="n"/>
      <c r="T456" s="129" t="n"/>
      <c r="U456" s="129" t="n"/>
    </row>
    <row r="457">
      <c r="Q457" s="130" t="n"/>
      <c r="R457" s="129" t="n"/>
      <c r="S457" s="174" t="n"/>
      <c r="T457" s="129" t="n"/>
      <c r="U457" s="129" t="n"/>
    </row>
    <row r="458">
      <c r="Q458" s="130" t="n"/>
      <c r="R458" s="129" t="n"/>
      <c r="S458" s="174" t="n"/>
      <c r="T458" s="129" t="n"/>
      <c r="U458" s="129" t="n"/>
    </row>
    <row r="459">
      <c r="Q459" s="130" t="n"/>
      <c r="R459" s="129" t="n"/>
      <c r="S459" s="174" t="n"/>
      <c r="T459" s="129" t="n"/>
      <c r="U459" s="129" t="n"/>
    </row>
    <row r="460">
      <c r="Q460" s="130" t="n"/>
      <c r="R460" s="129" t="n"/>
      <c r="S460" s="174" t="n"/>
      <c r="T460" s="129" t="n"/>
      <c r="U460" s="129" t="n"/>
    </row>
    <row r="461">
      <c r="Q461" s="130" t="n"/>
      <c r="R461" s="129" t="n"/>
      <c r="S461" s="174" t="n"/>
      <c r="T461" s="129" t="n"/>
      <c r="U461" s="129" t="n"/>
    </row>
    <row r="462">
      <c r="Q462" s="130" t="n"/>
      <c r="R462" s="129" t="n"/>
      <c r="S462" s="174" t="n"/>
      <c r="T462" s="129" t="n"/>
      <c r="U462" s="129" t="n"/>
    </row>
    <row r="463">
      <c r="Q463" s="130" t="n"/>
      <c r="R463" s="129" t="n"/>
      <c r="S463" s="174" t="n"/>
      <c r="T463" s="129" t="n"/>
      <c r="U463" s="129" t="n"/>
    </row>
    <row r="464">
      <c r="Q464" s="130" t="n"/>
      <c r="R464" s="129" t="n"/>
      <c r="S464" s="174" t="n"/>
      <c r="T464" s="129" t="n"/>
      <c r="U464" s="129" t="n"/>
    </row>
    <row r="465">
      <c r="Q465" s="130" t="n"/>
      <c r="R465" s="129" t="n"/>
      <c r="S465" s="174" t="n"/>
      <c r="T465" s="129" t="n"/>
      <c r="U465" s="129" t="n"/>
    </row>
    <row r="466">
      <c r="Q466" s="130" t="n"/>
      <c r="R466" s="129" t="n"/>
      <c r="S466" s="174" t="n"/>
      <c r="T466" s="129" t="n"/>
      <c r="U466" s="129" t="n"/>
    </row>
    <row r="467">
      <c r="Q467" s="130" t="n"/>
      <c r="R467" s="129" t="n"/>
      <c r="S467" s="174" t="n"/>
      <c r="T467" s="129" t="n"/>
      <c r="U467" s="129" t="n"/>
    </row>
    <row r="468">
      <c r="Q468" s="130" t="n"/>
      <c r="R468" s="129" t="n"/>
      <c r="S468" s="174" t="n"/>
      <c r="T468" s="129" t="n"/>
      <c r="U468" s="129" t="n"/>
    </row>
    <row r="469">
      <c r="Q469" s="130" t="n"/>
      <c r="R469" s="129" t="n"/>
      <c r="S469" s="174" t="n"/>
      <c r="T469" s="129" t="n"/>
      <c r="U469" s="129" t="n"/>
    </row>
    <row r="470">
      <c r="Q470" s="130" t="n"/>
      <c r="R470" s="129" t="n"/>
      <c r="S470" s="174" t="n"/>
      <c r="T470" s="129" t="n"/>
      <c r="U470" s="129" t="n"/>
    </row>
    <row r="471">
      <c r="Q471" s="130" t="n"/>
      <c r="R471" s="129" t="n"/>
      <c r="S471" s="174" t="n"/>
      <c r="T471" s="129" t="n"/>
      <c r="U471" s="129" t="n"/>
    </row>
    <row r="472">
      <c r="Q472" s="130" t="n"/>
      <c r="R472" s="129" t="n"/>
      <c r="S472" s="174" t="n"/>
      <c r="T472" s="129" t="n"/>
      <c r="U472" s="129" t="n"/>
    </row>
    <row r="473">
      <c r="Q473" s="130" t="n"/>
      <c r="R473" s="129" t="n"/>
      <c r="S473" s="174" t="n"/>
      <c r="T473" s="129" t="n"/>
      <c r="U473" s="129" t="n"/>
    </row>
    <row r="474">
      <c r="Q474" s="130" t="n"/>
      <c r="R474" s="129" t="n"/>
      <c r="S474" s="174" t="n"/>
      <c r="T474" s="129" t="n"/>
      <c r="U474" s="129" t="n"/>
    </row>
    <row r="475">
      <c r="Q475" s="130" t="n"/>
      <c r="R475" s="129" t="n"/>
      <c r="S475" s="174" t="n"/>
      <c r="T475" s="129" t="n"/>
      <c r="U475" s="129" t="n"/>
    </row>
    <row r="476">
      <c r="Q476" s="130" t="n"/>
      <c r="R476" s="129" t="n"/>
      <c r="S476" s="174" t="n"/>
      <c r="T476" s="129" t="n"/>
      <c r="U476" s="129" t="n"/>
    </row>
    <row r="477">
      <c r="Q477" s="130" t="n"/>
      <c r="R477" s="129" t="n"/>
      <c r="S477" s="174" t="n"/>
      <c r="T477" s="129" t="n"/>
      <c r="U477" s="129" t="n"/>
    </row>
    <row r="478">
      <c r="Q478" s="130" t="n"/>
      <c r="R478" s="129" t="n"/>
      <c r="S478" s="174" t="n"/>
      <c r="T478" s="129" t="n"/>
      <c r="U478" s="129" t="n"/>
    </row>
    <row r="479">
      <c r="Q479" s="130" t="n"/>
      <c r="R479" s="129" t="n"/>
      <c r="S479" s="174" t="n"/>
      <c r="T479" s="129" t="n"/>
      <c r="U479" s="129" t="n"/>
    </row>
    <row r="480">
      <c r="Q480" s="130" t="n"/>
      <c r="R480" s="129" t="n"/>
      <c r="S480" s="174" t="n"/>
      <c r="T480" s="129" t="n"/>
      <c r="U480" s="129" t="n"/>
    </row>
    <row r="481">
      <c r="Q481" s="130" t="n"/>
      <c r="R481" s="129" t="n"/>
      <c r="S481" s="174" t="n"/>
      <c r="T481" s="129" t="n"/>
      <c r="U481" s="129" t="n"/>
    </row>
    <row r="482">
      <c r="Q482" s="130" t="n"/>
      <c r="R482" s="129" t="n"/>
      <c r="S482" s="174" t="n"/>
      <c r="T482" s="129" t="n"/>
      <c r="U482" s="129" t="n"/>
    </row>
    <row r="483">
      <c r="Q483" s="130" t="n"/>
      <c r="R483" s="129" t="n"/>
      <c r="S483" s="174" t="n"/>
      <c r="T483" s="129" t="n"/>
      <c r="U483" s="129" t="n"/>
    </row>
    <row r="484">
      <c r="Q484" s="130" t="n"/>
      <c r="R484" s="129" t="n"/>
      <c r="S484" s="174" t="n"/>
      <c r="T484" s="129" t="n"/>
      <c r="U484" s="129" t="n"/>
    </row>
    <row r="485">
      <c r="Q485" s="130" t="n"/>
      <c r="R485" s="129" t="n"/>
      <c r="S485" s="174" t="n"/>
      <c r="T485" s="129" t="n"/>
      <c r="U485" s="129" t="n"/>
    </row>
    <row r="486">
      <c r="Q486" s="130" t="n"/>
      <c r="R486" s="129" t="n"/>
      <c r="S486" s="174" t="n"/>
      <c r="T486" s="129" t="n"/>
      <c r="U486" s="129" t="n"/>
    </row>
    <row r="487">
      <c r="Q487" s="130" t="n"/>
      <c r="R487" s="129" t="n"/>
      <c r="S487" s="174" t="n"/>
      <c r="T487" s="129" t="n"/>
      <c r="U487" s="129" t="n"/>
    </row>
    <row r="488">
      <c r="Q488" s="130" t="n"/>
      <c r="R488" s="129" t="n"/>
      <c r="S488" s="174" t="n"/>
      <c r="T488" s="129" t="n"/>
      <c r="U488" s="129" t="n"/>
    </row>
    <row r="489">
      <c r="Q489" s="130" t="n"/>
      <c r="R489" s="129" t="n"/>
      <c r="S489" s="174" t="n"/>
      <c r="T489" s="129" t="n"/>
      <c r="U489" s="129" t="n"/>
    </row>
    <row r="490">
      <c r="Q490" s="130" t="n"/>
      <c r="R490" s="129" t="n"/>
      <c r="S490" s="174" t="n"/>
      <c r="T490" s="129" t="n"/>
      <c r="U490" s="129" t="n"/>
    </row>
    <row r="491">
      <c r="Q491" s="130" t="n"/>
      <c r="R491" s="129" t="n"/>
      <c r="S491" s="174" t="n"/>
      <c r="T491" s="129" t="n"/>
      <c r="U491" s="129" t="n"/>
    </row>
    <row r="492">
      <c r="Q492" s="130" t="n"/>
      <c r="R492" s="129" t="n"/>
      <c r="S492" s="174" t="n"/>
      <c r="T492" s="129" t="n"/>
      <c r="U492" s="129" t="n"/>
    </row>
    <row r="493">
      <c r="Q493" s="130" t="n"/>
      <c r="R493" s="129" t="n"/>
      <c r="S493" s="174" t="n"/>
      <c r="T493" s="129" t="n"/>
      <c r="U493" s="129" t="n"/>
    </row>
    <row r="494">
      <c r="Q494" s="130" t="n"/>
      <c r="R494" s="129" t="n"/>
      <c r="S494" s="174" t="n"/>
      <c r="T494" s="129" t="n"/>
      <c r="U494" s="129" t="n"/>
    </row>
    <row r="495">
      <c r="Q495" s="130" t="n"/>
      <c r="R495" s="129" t="n"/>
      <c r="S495" s="174" t="n"/>
      <c r="T495" s="129" t="n"/>
      <c r="U495" s="129" t="n"/>
    </row>
    <row r="496">
      <c r="Q496" s="130" t="n"/>
      <c r="R496" s="129" t="n"/>
      <c r="S496" s="174" t="n"/>
      <c r="T496" s="129" t="n"/>
      <c r="U496" s="129" t="n"/>
    </row>
    <row r="497">
      <c r="Q497" s="130" t="n"/>
      <c r="R497" s="129" t="n"/>
      <c r="S497" s="174" t="n"/>
      <c r="T497" s="129" t="n"/>
      <c r="U497" s="129" t="n"/>
    </row>
    <row r="498">
      <c r="Q498" s="130" t="n"/>
      <c r="R498" s="129" t="n"/>
      <c r="S498" s="174" t="n"/>
      <c r="T498" s="129" t="n"/>
      <c r="U498" s="129" t="n"/>
    </row>
    <row r="499">
      <c r="Q499" s="130" t="n"/>
      <c r="R499" s="129" t="n"/>
      <c r="S499" s="174" t="n"/>
      <c r="T499" s="129" t="n"/>
      <c r="U499" s="129" t="n"/>
    </row>
    <row r="500">
      <c r="Q500" s="130" t="n"/>
      <c r="R500" s="129" t="n"/>
      <c r="S500" s="174" t="n"/>
      <c r="T500" s="129" t="n"/>
      <c r="U500" s="129" t="n"/>
    </row>
    <row r="501">
      <c r="Q501" s="130" t="n"/>
      <c r="R501" s="129" t="n"/>
      <c r="S501" s="174" t="n"/>
      <c r="T501" s="129" t="n"/>
      <c r="U501" s="129" t="n"/>
    </row>
    <row r="502">
      <c r="Q502" s="130" t="n"/>
      <c r="R502" s="129" t="n"/>
      <c r="S502" s="174" t="n"/>
      <c r="T502" s="129" t="n"/>
      <c r="U502" s="129" t="n"/>
    </row>
    <row r="503">
      <c r="Q503" s="130" t="n"/>
      <c r="R503" s="129" t="n"/>
      <c r="S503" s="174" t="n"/>
      <c r="T503" s="129" t="n"/>
      <c r="U503" s="129" t="n"/>
    </row>
    <row r="504">
      <c r="Q504" s="130" t="n"/>
      <c r="R504" s="129" t="n"/>
      <c r="S504" s="174" t="n"/>
      <c r="T504" s="129" t="n"/>
      <c r="U504" s="129" t="n"/>
    </row>
    <row r="505">
      <c r="Q505" s="130" t="n"/>
      <c r="R505" s="129" t="n"/>
      <c r="S505" s="174" t="n"/>
      <c r="T505" s="129" t="n"/>
      <c r="U505" s="129" t="n"/>
    </row>
    <row r="506">
      <c r="Q506" s="130" t="n"/>
      <c r="R506" s="129" t="n"/>
      <c r="S506" s="174" t="n"/>
      <c r="T506" s="129" t="n"/>
      <c r="U506" s="129" t="n"/>
    </row>
    <row r="507">
      <c r="Q507" s="130" t="n"/>
      <c r="R507" s="129" t="n"/>
      <c r="S507" s="174" t="n"/>
      <c r="T507" s="129" t="n"/>
      <c r="U507" s="129" t="n"/>
    </row>
    <row r="508">
      <c r="Q508" s="130" t="n"/>
      <c r="R508" s="129" t="n"/>
      <c r="S508" s="174" t="n"/>
      <c r="T508" s="129" t="n"/>
      <c r="U508" s="129" t="n"/>
    </row>
    <row r="509">
      <c r="Q509" s="130" t="n"/>
      <c r="R509" s="129" t="n"/>
      <c r="S509" s="174" t="n"/>
      <c r="T509" s="129" t="n"/>
      <c r="U509" s="129" t="n"/>
    </row>
  </sheetData>
  <mergeCells count="15">
    <mergeCell ref="J7:L7"/>
    <mergeCell ref="J5:L5"/>
    <mergeCell ref="J6:L6"/>
    <mergeCell ref="M7:N7"/>
    <mergeCell ref="E6:F6"/>
    <mergeCell ref="C6:D6"/>
    <mergeCell ref="C7:D7"/>
    <mergeCell ref="G6:I6"/>
    <mergeCell ref="E7:F7"/>
    <mergeCell ref="G5:I5"/>
    <mergeCell ref="M6:N6"/>
    <mergeCell ref="C5:D5"/>
    <mergeCell ref="E5:F5"/>
    <mergeCell ref="M5:N5"/>
    <mergeCell ref="G7:I7"/>
  </mergeCells>
  <conditionalFormatting sqref="B7:N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J10:J89">
    <cfRule type="dataBar" priority="7">
      <dataBar showValue="1">
        <cfvo type="num" val="0"/>
        <cfvo type="num" val="1"/>
        <color rgb="004A3AA7"/>
      </dataBar>
    </cfRule>
  </conditionalFormatting>
  <conditionalFormatting sqref="E10:E89">
    <cfRule type="expression" priority="8" dxfId="21">
      <formula>$E10="Em andamento"</formula>
    </cfRule>
    <cfRule type="expression" priority="9" dxfId="5">
      <formula>$E10="Concluído"</formula>
    </cfRule>
  </conditionalFormatting>
  <conditionalFormatting sqref="Q10:U509">
    <cfRule type="expression" priority="10" dxfId="16">
      <formula>AND($Q10&lt;&gt;"",MOD(ROW(),2)=0)</formula>
    </cfRule>
  </conditionalFormatting>
  <dataValidations count="9">
    <dataValidation sqref="C10:C89" showDropDown="0" showInputMessage="0" showErrorMessage="1" allowBlank="1" errorTitle="Valor fora da lista" error="Escolha um item da lista (as listas ficam na aba Config)." type="list" errorStyle="stop">
      <formula1>lst_TipoApr</formula1>
    </dataValidation>
    <dataValidation sqref="D10:D89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10:E89" showDropDown="0" showInputMessage="0" showErrorMessage="1" allowBlank="1" errorTitle="Valor fora da lista" error="Escolha um item da lista (as listas ficam na aba Config)." type="list" errorStyle="stop">
      <formula1>lst_StatusApr</formula1>
    </dataValidation>
    <dataValidation sqref="F10:G8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L10:L89" showDropDown="0" showInputMessage="0" showErrorMessage="1" allowBlank="1" errorTitle="Valor inválido" error="Use um número entre 1 e 5." type="whole" operator="between">
      <formula1>1</formula1>
      <formula2>5</formula2>
    </dataValidation>
    <dataValidation sqref="Q10:Q5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R10:R509" showDropDown="0" showInputMessage="1" showErrorMessage="1" allowBlank="1" errorTitle="Valor fora da lista" error="Escolha um item da lista (as listas ficam na aba Config)." prompt="Escolha um item da lista ou escreva um assunto livre" type="list" errorStyle="warning">
      <formula1>lst_ItensApr</formula1>
    </dataValidation>
    <dataValidation sqref="S10:S509" showDropDown="0" showInputMessage="1" showErrorMessage="1" allowBlank="1" errorTitle="Valor inválido" error="Use um número entre 0 e 24." promptTitle="" prompt="Horas (ex.: 0,5 = 30 min)" type="decimal" operator="between">
      <formula1>0</formula1>
      <formula2>24</formula2>
    </dataValidation>
    <dataValidation sqref="T10:T509" showDropDown="0" showInputMessage="0" showErrorMessage="1" allowBlank="1" errorTitle="Valor fora da lista" error="Escolha um item da lista (as listas ficam na aba Config)." type="list" errorStyle="stop">
      <formula1>lst_AtivEstudo</formula1>
    </dataValidation>
  </dataValidations>
  <hyperlinks>
    <hyperlink ref="U1" location="'Dashboard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87BA4"/>
    <outlinePr summaryBelow="1" summaryRight="1"/>
    <pageSetUpPr/>
  </sheetPr>
  <dimension ref="A1:R409"/>
  <sheetViews>
    <sheetView showGridLines="0" tabSelected="0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5" customWidth="1" min="1" max="1"/>
    <col width="11" customWidth="1" min="2" max="2"/>
    <col width="32" customWidth="1" min="3" max="3"/>
    <col width="18" customWidth="1" min="4" max="4"/>
    <col width="16" customWidth="1" min="5" max="5"/>
    <col width="10" customWidth="1" min="6" max="6"/>
    <col width="10" customWidth="1" min="7" max="7"/>
    <col width="11" customWidth="1" min="8" max="8"/>
    <col width="10" customWidth="1" min="9" max="9"/>
    <col width="30" customWidth="1" min="10" max="10"/>
    <col width="3" customWidth="1" min="11" max="11"/>
    <col width="34" customWidth="1" min="12" max="12"/>
    <col width="16" customWidth="1" min="13" max="13"/>
    <col width="12" customWidth="1" min="14" max="14"/>
    <col width="12" customWidth="1" min="15" max="15"/>
    <col width="13" customWidth="1" min="16" max="16"/>
    <col width="11" customWidth="1" min="17" max="17"/>
    <col width="30" customWidth="1" min="18" max="18"/>
  </cols>
  <sheetData>
    <row r="1" ht="34" customHeight="1">
      <c r="A1" s="202" t="n"/>
      <c r="B1" s="97" t="inlineStr">
        <is>
          <t>Lazer &amp; diversão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98" t="inlineStr">
        <is>
          <t>◀ Dashboard</t>
        </is>
      </c>
    </row>
    <row r="2" ht="18" customHeight="1">
      <c r="A2" s="202" t="n"/>
      <c r="B2" s="99" t="inlineStr">
        <is>
          <t>Tempo livre também se cuida: registre o que fez e como se sentiu. À direita, a lista do que ainda quer viver.</t>
        </is>
      </c>
    </row>
    <row r="3" ht="16" customHeight="1">
      <c r="A3" s="202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04" t="inlineStr">
        <is>
          <t>HORAS DE LAZER NO MÊS</t>
        </is>
      </c>
      <c r="C5" s="205" t="n"/>
      <c r="D5" s="203" t="inlineStr">
        <is>
          <t>ATIVIDADES NO MÊS</t>
        </is>
      </c>
      <c r="E5" s="204" t="inlineStr">
        <is>
          <t>SATISFAÇÃO MÉDIA</t>
        </is>
      </c>
      <c r="F5" s="205" t="n"/>
      <c r="G5" s="204" t="inlineStr">
        <is>
          <t>GASTO COM LAZER NO MÊS</t>
        </is>
      </c>
      <c r="H5" s="205" t="n"/>
      <c r="I5" s="204" t="inlineStr">
        <is>
          <t>DIAS DESDE O ÚLTIMO LAZER</t>
        </is>
      </c>
      <c r="J5" s="205" t="n"/>
      <c r="L5" s="204" t="inlineStr">
        <is>
          <t>SONHOS REALIZADOS</t>
        </is>
      </c>
      <c r="M5" s="206" t="n"/>
      <c r="N5" s="205" t="n"/>
    </row>
    <row r="6" ht="28" customHeight="1">
      <c r="B6" s="168">
        <f>SUMIFS($F$10:$F$409,$B$10:$B$409,"&gt;="&amp;RefIni,$B$10:$B$409,"&lt;="&amp;RefFim)</f>
        <v>0</v>
      </c>
      <c r="C6" s="32" t="n"/>
      <c r="D6" s="122">
        <f>COUNTIFS($B$10:$B$409,"&gt;="&amp;RefIni,$B$10:$B$409,"&lt;="&amp;RefFim)</f>
        <v>0</v>
      </c>
      <c r="E6" s="169" t="str">
        <f>IFERROR(AVERAGEIFS($H$10:$H$409,$B$10:$B$409,"&gt;="&amp;RefIni,$B$10:$B$409,"&lt;="&amp;RefFim),"–")</f>
        <v>–</v>
      </c>
      <c r="F6" s="32" t="n"/>
      <c r="G6" s="143">
        <f>SUMIFS($G$10:$G$409,$B$10:$B$409,"&gt;="&amp;RefIni,$B$10:$B$409,"&lt;="&amp;RefFim)</f>
        <v>0</v>
      </c>
      <c r="H6" s="32" t="n"/>
      <c r="I6" s="123" t="str">
        <f>IF(SUMPRODUCT(MAX(($B$10:$B$409&lt;=Corte)*$B$10:$B$409))=0,"–",Corte-SUMPRODUCT(MAX(($B$10:$B$409&lt;=Corte)*$B$10:$B$409)))</f>
        <v>–</v>
      </c>
      <c r="J6" s="32" t="n"/>
      <c r="L6" s="123">
        <f>COUNTIF($P$10:$P$59,"Realizado")</f>
        <v>0</v>
      </c>
      <c r="M6" s="31" t="n"/>
      <c r="N6" s="32" t="n"/>
    </row>
    <row r="7" ht="25" customHeight="1">
      <c r="B7" s="127" t="str">
        <f>IF(DiasRef=0,"",IF(B6&gt;=MetaLazerSem*DiasRef/7,"✔ ","▲ ")&amp;"meta "&amp;ROUND(MetaLazerSem*DiasRef/7,0)&amp;" h até agora")</f>
        <v>▲ meta 2 h até agora</v>
      </c>
      <c r="C7" s="38" t="n"/>
      <c r="D7" s="126" t="str">
        <f>"Com outras pessoas: "&amp;COUNTIFS($E$10:$E$409,"?*",$B$10:$B$409,"&gt;="&amp;RefIni,$B$10:$B$409,"&lt;="&amp;RefFim)</f>
        <v>Com outras pessoas: 0</v>
      </c>
      <c r="E7" s="127" t="str">
        <f>IF(ISNUMBER(E6),IF(E6&gt;=4,"✔ recarregando","▲ escolha atividades que renovam"),"")</f>
        <v/>
      </c>
      <c r="F7" s="38" t="n"/>
      <c r="G7" s="127" t="str">
        <f>IFERROR("€ "&amp;FIXED(G6/B6,0)&amp;" por hora de lazer","")</f>
        <v/>
      </c>
      <c r="H7" s="38" t="n"/>
      <c r="I7" s="127" t="str">
        <f>IF(ISNUMBER(I6),IF(I6&lt;=4,"✔ ","▲ ")&amp;"lazer não é prêmio, é manutenção","")</f>
        <v/>
      </c>
      <c r="J7" s="38" t="n"/>
      <c r="L7" s="127" t="str">
        <f>"de "&amp;COUNTIF($L$10:$L$59,"?*")&amp;" na lista · "&amp;COUNTIF($P$10:$P$59,"Agendado")&amp;" agendados"</f>
        <v>de 0 na lista · 0 agendados</v>
      </c>
      <c r="M7" s="37" t="n"/>
      <c r="N7" s="38" t="n"/>
    </row>
    <row r="8" ht="22" customHeight="1">
      <c r="B8" s="208" t="inlineStr">
        <is>
          <t>REGISTRO DE LAZER</t>
        </is>
      </c>
      <c r="C8" s="209" t="n"/>
      <c r="D8" s="209" t="n"/>
      <c r="E8" s="209" t="n"/>
      <c r="F8" s="209" t="n"/>
      <c r="G8" s="209" t="n"/>
      <c r="H8" s="209" t="n"/>
      <c r="I8" s="209" t="n"/>
      <c r="J8" s="209" t="n"/>
      <c r="L8" s="208" t="inlineStr">
        <is>
          <t>LISTA DE SONHOS &amp; EXPERIÊNCIAS</t>
        </is>
      </c>
      <c r="M8" s="209" t="n"/>
      <c r="N8" s="209" t="n"/>
      <c r="O8" s="209" t="n"/>
      <c r="P8" s="209" t="n"/>
      <c r="Q8" s="209" t="n"/>
      <c r="R8" s="209" t="n"/>
    </row>
    <row r="9" ht="34" customHeight="1">
      <c r="B9" s="103" t="inlineStr">
        <is>
          <t>Data</t>
        </is>
      </c>
      <c r="C9" s="103" t="inlineStr">
        <is>
          <t>Atividade</t>
        </is>
      </c>
      <c r="D9" s="103" t="inlineStr">
        <is>
          <t>Categoria</t>
        </is>
      </c>
      <c r="E9" s="103" t="inlineStr">
        <is>
          <t>Com quem</t>
        </is>
      </c>
      <c r="F9" s="103" t="inlineStr">
        <is>
          <t>Duração (h)</t>
        </is>
      </c>
      <c r="G9" s="103" t="inlineStr">
        <is>
          <t>Custo (€)</t>
        </is>
      </c>
      <c r="H9" s="103" t="inlineStr">
        <is>
          <t>Satisfação (1–5)</t>
        </is>
      </c>
      <c r="I9" s="103" t="inlineStr">
        <is>
          <t>Repetiria?</t>
        </is>
      </c>
      <c r="J9" s="103" t="inlineStr">
        <is>
          <t>Notas</t>
        </is>
      </c>
      <c r="L9" s="103" t="inlineStr">
        <is>
          <t>Sonho / experiência</t>
        </is>
      </c>
      <c r="M9" s="103" t="inlineStr">
        <is>
          <t>Categoria</t>
        </is>
      </c>
      <c r="N9" s="103" t="inlineStr">
        <is>
          <t>Custo estimado (€)</t>
        </is>
      </c>
      <c r="O9" s="103" t="inlineStr">
        <is>
          <t>Quando (alvo)</t>
        </is>
      </c>
      <c r="P9" s="103" t="inlineStr">
        <is>
          <t>Status</t>
        </is>
      </c>
      <c r="Q9" s="103" t="inlineStr">
        <is>
          <t>Prioridade</t>
        </is>
      </c>
      <c r="R9" s="103" t="inlineStr">
        <is>
          <t>Notas</t>
        </is>
      </c>
    </row>
    <row r="10">
      <c r="B10" s="130" t="n"/>
      <c r="C10" s="129" t="n"/>
      <c r="D10" s="129" t="n"/>
      <c r="E10" s="129" t="n"/>
      <c r="F10" s="174" t="n"/>
      <c r="G10" s="145" t="n"/>
      <c r="H10" s="106" t="n"/>
      <c r="I10" s="106" t="n"/>
      <c r="J10" s="129" t="n"/>
      <c r="L10" s="129" t="n"/>
      <c r="M10" s="129" t="n"/>
      <c r="N10" s="217" t="n"/>
      <c r="O10" s="130" t="n"/>
      <c r="P10" s="129" t="n"/>
      <c r="Q10" s="129" t="n"/>
      <c r="R10" s="129" t="n"/>
    </row>
    <row r="11">
      <c r="B11" s="130" t="n"/>
      <c r="C11" s="129" t="n"/>
      <c r="D11" s="129" t="n"/>
      <c r="E11" s="129" t="n"/>
      <c r="F11" s="174" t="n"/>
      <c r="G11" s="145" t="n"/>
      <c r="H11" s="106" t="n"/>
      <c r="I11" s="106" t="n"/>
      <c r="J11" s="129" t="n"/>
      <c r="L11" s="129" t="n"/>
      <c r="M11" s="129" t="n"/>
      <c r="N11" s="217" t="n"/>
      <c r="O11" s="130" t="n"/>
      <c r="P11" s="129" t="n"/>
      <c r="Q11" s="129" t="n"/>
      <c r="R11" s="129" t="n"/>
    </row>
    <row r="12">
      <c r="B12" s="130" t="n"/>
      <c r="C12" s="129" t="n"/>
      <c r="D12" s="129" t="n"/>
      <c r="E12" s="129" t="n"/>
      <c r="F12" s="174" t="n"/>
      <c r="G12" s="145" t="n"/>
      <c r="H12" s="106" t="n"/>
      <c r="I12" s="106" t="n"/>
      <c r="J12" s="129" t="n"/>
      <c r="L12" s="129" t="n"/>
      <c r="M12" s="129" t="n"/>
      <c r="N12" s="217" t="n"/>
      <c r="O12" s="130" t="n"/>
      <c r="P12" s="129" t="n"/>
      <c r="Q12" s="129" t="n"/>
      <c r="R12" s="129" t="n"/>
    </row>
    <row r="13">
      <c r="B13" s="130" t="n"/>
      <c r="C13" s="129" t="n"/>
      <c r="D13" s="129" t="n"/>
      <c r="E13" s="129" t="n"/>
      <c r="F13" s="174" t="n"/>
      <c r="G13" s="145" t="n"/>
      <c r="H13" s="106" t="n"/>
      <c r="I13" s="106" t="n"/>
      <c r="J13" s="129" t="n"/>
      <c r="L13" s="129" t="n"/>
      <c r="M13" s="129" t="n"/>
      <c r="N13" s="217" t="n"/>
      <c r="O13" s="130" t="n"/>
      <c r="P13" s="129" t="n"/>
      <c r="Q13" s="129" t="n"/>
      <c r="R13" s="129" t="n"/>
    </row>
    <row r="14">
      <c r="B14" s="130" t="n"/>
      <c r="C14" s="129" t="n"/>
      <c r="D14" s="129" t="n"/>
      <c r="E14" s="129" t="n"/>
      <c r="F14" s="174" t="n"/>
      <c r="G14" s="145" t="n"/>
      <c r="H14" s="106" t="n"/>
      <c r="I14" s="106" t="n"/>
      <c r="J14" s="129" t="n"/>
      <c r="L14" s="129" t="n"/>
      <c r="M14" s="129" t="n"/>
      <c r="N14" s="217" t="n"/>
      <c r="O14" s="130" t="n"/>
      <c r="P14" s="129" t="n"/>
      <c r="Q14" s="129" t="n"/>
      <c r="R14" s="129" t="n"/>
    </row>
    <row r="15">
      <c r="B15" s="130" t="n"/>
      <c r="C15" s="129" t="n"/>
      <c r="D15" s="129" t="n"/>
      <c r="E15" s="129" t="n"/>
      <c r="F15" s="174" t="n"/>
      <c r="G15" s="145" t="n"/>
      <c r="H15" s="106" t="n"/>
      <c r="I15" s="106" t="n"/>
      <c r="J15" s="129" t="n"/>
      <c r="L15" s="129" t="n"/>
      <c r="M15" s="129" t="n"/>
      <c r="N15" s="217" t="n"/>
      <c r="O15" s="130" t="n"/>
      <c r="P15" s="129" t="n"/>
      <c r="Q15" s="129" t="n"/>
      <c r="R15" s="129" t="n"/>
    </row>
    <row r="16">
      <c r="B16" s="130" t="n"/>
      <c r="C16" s="129" t="n"/>
      <c r="D16" s="129" t="n"/>
      <c r="E16" s="129" t="n"/>
      <c r="F16" s="174" t="n"/>
      <c r="G16" s="145" t="n"/>
      <c r="H16" s="106" t="n"/>
      <c r="I16" s="106" t="n"/>
      <c r="J16" s="129" t="n"/>
      <c r="L16" s="129" t="n"/>
      <c r="M16" s="129" t="n"/>
      <c r="N16" s="217" t="n"/>
      <c r="O16" s="130" t="n"/>
      <c r="P16" s="129" t="n"/>
      <c r="Q16" s="129" t="n"/>
      <c r="R16" s="129" t="n"/>
    </row>
    <row r="17">
      <c r="B17" s="130" t="n"/>
      <c r="C17" s="129" t="n"/>
      <c r="D17" s="129" t="n"/>
      <c r="E17" s="129" t="n"/>
      <c r="F17" s="174" t="n"/>
      <c r="G17" s="145" t="n"/>
      <c r="H17" s="106" t="n"/>
      <c r="I17" s="106" t="n"/>
      <c r="J17" s="129" t="n"/>
      <c r="L17" s="129" t="n"/>
      <c r="M17" s="129" t="n"/>
      <c r="N17" s="217" t="n"/>
      <c r="O17" s="130" t="n"/>
      <c r="P17" s="129" t="n"/>
      <c r="Q17" s="129" t="n"/>
      <c r="R17" s="129" t="n"/>
    </row>
    <row r="18">
      <c r="B18" s="130" t="n"/>
      <c r="C18" s="129" t="n"/>
      <c r="D18" s="129" t="n"/>
      <c r="E18" s="129" t="n"/>
      <c r="F18" s="174" t="n"/>
      <c r="G18" s="145" t="n"/>
      <c r="H18" s="106" t="n"/>
      <c r="I18" s="106" t="n"/>
      <c r="J18" s="129" t="n"/>
      <c r="L18" s="129" t="n"/>
      <c r="M18" s="129" t="n"/>
      <c r="N18" s="217" t="n"/>
      <c r="O18" s="130" t="n"/>
      <c r="P18" s="129" t="n"/>
      <c r="Q18" s="129" t="n"/>
      <c r="R18" s="129" t="n"/>
    </row>
    <row r="19">
      <c r="B19" s="130" t="n"/>
      <c r="C19" s="129" t="n"/>
      <c r="D19" s="129" t="n"/>
      <c r="E19" s="129" t="n"/>
      <c r="F19" s="174" t="n"/>
      <c r="G19" s="145" t="n"/>
      <c r="H19" s="106" t="n"/>
      <c r="I19" s="106" t="n"/>
      <c r="J19" s="129" t="n"/>
      <c r="L19" s="129" t="n"/>
      <c r="M19" s="129" t="n"/>
      <c r="N19" s="217" t="n"/>
      <c r="O19" s="130" t="n"/>
      <c r="P19" s="129" t="n"/>
      <c r="Q19" s="129" t="n"/>
      <c r="R19" s="129" t="n"/>
    </row>
    <row r="20">
      <c r="B20" s="130" t="n"/>
      <c r="C20" s="129" t="n"/>
      <c r="D20" s="129" t="n"/>
      <c r="E20" s="129" t="n"/>
      <c r="F20" s="174" t="n"/>
      <c r="G20" s="145" t="n"/>
      <c r="H20" s="106" t="n"/>
      <c r="I20" s="106" t="n"/>
      <c r="J20" s="129" t="n"/>
      <c r="L20" s="129" t="n"/>
      <c r="M20" s="129" t="n"/>
      <c r="N20" s="217" t="n"/>
      <c r="O20" s="130" t="n"/>
      <c r="P20" s="129" t="n"/>
      <c r="Q20" s="129" t="n"/>
      <c r="R20" s="129" t="n"/>
    </row>
    <row r="21">
      <c r="B21" s="130" t="n"/>
      <c r="C21" s="129" t="n"/>
      <c r="D21" s="129" t="n"/>
      <c r="E21" s="129" t="n"/>
      <c r="F21" s="174" t="n"/>
      <c r="G21" s="145" t="n"/>
      <c r="H21" s="106" t="n"/>
      <c r="I21" s="106" t="n"/>
      <c r="J21" s="129" t="n"/>
      <c r="L21" s="129" t="n"/>
      <c r="M21" s="129" t="n"/>
      <c r="N21" s="217" t="n"/>
      <c r="O21" s="130" t="n"/>
      <c r="P21" s="129" t="n"/>
      <c r="Q21" s="129" t="n"/>
      <c r="R21" s="129" t="n"/>
    </row>
    <row r="22">
      <c r="B22" s="130" t="n"/>
      <c r="C22" s="129" t="n"/>
      <c r="D22" s="129" t="n"/>
      <c r="E22" s="129" t="n"/>
      <c r="F22" s="174" t="n"/>
      <c r="G22" s="145" t="n"/>
      <c r="H22" s="106" t="n"/>
      <c r="I22" s="106" t="n"/>
      <c r="J22" s="129" t="n"/>
      <c r="L22" s="129" t="n"/>
      <c r="M22" s="129" t="n"/>
      <c r="N22" s="217" t="n"/>
      <c r="O22" s="130" t="n"/>
      <c r="P22" s="129" t="n"/>
      <c r="Q22" s="129" t="n"/>
      <c r="R22" s="129" t="n"/>
    </row>
    <row r="23">
      <c r="B23" s="130" t="n"/>
      <c r="C23" s="129" t="n"/>
      <c r="D23" s="129" t="n"/>
      <c r="E23" s="129" t="n"/>
      <c r="F23" s="174" t="n"/>
      <c r="G23" s="145" t="n"/>
      <c r="H23" s="106" t="n"/>
      <c r="I23" s="106" t="n"/>
      <c r="J23" s="129" t="n"/>
      <c r="L23" s="129" t="n"/>
      <c r="M23" s="129" t="n"/>
      <c r="N23" s="217" t="n"/>
      <c r="O23" s="130" t="n"/>
      <c r="P23" s="129" t="n"/>
      <c r="Q23" s="129" t="n"/>
      <c r="R23" s="129" t="n"/>
    </row>
    <row r="24">
      <c r="B24" s="130" t="n"/>
      <c r="C24" s="129" t="n"/>
      <c r="D24" s="129" t="n"/>
      <c r="E24" s="129" t="n"/>
      <c r="F24" s="174" t="n"/>
      <c r="G24" s="145" t="n"/>
      <c r="H24" s="106" t="n"/>
      <c r="I24" s="106" t="n"/>
      <c r="J24" s="129" t="n"/>
      <c r="L24" s="129" t="n"/>
      <c r="M24" s="129" t="n"/>
      <c r="N24" s="217" t="n"/>
      <c r="O24" s="130" t="n"/>
      <c r="P24" s="129" t="n"/>
      <c r="Q24" s="129" t="n"/>
      <c r="R24" s="129" t="n"/>
    </row>
    <row r="25">
      <c r="B25" s="130" t="n"/>
      <c r="C25" s="129" t="n"/>
      <c r="D25" s="129" t="n"/>
      <c r="E25" s="129" t="n"/>
      <c r="F25" s="174" t="n"/>
      <c r="G25" s="145" t="n"/>
      <c r="H25" s="106" t="n"/>
      <c r="I25" s="106" t="n"/>
      <c r="J25" s="129" t="n"/>
      <c r="L25" s="129" t="n"/>
      <c r="M25" s="129" t="n"/>
      <c r="N25" s="217" t="n"/>
      <c r="O25" s="130" t="n"/>
      <c r="P25" s="129" t="n"/>
      <c r="Q25" s="129" t="n"/>
      <c r="R25" s="129" t="n"/>
    </row>
    <row r="26">
      <c r="B26" s="130" t="n"/>
      <c r="C26" s="129" t="n"/>
      <c r="D26" s="129" t="n"/>
      <c r="E26" s="129" t="n"/>
      <c r="F26" s="174" t="n"/>
      <c r="G26" s="145" t="n"/>
      <c r="H26" s="106" t="n"/>
      <c r="I26" s="106" t="n"/>
      <c r="J26" s="129" t="n"/>
      <c r="L26" s="129" t="n"/>
      <c r="M26" s="129" t="n"/>
      <c r="N26" s="217" t="n"/>
      <c r="O26" s="130" t="n"/>
      <c r="P26" s="129" t="n"/>
      <c r="Q26" s="129" t="n"/>
      <c r="R26" s="129" t="n"/>
    </row>
    <row r="27">
      <c r="B27" s="130" t="n"/>
      <c r="C27" s="129" t="n"/>
      <c r="D27" s="129" t="n"/>
      <c r="E27" s="129" t="n"/>
      <c r="F27" s="174" t="n"/>
      <c r="G27" s="145" t="n"/>
      <c r="H27" s="106" t="n"/>
      <c r="I27" s="106" t="n"/>
      <c r="J27" s="129" t="n"/>
      <c r="L27" s="129" t="n"/>
      <c r="M27" s="129" t="n"/>
      <c r="N27" s="217" t="n"/>
      <c r="O27" s="130" t="n"/>
      <c r="P27" s="129" t="n"/>
      <c r="Q27" s="129" t="n"/>
      <c r="R27" s="129" t="n"/>
    </row>
    <row r="28">
      <c r="B28" s="130" t="n"/>
      <c r="C28" s="129" t="n"/>
      <c r="D28" s="129" t="n"/>
      <c r="E28" s="129" t="n"/>
      <c r="F28" s="174" t="n"/>
      <c r="G28" s="145" t="n"/>
      <c r="H28" s="106" t="n"/>
      <c r="I28" s="106" t="n"/>
      <c r="J28" s="129" t="n"/>
      <c r="L28" s="129" t="n"/>
      <c r="M28" s="129" t="n"/>
      <c r="N28" s="217" t="n"/>
      <c r="O28" s="130" t="n"/>
      <c r="P28" s="129" t="n"/>
      <c r="Q28" s="129" t="n"/>
      <c r="R28" s="129" t="n"/>
    </row>
    <row r="29">
      <c r="B29" s="130" t="n"/>
      <c r="C29" s="129" t="n"/>
      <c r="D29" s="129" t="n"/>
      <c r="E29" s="129" t="n"/>
      <c r="F29" s="174" t="n"/>
      <c r="G29" s="145" t="n"/>
      <c r="H29" s="106" t="n"/>
      <c r="I29" s="106" t="n"/>
      <c r="J29" s="129" t="n"/>
      <c r="L29" s="129" t="n"/>
      <c r="M29" s="129" t="n"/>
      <c r="N29" s="217" t="n"/>
      <c r="O29" s="130" t="n"/>
      <c r="P29" s="129" t="n"/>
      <c r="Q29" s="129" t="n"/>
      <c r="R29" s="129" t="n"/>
    </row>
    <row r="30">
      <c r="B30" s="130" t="n"/>
      <c r="C30" s="129" t="n"/>
      <c r="D30" s="129" t="n"/>
      <c r="E30" s="129" t="n"/>
      <c r="F30" s="174" t="n"/>
      <c r="G30" s="145" t="n"/>
      <c r="H30" s="106" t="n"/>
      <c r="I30" s="106" t="n"/>
      <c r="J30" s="129" t="n"/>
      <c r="L30" s="129" t="n"/>
      <c r="M30" s="129" t="n"/>
      <c r="N30" s="217" t="n"/>
      <c r="O30" s="130" t="n"/>
      <c r="P30" s="129" t="n"/>
      <c r="Q30" s="129" t="n"/>
      <c r="R30" s="129" t="n"/>
    </row>
    <row r="31">
      <c r="B31" s="130" t="n"/>
      <c r="C31" s="129" t="n"/>
      <c r="D31" s="129" t="n"/>
      <c r="E31" s="129" t="n"/>
      <c r="F31" s="174" t="n"/>
      <c r="G31" s="145" t="n"/>
      <c r="H31" s="106" t="n"/>
      <c r="I31" s="106" t="n"/>
      <c r="J31" s="129" t="n"/>
      <c r="L31" s="129" t="n"/>
      <c r="M31" s="129" t="n"/>
      <c r="N31" s="217" t="n"/>
      <c r="O31" s="130" t="n"/>
      <c r="P31" s="129" t="n"/>
      <c r="Q31" s="129" t="n"/>
      <c r="R31" s="129" t="n"/>
    </row>
    <row r="32">
      <c r="B32" s="130" t="n"/>
      <c r="C32" s="129" t="n"/>
      <c r="D32" s="129" t="n"/>
      <c r="E32" s="129" t="n"/>
      <c r="F32" s="174" t="n"/>
      <c r="G32" s="145" t="n"/>
      <c r="H32" s="106" t="n"/>
      <c r="I32" s="106" t="n"/>
      <c r="J32" s="129" t="n"/>
      <c r="L32" s="129" t="n"/>
      <c r="M32" s="129" t="n"/>
      <c r="N32" s="217" t="n"/>
      <c r="O32" s="130" t="n"/>
      <c r="P32" s="129" t="n"/>
      <c r="Q32" s="129" t="n"/>
      <c r="R32" s="129" t="n"/>
    </row>
    <row r="33">
      <c r="B33" s="130" t="n"/>
      <c r="C33" s="129" t="n"/>
      <c r="D33" s="129" t="n"/>
      <c r="E33" s="129" t="n"/>
      <c r="F33" s="174" t="n"/>
      <c r="G33" s="145" t="n"/>
      <c r="H33" s="106" t="n"/>
      <c r="I33" s="106" t="n"/>
      <c r="J33" s="129" t="n"/>
      <c r="L33" s="129" t="n"/>
      <c r="M33" s="129" t="n"/>
      <c r="N33" s="217" t="n"/>
      <c r="O33" s="130" t="n"/>
      <c r="P33" s="129" t="n"/>
      <c r="Q33" s="129" t="n"/>
      <c r="R33" s="129" t="n"/>
    </row>
    <row r="34">
      <c r="B34" s="130" t="n"/>
      <c r="C34" s="129" t="n"/>
      <c r="D34" s="129" t="n"/>
      <c r="E34" s="129" t="n"/>
      <c r="F34" s="174" t="n"/>
      <c r="G34" s="145" t="n"/>
      <c r="H34" s="106" t="n"/>
      <c r="I34" s="106" t="n"/>
      <c r="J34" s="129" t="n"/>
      <c r="L34" s="129" t="n"/>
      <c r="M34" s="129" t="n"/>
      <c r="N34" s="217" t="n"/>
      <c r="O34" s="130" t="n"/>
      <c r="P34" s="129" t="n"/>
      <c r="Q34" s="129" t="n"/>
      <c r="R34" s="129" t="n"/>
    </row>
    <row r="35">
      <c r="B35" s="130" t="n"/>
      <c r="C35" s="129" t="n"/>
      <c r="D35" s="129" t="n"/>
      <c r="E35" s="129" t="n"/>
      <c r="F35" s="174" t="n"/>
      <c r="G35" s="145" t="n"/>
      <c r="H35" s="106" t="n"/>
      <c r="I35" s="106" t="n"/>
      <c r="J35" s="129" t="n"/>
      <c r="L35" s="129" t="n"/>
      <c r="M35" s="129" t="n"/>
      <c r="N35" s="217" t="n"/>
      <c r="O35" s="130" t="n"/>
      <c r="P35" s="129" t="n"/>
      <c r="Q35" s="129" t="n"/>
      <c r="R35" s="129" t="n"/>
    </row>
    <row r="36">
      <c r="B36" s="130" t="n"/>
      <c r="C36" s="129" t="n"/>
      <c r="D36" s="129" t="n"/>
      <c r="E36" s="129" t="n"/>
      <c r="F36" s="174" t="n"/>
      <c r="G36" s="145" t="n"/>
      <c r="H36" s="106" t="n"/>
      <c r="I36" s="106" t="n"/>
      <c r="J36" s="129" t="n"/>
      <c r="L36" s="129" t="n"/>
      <c r="M36" s="129" t="n"/>
      <c r="N36" s="217" t="n"/>
      <c r="O36" s="130" t="n"/>
      <c r="P36" s="129" t="n"/>
      <c r="Q36" s="129" t="n"/>
      <c r="R36" s="129" t="n"/>
    </row>
    <row r="37">
      <c r="B37" s="130" t="n"/>
      <c r="C37" s="129" t="n"/>
      <c r="D37" s="129" t="n"/>
      <c r="E37" s="129" t="n"/>
      <c r="F37" s="174" t="n"/>
      <c r="G37" s="145" t="n"/>
      <c r="H37" s="106" t="n"/>
      <c r="I37" s="106" t="n"/>
      <c r="J37" s="129" t="n"/>
      <c r="L37" s="129" t="n"/>
      <c r="M37" s="129" t="n"/>
      <c r="N37" s="217" t="n"/>
      <c r="O37" s="130" t="n"/>
      <c r="P37" s="129" t="n"/>
      <c r="Q37" s="129" t="n"/>
      <c r="R37" s="129" t="n"/>
    </row>
    <row r="38">
      <c r="B38" s="130" t="n"/>
      <c r="C38" s="129" t="n"/>
      <c r="D38" s="129" t="n"/>
      <c r="E38" s="129" t="n"/>
      <c r="F38" s="174" t="n"/>
      <c r="G38" s="145" t="n"/>
      <c r="H38" s="106" t="n"/>
      <c r="I38" s="106" t="n"/>
      <c r="J38" s="129" t="n"/>
      <c r="L38" s="129" t="n"/>
      <c r="M38" s="129" t="n"/>
      <c r="N38" s="217" t="n"/>
      <c r="O38" s="130" t="n"/>
      <c r="P38" s="129" t="n"/>
      <c r="Q38" s="129" t="n"/>
      <c r="R38" s="129" t="n"/>
    </row>
    <row r="39">
      <c r="B39" s="130" t="n"/>
      <c r="C39" s="129" t="n"/>
      <c r="D39" s="129" t="n"/>
      <c r="E39" s="129" t="n"/>
      <c r="F39" s="174" t="n"/>
      <c r="G39" s="145" t="n"/>
      <c r="H39" s="106" t="n"/>
      <c r="I39" s="106" t="n"/>
      <c r="J39" s="129" t="n"/>
      <c r="L39" s="129" t="n"/>
      <c r="M39" s="129" t="n"/>
      <c r="N39" s="217" t="n"/>
      <c r="O39" s="130" t="n"/>
      <c r="P39" s="129" t="n"/>
      <c r="Q39" s="129" t="n"/>
      <c r="R39" s="129" t="n"/>
    </row>
    <row r="40">
      <c r="B40" s="130" t="n"/>
      <c r="C40" s="129" t="n"/>
      <c r="D40" s="129" t="n"/>
      <c r="E40" s="129" t="n"/>
      <c r="F40" s="174" t="n"/>
      <c r="G40" s="145" t="n"/>
      <c r="H40" s="106" t="n"/>
      <c r="I40" s="106" t="n"/>
      <c r="J40" s="129" t="n"/>
      <c r="L40" s="129" t="n"/>
      <c r="M40" s="129" t="n"/>
      <c r="N40" s="217" t="n"/>
      <c r="O40" s="130" t="n"/>
      <c r="P40" s="129" t="n"/>
      <c r="Q40" s="129" t="n"/>
      <c r="R40" s="129" t="n"/>
    </row>
    <row r="41">
      <c r="B41" s="130" t="n"/>
      <c r="C41" s="129" t="n"/>
      <c r="D41" s="129" t="n"/>
      <c r="E41" s="129" t="n"/>
      <c r="F41" s="174" t="n"/>
      <c r="G41" s="145" t="n"/>
      <c r="H41" s="106" t="n"/>
      <c r="I41" s="106" t="n"/>
      <c r="J41" s="129" t="n"/>
      <c r="L41" s="129" t="n"/>
      <c r="M41" s="129" t="n"/>
      <c r="N41" s="217" t="n"/>
      <c r="O41" s="130" t="n"/>
      <c r="P41" s="129" t="n"/>
      <c r="Q41" s="129" t="n"/>
      <c r="R41" s="129" t="n"/>
    </row>
    <row r="42">
      <c r="B42" s="130" t="n"/>
      <c r="C42" s="129" t="n"/>
      <c r="D42" s="129" t="n"/>
      <c r="E42" s="129" t="n"/>
      <c r="F42" s="174" t="n"/>
      <c r="G42" s="145" t="n"/>
      <c r="H42" s="106" t="n"/>
      <c r="I42" s="106" t="n"/>
      <c r="J42" s="129" t="n"/>
      <c r="L42" s="129" t="n"/>
      <c r="M42" s="129" t="n"/>
      <c r="N42" s="217" t="n"/>
      <c r="O42" s="130" t="n"/>
      <c r="P42" s="129" t="n"/>
      <c r="Q42" s="129" t="n"/>
      <c r="R42" s="129" t="n"/>
    </row>
    <row r="43">
      <c r="B43" s="130" t="n"/>
      <c r="C43" s="129" t="n"/>
      <c r="D43" s="129" t="n"/>
      <c r="E43" s="129" t="n"/>
      <c r="F43" s="174" t="n"/>
      <c r="G43" s="145" t="n"/>
      <c r="H43" s="106" t="n"/>
      <c r="I43" s="106" t="n"/>
      <c r="J43" s="129" t="n"/>
      <c r="L43" s="129" t="n"/>
      <c r="M43" s="129" t="n"/>
      <c r="N43" s="217" t="n"/>
      <c r="O43" s="130" t="n"/>
      <c r="P43" s="129" t="n"/>
      <c r="Q43" s="129" t="n"/>
      <c r="R43" s="129" t="n"/>
    </row>
    <row r="44">
      <c r="B44" s="130" t="n"/>
      <c r="C44" s="129" t="n"/>
      <c r="D44" s="129" t="n"/>
      <c r="E44" s="129" t="n"/>
      <c r="F44" s="174" t="n"/>
      <c r="G44" s="145" t="n"/>
      <c r="H44" s="106" t="n"/>
      <c r="I44" s="106" t="n"/>
      <c r="J44" s="129" t="n"/>
      <c r="L44" s="129" t="n"/>
      <c r="M44" s="129" t="n"/>
      <c r="N44" s="217" t="n"/>
      <c r="O44" s="130" t="n"/>
      <c r="P44" s="129" t="n"/>
      <c r="Q44" s="129" t="n"/>
      <c r="R44" s="129" t="n"/>
    </row>
    <row r="45">
      <c r="B45" s="130" t="n"/>
      <c r="C45" s="129" t="n"/>
      <c r="D45" s="129" t="n"/>
      <c r="E45" s="129" t="n"/>
      <c r="F45" s="174" t="n"/>
      <c r="G45" s="145" t="n"/>
      <c r="H45" s="106" t="n"/>
      <c r="I45" s="106" t="n"/>
      <c r="J45" s="129" t="n"/>
      <c r="L45" s="129" t="n"/>
      <c r="M45" s="129" t="n"/>
      <c r="N45" s="217" t="n"/>
      <c r="O45" s="130" t="n"/>
      <c r="P45" s="129" t="n"/>
      <c r="Q45" s="129" t="n"/>
      <c r="R45" s="129" t="n"/>
    </row>
    <row r="46">
      <c r="B46" s="130" t="n"/>
      <c r="C46" s="129" t="n"/>
      <c r="D46" s="129" t="n"/>
      <c r="E46" s="129" t="n"/>
      <c r="F46" s="174" t="n"/>
      <c r="G46" s="145" t="n"/>
      <c r="H46" s="106" t="n"/>
      <c r="I46" s="106" t="n"/>
      <c r="J46" s="129" t="n"/>
      <c r="L46" s="129" t="n"/>
      <c r="M46" s="129" t="n"/>
      <c r="N46" s="217" t="n"/>
      <c r="O46" s="130" t="n"/>
      <c r="P46" s="129" t="n"/>
      <c r="Q46" s="129" t="n"/>
      <c r="R46" s="129" t="n"/>
    </row>
    <row r="47">
      <c r="B47" s="130" t="n"/>
      <c r="C47" s="129" t="n"/>
      <c r="D47" s="129" t="n"/>
      <c r="E47" s="129" t="n"/>
      <c r="F47" s="174" t="n"/>
      <c r="G47" s="145" t="n"/>
      <c r="H47" s="106" t="n"/>
      <c r="I47" s="106" t="n"/>
      <c r="J47" s="129" t="n"/>
      <c r="L47" s="129" t="n"/>
      <c r="M47" s="129" t="n"/>
      <c r="N47" s="217" t="n"/>
      <c r="O47" s="130" t="n"/>
      <c r="P47" s="129" t="n"/>
      <c r="Q47" s="129" t="n"/>
      <c r="R47" s="129" t="n"/>
    </row>
    <row r="48">
      <c r="B48" s="130" t="n"/>
      <c r="C48" s="129" t="n"/>
      <c r="D48" s="129" t="n"/>
      <c r="E48" s="129" t="n"/>
      <c r="F48" s="174" t="n"/>
      <c r="G48" s="145" t="n"/>
      <c r="H48" s="106" t="n"/>
      <c r="I48" s="106" t="n"/>
      <c r="J48" s="129" t="n"/>
      <c r="L48" s="129" t="n"/>
      <c r="M48" s="129" t="n"/>
      <c r="N48" s="217" t="n"/>
      <c r="O48" s="130" t="n"/>
      <c r="P48" s="129" t="n"/>
      <c r="Q48" s="129" t="n"/>
      <c r="R48" s="129" t="n"/>
    </row>
    <row r="49">
      <c r="B49" s="130" t="n"/>
      <c r="C49" s="129" t="n"/>
      <c r="D49" s="129" t="n"/>
      <c r="E49" s="129" t="n"/>
      <c r="F49" s="174" t="n"/>
      <c r="G49" s="145" t="n"/>
      <c r="H49" s="106" t="n"/>
      <c r="I49" s="106" t="n"/>
      <c r="J49" s="129" t="n"/>
      <c r="L49" s="129" t="n"/>
      <c r="M49" s="129" t="n"/>
      <c r="N49" s="217" t="n"/>
      <c r="O49" s="130" t="n"/>
      <c r="P49" s="129" t="n"/>
      <c r="Q49" s="129" t="n"/>
      <c r="R49" s="129" t="n"/>
    </row>
    <row r="50">
      <c r="B50" s="130" t="n"/>
      <c r="C50" s="129" t="n"/>
      <c r="D50" s="129" t="n"/>
      <c r="E50" s="129" t="n"/>
      <c r="F50" s="174" t="n"/>
      <c r="G50" s="145" t="n"/>
      <c r="H50" s="106" t="n"/>
      <c r="I50" s="106" t="n"/>
      <c r="J50" s="129" t="n"/>
      <c r="L50" s="129" t="n"/>
      <c r="M50" s="129" t="n"/>
      <c r="N50" s="217" t="n"/>
      <c r="O50" s="130" t="n"/>
      <c r="P50" s="129" t="n"/>
      <c r="Q50" s="129" t="n"/>
      <c r="R50" s="129" t="n"/>
    </row>
    <row r="51">
      <c r="B51" s="130" t="n"/>
      <c r="C51" s="129" t="n"/>
      <c r="D51" s="129" t="n"/>
      <c r="E51" s="129" t="n"/>
      <c r="F51" s="174" t="n"/>
      <c r="G51" s="145" t="n"/>
      <c r="H51" s="106" t="n"/>
      <c r="I51" s="106" t="n"/>
      <c r="J51" s="129" t="n"/>
      <c r="L51" s="129" t="n"/>
      <c r="M51" s="129" t="n"/>
      <c r="N51" s="217" t="n"/>
      <c r="O51" s="130" t="n"/>
      <c r="P51" s="129" t="n"/>
      <c r="Q51" s="129" t="n"/>
      <c r="R51" s="129" t="n"/>
    </row>
    <row r="52">
      <c r="B52" s="130" t="n"/>
      <c r="C52" s="129" t="n"/>
      <c r="D52" s="129" t="n"/>
      <c r="E52" s="129" t="n"/>
      <c r="F52" s="174" t="n"/>
      <c r="G52" s="145" t="n"/>
      <c r="H52" s="106" t="n"/>
      <c r="I52" s="106" t="n"/>
      <c r="J52" s="129" t="n"/>
      <c r="L52" s="129" t="n"/>
      <c r="M52" s="129" t="n"/>
      <c r="N52" s="217" t="n"/>
      <c r="O52" s="130" t="n"/>
      <c r="P52" s="129" t="n"/>
      <c r="Q52" s="129" t="n"/>
      <c r="R52" s="129" t="n"/>
    </row>
    <row r="53">
      <c r="B53" s="130" t="n"/>
      <c r="C53" s="129" t="n"/>
      <c r="D53" s="129" t="n"/>
      <c r="E53" s="129" t="n"/>
      <c r="F53" s="174" t="n"/>
      <c r="G53" s="145" t="n"/>
      <c r="H53" s="106" t="n"/>
      <c r="I53" s="106" t="n"/>
      <c r="J53" s="129" t="n"/>
      <c r="L53" s="129" t="n"/>
      <c r="M53" s="129" t="n"/>
      <c r="N53" s="217" t="n"/>
      <c r="O53" s="130" t="n"/>
      <c r="P53" s="129" t="n"/>
      <c r="Q53" s="129" t="n"/>
      <c r="R53" s="129" t="n"/>
    </row>
    <row r="54">
      <c r="B54" s="130" t="n"/>
      <c r="C54" s="129" t="n"/>
      <c r="D54" s="129" t="n"/>
      <c r="E54" s="129" t="n"/>
      <c r="F54" s="174" t="n"/>
      <c r="G54" s="145" t="n"/>
      <c r="H54" s="106" t="n"/>
      <c r="I54" s="106" t="n"/>
      <c r="J54" s="129" t="n"/>
      <c r="L54" s="129" t="n"/>
      <c r="M54" s="129" t="n"/>
      <c r="N54" s="217" t="n"/>
      <c r="O54" s="130" t="n"/>
      <c r="P54" s="129" t="n"/>
      <c r="Q54" s="129" t="n"/>
      <c r="R54" s="129" t="n"/>
    </row>
    <row r="55">
      <c r="B55" s="130" t="n"/>
      <c r="C55" s="129" t="n"/>
      <c r="D55" s="129" t="n"/>
      <c r="E55" s="129" t="n"/>
      <c r="F55" s="174" t="n"/>
      <c r="G55" s="145" t="n"/>
      <c r="H55" s="106" t="n"/>
      <c r="I55" s="106" t="n"/>
      <c r="J55" s="129" t="n"/>
      <c r="L55" s="129" t="n"/>
      <c r="M55" s="129" t="n"/>
      <c r="N55" s="217" t="n"/>
      <c r="O55" s="130" t="n"/>
      <c r="P55" s="129" t="n"/>
      <c r="Q55" s="129" t="n"/>
      <c r="R55" s="129" t="n"/>
    </row>
    <row r="56">
      <c r="B56" s="130" t="n"/>
      <c r="C56" s="129" t="n"/>
      <c r="D56" s="129" t="n"/>
      <c r="E56" s="129" t="n"/>
      <c r="F56" s="174" t="n"/>
      <c r="G56" s="145" t="n"/>
      <c r="H56" s="106" t="n"/>
      <c r="I56" s="106" t="n"/>
      <c r="J56" s="129" t="n"/>
      <c r="L56" s="129" t="n"/>
      <c r="M56" s="129" t="n"/>
      <c r="N56" s="217" t="n"/>
      <c r="O56" s="130" t="n"/>
      <c r="P56" s="129" t="n"/>
      <c r="Q56" s="129" t="n"/>
      <c r="R56" s="129" t="n"/>
    </row>
    <row r="57">
      <c r="B57" s="130" t="n"/>
      <c r="C57" s="129" t="n"/>
      <c r="D57" s="129" t="n"/>
      <c r="E57" s="129" t="n"/>
      <c r="F57" s="174" t="n"/>
      <c r="G57" s="145" t="n"/>
      <c r="H57" s="106" t="n"/>
      <c r="I57" s="106" t="n"/>
      <c r="J57" s="129" t="n"/>
      <c r="L57" s="129" t="n"/>
      <c r="M57" s="129" t="n"/>
      <c r="N57" s="217" t="n"/>
      <c r="O57" s="130" t="n"/>
      <c r="P57" s="129" t="n"/>
      <c r="Q57" s="129" t="n"/>
      <c r="R57" s="129" t="n"/>
    </row>
    <row r="58">
      <c r="B58" s="130" t="n"/>
      <c r="C58" s="129" t="n"/>
      <c r="D58" s="129" t="n"/>
      <c r="E58" s="129" t="n"/>
      <c r="F58" s="174" t="n"/>
      <c r="G58" s="145" t="n"/>
      <c r="H58" s="106" t="n"/>
      <c r="I58" s="106" t="n"/>
      <c r="J58" s="129" t="n"/>
      <c r="L58" s="129" t="n"/>
      <c r="M58" s="129" t="n"/>
      <c r="N58" s="217" t="n"/>
      <c r="O58" s="130" t="n"/>
      <c r="P58" s="129" t="n"/>
      <c r="Q58" s="129" t="n"/>
      <c r="R58" s="129" t="n"/>
    </row>
    <row r="59">
      <c r="B59" s="130" t="n"/>
      <c r="C59" s="129" t="n"/>
      <c r="D59" s="129" t="n"/>
      <c r="E59" s="129" t="n"/>
      <c r="F59" s="174" t="n"/>
      <c r="G59" s="145" t="n"/>
      <c r="H59" s="106" t="n"/>
      <c r="I59" s="106" t="n"/>
      <c r="J59" s="129" t="n"/>
      <c r="L59" s="129" t="n"/>
      <c r="M59" s="129" t="n"/>
      <c r="N59" s="217" t="n"/>
      <c r="O59" s="130" t="n"/>
      <c r="P59" s="129" t="n"/>
      <c r="Q59" s="129" t="n"/>
      <c r="R59" s="129" t="n"/>
    </row>
    <row r="60">
      <c r="B60" s="130" t="n"/>
      <c r="C60" s="129" t="n"/>
      <c r="D60" s="129" t="n"/>
      <c r="E60" s="129" t="n"/>
      <c r="F60" s="174" t="n"/>
      <c r="G60" s="145" t="n"/>
      <c r="H60" s="106" t="n"/>
      <c r="I60" s="106" t="n"/>
      <c r="J60" s="129" t="n"/>
    </row>
    <row r="61">
      <c r="B61" s="130" t="n"/>
      <c r="C61" s="129" t="n"/>
      <c r="D61" s="129" t="n"/>
      <c r="E61" s="129" t="n"/>
      <c r="F61" s="174" t="n"/>
      <c r="G61" s="145" t="n"/>
      <c r="H61" s="106" t="n"/>
      <c r="I61" s="106" t="n"/>
      <c r="J61" s="129" t="n"/>
    </row>
    <row r="62">
      <c r="B62" s="130" t="n"/>
      <c r="C62" s="129" t="n"/>
      <c r="D62" s="129" t="n"/>
      <c r="E62" s="129" t="n"/>
      <c r="F62" s="174" t="n"/>
      <c r="G62" s="145" t="n"/>
      <c r="H62" s="106" t="n"/>
      <c r="I62" s="106" t="n"/>
      <c r="J62" s="129" t="n"/>
    </row>
    <row r="63">
      <c r="B63" s="130" t="n"/>
      <c r="C63" s="129" t="n"/>
      <c r="D63" s="129" t="n"/>
      <c r="E63" s="129" t="n"/>
      <c r="F63" s="174" t="n"/>
      <c r="G63" s="145" t="n"/>
      <c r="H63" s="106" t="n"/>
      <c r="I63" s="106" t="n"/>
      <c r="J63" s="129" t="n"/>
    </row>
    <row r="64">
      <c r="B64" s="130" t="n"/>
      <c r="C64" s="129" t="n"/>
      <c r="D64" s="129" t="n"/>
      <c r="E64" s="129" t="n"/>
      <c r="F64" s="174" t="n"/>
      <c r="G64" s="145" t="n"/>
      <c r="H64" s="106" t="n"/>
      <c r="I64" s="106" t="n"/>
      <c r="J64" s="129" t="n"/>
    </row>
    <row r="65">
      <c r="B65" s="130" t="n"/>
      <c r="C65" s="129" t="n"/>
      <c r="D65" s="129" t="n"/>
      <c r="E65" s="129" t="n"/>
      <c r="F65" s="174" t="n"/>
      <c r="G65" s="145" t="n"/>
      <c r="H65" s="106" t="n"/>
      <c r="I65" s="106" t="n"/>
      <c r="J65" s="129" t="n"/>
    </row>
    <row r="66">
      <c r="B66" s="130" t="n"/>
      <c r="C66" s="129" t="n"/>
      <c r="D66" s="129" t="n"/>
      <c r="E66" s="129" t="n"/>
      <c r="F66" s="174" t="n"/>
      <c r="G66" s="145" t="n"/>
      <c r="H66" s="106" t="n"/>
      <c r="I66" s="106" t="n"/>
      <c r="J66" s="129" t="n"/>
    </row>
    <row r="67">
      <c r="B67" s="130" t="n"/>
      <c r="C67" s="129" t="n"/>
      <c r="D67" s="129" t="n"/>
      <c r="E67" s="129" t="n"/>
      <c r="F67" s="174" t="n"/>
      <c r="G67" s="145" t="n"/>
      <c r="H67" s="106" t="n"/>
      <c r="I67" s="106" t="n"/>
      <c r="J67" s="129" t="n"/>
    </row>
    <row r="68">
      <c r="B68" s="130" t="n"/>
      <c r="C68" s="129" t="n"/>
      <c r="D68" s="129" t="n"/>
      <c r="E68" s="129" t="n"/>
      <c r="F68" s="174" t="n"/>
      <c r="G68" s="145" t="n"/>
      <c r="H68" s="106" t="n"/>
      <c r="I68" s="106" t="n"/>
      <c r="J68" s="129" t="n"/>
    </row>
    <row r="69">
      <c r="B69" s="130" t="n"/>
      <c r="C69" s="129" t="n"/>
      <c r="D69" s="129" t="n"/>
      <c r="E69" s="129" t="n"/>
      <c r="F69" s="174" t="n"/>
      <c r="G69" s="145" t="n"/>
      <c r="H69" s="106" t="n"/>
      <c r="I69" s="106" t="n"/>
      <c r="J69" s="129" t="n"/>
    </row>
    <row r="70">
      <c r="B70" s="130" t="n"/>
      <c r="C70" s="129" t="n"/>
      <c r="D70" s="129" t="n"/>
      <c r="E70" s="129" t="n"/>
      <c r="F70" s="174" t="n"/>
      <c r="G70" s="145" t="n"/>
      <c r="H70" s="106" t="n"/>
      <c r="I70" s="106" t="n"/>
      <c r="J70" s="129" t="n"/>
    </row>
    <row r="71">
      <c r="B71" s="130" t="n"/>
      <c r="C71" s="129" t="n"/>
      <c r="D71" s="129" t="n"/>
      <c r="E71" s="129" t="n"/>
      <c r="F71" s="174" t="n"/>
      <c r="G71" s="145" t="n"/>
      <c r="H71" s="106" t="n"/>
      <c r="I71" s="106" t="n"/>
      <c r="J71" s="129" t="n"/>
    </row>
    <row r="72">
      <c r="B72" s="130" t="n"/>
      <c r="C72" s="129" t="n"/>
      <c r="D72" s="129" t="n"/>
      <c r="E72" s="129" t="n"/>
      <c r="F72" s="174" t="n"/>
      <c r="G72" s="145" t="n"/>
      <c r="H72" s="106" t="n"/>
      <c r="I72" s="106" t="n"/>
      <c r="J72" s="129" t="n"/>
    </row>
    <row r="73">
      <c r="B73" s="130" t="n"/>
      <c r="C73" s="129" t="n"/>
      <c r="D73" s="129" t="n"/>
      <c r="E73" s="129" t="n"/>
      <c r="F73" s="174" t="n"/>
      <c r="G73" s="145" t="n"/>
      <c r="H73" s="106" t="n"/>
      <c r="I73" s="106" t="n"/>
      <c r="J73" s="129" t="n"/>
    </row>
    <row r="74">
      <c r="B74" s="130" t="n"/>
      <c r="C74" s="129" t="n"/>
      <c r="D74" s="129" t="n"/>
      <c r="E74" s="129" t="n"/>
      <c r="F74" s="174" t="n"/>
      <c r="G74" s="145" t="n"/>
      <c r="H74" s="106" t="n"/>
      <c r="I74" s="106" t="n"/>
      <c r="J74" s="129" t="n"/>
    </row>
    <row r="75">
      <c r="B75" s="130" t="n"/>
      <c r="C75" s="129" t="n"/>
      <c r="D75" s="129" t="n"/>
      <c r="E75" s="129" t="n"/>
      <c r="F75" s="174" t="n"/>
      <c r="G75" s="145" t="n"/>
      <c r="H75" s="106" t="n"/>
      <c r="I75" s="106" t="n"/>
      <c r="J75" s="129" t="n"/>
    </row>
    <row r="76">
      <c r="B76" s="130" t="n"/>
      <c r="C76" s="129" t="n"/>
      <c r="D76" s="129" t="n"/>
      <c r="E76" s="129" t="n"/>
      <c r="F76" s="174" t="n"/>
      <c r="G76" s="145" t="n"/>
      <c r="H76" s="106" t="n"/>
      <c r="I76" s="106" t="n"/>
      <c r="J76" s="129" t="n"/>
    </row>
    <row r="77">
      <c r="B77" s="130" t="n"/>
      <c r="C77" s="129" t="n"/>
      <c r="D77" s="129" t="n"/>
      <c r="E77" s="129" t="n"/>
      <c r="F77" s="174" t="n"/>
      <c r="G77" s="145" t="n"/>
      <c r="H77" s="106" t="n"/>
      <c r="I77" s="106" t="n"/>
      <c r="J77" s="129" t="n"/>
    </row>
    <row r="78">
      <c r="B78" s="130" t="n"/>
      <c r="C78" s="129" t="n"/>
      <c r="D78" s="129" t="n"/>
      <c r="E78" s="129" t="n"/>
      <c r="F78" s="174" t="n"/>
      <c r="G78" s="145" t="n"/>
      <c r="H78" s="106" t="n"/>
      <c r="I78" s="106" t="n"/>
      <c r="J78" s="129" t="n"/>
    </row>
    <row r="79">
      <c r="B79" s="130" t="n"/>
      <c r="C79" s="129" t="n"/>
      <c r="D79" s="129" t="n"/>
      <c r="E79" s="129" t="n"/>
      <c r="F79" s="174" t="n"/>
      <c r="G79" s="145" t="n"/>
      <c r="H79" s="106" t="n"/>
      <c r="I79" s="106" t="n"/>
      <c r="J79" s="129" t="n"/>
    </row>
    <row r="80">
      <c r="B80" s="130" t="n"/>
      <c r="C80" s="129" t="n"/>
      <c r="D80" s="129" t="n"/>
      <c r="E80" s="129" t="n"/>
      <c r="F80" s="174" t="n"/>
      <c r="G80" s="145" t="n"/>
      <c r="H80" s="106" t="n"/>
      <c r="I80" s="106" t="n"/>
      <c r="J80" s="129" t="n"/>
    </row>
    <row r="81">
      <c r="B81" s="130" t="n"/>
      <c r="C81" s="129" t="n"/>
      <c r="D81" s="129" t="n"/>
      <c r="E81" s="129" t="n"/>
      <c r="F81" s="174" t="n"/>
      <c r="G81" s="145" t="n"/>
      <c r="H81" s="106" t="n"/>
      <c r="I81" s="106" t="n"/>
      <c r="J81" s="129" t="n"/>
    </row>
    <row r="82">
      <c r="B82" s="130" t="n"/>
      <c r="C82" s="129" t="n"/>
      <c r="D82" s="129" t="n"/>
      <c r="E82" s="129" t="n"/>
      <c r="F82" s="174" t="n"/>
      <c r="G82" s="145" t="n"/>
      <c r="H82" s="106" t="n"/>
      <c r="I82" s="106" t="n"/>
      <c r="J82" s="129" t="n"/>
    </row>
    <row r="83">
      <c r="B83" s="130" t="n"/>
      <c r="C83" s="129" t="n"/>
      <c r="D83" s="129" t="n"/>
      <c r="E83" s="129" t="n"/>
      <c r="F83" s="174" t="n"/>
      <c r="G83" s="145" t="n"/>
      <c r="H83" s="106" t="n"/>
      <c r="I83" s="106" t="n"/>
      <c r="J83" s="129" t="n"/>
    </row>
    <row r="84">
      <c r="B84" s="130" t="n"/>
      <c r="C84" s="129" t="n"/>
      <c r="D84" s="129" t="n"/>
      <c r="E84" s="129" t="n"/>
      <c r="F84" s="174" t="n"/>
      <c r="G84" s="145" t="n"/>
      <c r="H84" s="106" t="n"/>
      <c r="I84" s="106" t="n"/>
      <c r="J84" s="129" t="n"/>
    </row>
    <row r="85">
      <c r="B85" s="130" t="n"/>
      <c r="C85" s="129" t="n"/>
      <c r="D85" s="129" t="n"/>
      <c r="E85" s="129" t="n"/>
      <c r="F85" s="174" t="n"/>
      <c r="G85" s="145" t="n"/>
      <c r="H85" s="106" t="n"/>
      <c r="I85" s="106" t="n"/>
      <c r="J85" s="129" t="n"/>
    </row>
    <row r="86">
      <c r="B86" s="130" t="n"/>
      <c r="C86" s="129" t="n"/>
      <c r="D86" s="129" t="n"/>
      <c r="E86" s="129" t="n"/>
      <c r="F86" s="174" t="n"/>
      <c r="G86" s="145" t="n"/>
      <c r="H86" s="106" t="n"/>
      <c r="I86" s="106" t="n"/>
      <c r="J86" s="129" t="n"/>
    </row>
    <row r="87">
      <c r="B87" s="130" t="n"/>
      <c r="C87" s="129" t="n"/>
      <c r="D87" s="129" t="n"/>
      <c r="E87" s="129" t="n"/>
      <c r="F87" s="174" t="n"/>
      <c r="G87" s="145" t="n"/>
      <c r="H87" s="106" t="n"/>
      <c r="I87" s="106" t="n"/>
      <c r="J87" s="129" t="n"/>
    </row>
    <row r="88">
      <c r="B88" s="130" t="n"/>
      <c r="C88" s="129" t="n"/>
      <c r="D88" s="129" t="n"/>
      <c r="E88" s="129" t="n"/>
      <c r="F88" s="174" t="n"/>
      <c r="G88" s="145" t="n"/>
      <c r="H88" s="106" t="n"/>
      <c r="I88" s="106" t="n"/>
      <c r="J88" s="129" t="n"/>
    </row>
    <row r="89">
      <c r="B89" s="130" t="n"/>
      <c r="C89" s="129" t="n"/>
      <c r="D89" s="129" t="n"/>
      <c r="E89" s="129" t="n"/>
      <c r="F89" s="174" t="n"/>
      <c r="G89" s="145" t="n"/>
      <c r="H89" s="106" t="n"/>
      <c r="I89" s="106" t="n"/>
      <c r="J89" s="129" t="n"/>
    </row>
    <row r="90">
      <c r="B90" s="130" t="n"/>
      <c r="C90" s="129" t="n"/>
      <c r="D90" s="129" t="n"/>
      <c r="E90" s="129" t="n"/>
      <c r="F90" s="174" t="n"/>
      <c r="G90" s="145" t="n"/>
      <c r="H90" s="106" t="n"/>
      <c r="I90" s="106" t="n"/>
      <c r="J90" s="129" t="n"/>
    </row>
    <row r="91">
      <c r="B91" s="130" t="n"/>
      <c r="C91" s="129" t="n"/>
      <c r="D91" s="129" t="n"/>
      <c r="E91" s="129" t="n"/>
      <c r="F91" s="174" t="n"/>
      <c r="G91" s="145" t="n"/>
      <c r="H91" s="106" t="n"/>
      <c r="I91" s="106" t="n"/>
      <c r="J91" s="129" t="n"/>
    </row>
    <row r="92">
      <c r="B92" s="130" t="n"/>
      <c r="C92" s="129" t="n"/>
      <c r="D92" s="129" t="n"/>
      <c r="E92" s="129" t="n"/>
      <c r="F92" s="174" t="n"/>
      <c r="G92" s="145" t="n"/>
      <c r="H92" s="106" t="n"/>
      <c r="I92" s="106" t="n"/>
      <c r="J92" s="129" t="n"/>
    </row>
    <row r="93">
      <c r="B93" s="130" t="n"/>
      <c r="C93" s="129" t="n"/>
      <c r="D93" s="129" t="n"/>
      <c r="E93" s="129" t="n"/>
      <c r="F93" s="174" t="n"/>
      <c r="G93" s="145" t="n"/>
      <c r="H93" s="106" t="n"/>
      <c r="I93" s="106" t="n"/>
      <c r="J93" s="129" t="n"/>
    </row>
    <row r="94">
      <c r="B94" s="130" t="n"/>
      <c r="C94" s="129" t="n"/>
      <c r="D94" s="129" t="n"/>
      <c r="E94" s="129" t="n"/>
      <c r="F94" s="174" t="n"/>
      <c r="G94" s="145" t="n"/>
      <c r="H94" s="106" t="n"/>
      <c r="I94" s="106" t="n"/>
      <c r="J94" s="129" t="n"/>
    </row>
    <row r="95">
      <c r="B95" s="130" t="n"/>
      <c r="C95" s="129" t="n"/>
      <c r="D95" s="129" t="n"/>
      <c r="E95" s="129" t="n"/>
      <c r="F95" s="174" t="n"/>
      <c r="G95" s="145" t="n"/>
      <c r="H95" s="106" t="n"/>
      <c r="I95" s="106" t="n"/>
      <c r="J95" s="129" t="n"/>
    </row>
    <row r="96">
      <c r="B96" s="130" t="n"/>
      <c r="C96" s="129" t="n"/>
      <c r="D96" s="129" t="n"/>
      <c r="E96" s="129" t="n"/>
      <c r="F96" s="174" t="n"/>
      <c r="G96" s="145" t="n"/>
      <c r="H96" s="106" t="n"/>
      <c r="I96" s="106" t="n"/>
      <c r="J96" s="129" t="n"/>
    </row>
    <row r="97">
      <c r="B97" s="130" t="n"/>
      <c r="C97" s="129" t="n"/>
      <c r="D97" s="129" t="n"/>
      <c r="E97" s="129" t="n"/>
      <c r="F97" s="174" t="n"/>
      <c r="G97" s="145" t="n"/>
      <c r="H97" s="106" t="n"/>
      <c r="I97" s="106" t="n"/>
      <c r="J97" s="129" t="n"/>
    </row>
    <row r="98">
      <c r="B98" s="130" t="n"/>
      <c r="C98" s="129" t="n"/>
      <c r="D98" s="129" t="n"/>
      <c r="E98" s="129" t="n"/>
      <c r="F98" s="174" t="n"/>
      <c r="G98" s="145" t="n"/>
      <c r="H98" s="106" t="n"/>
      <c r="I98" s="106" t="n"/>
      <c r="J98" s="129" t="n"/>
    </row>
    <row r="99">
      <c r="B99" s="130" t="n"/>
      <c r="C99" s="129" t="n"/>
      <c r="D99" s="129" t="n"/>
      <c r="E99" s="129" t="n"/>
      <c r="F99" s="174" t="n"/>
      <c r="G99" s="145" t="n"/>
      <c r="H99" s="106" t="n"/>
      <c r="I99" s="106" t="n"/>
      <c r="J99" s="129" t="n"/>
    </row>
    <row r="100">
      <c r="B100" s="130" t="n"/>
      <c r="C100" s="129" t="n"/>
      <c r="D100" s="129" t="n"/>
      <c r="E100" s="129" t="n"/>
      <c r="F100" s="174" t="n"/>
      <c r="G100" s="145" t="n"/>
      <c r="H100" s="106" t="n"/>
      <c r="I100" s="106" t="n"/>
      <c r="J100" s="129" t="n"/>
    </row>
    <row r="101">
      <c r="B101" s="130" t="n"/>
      <c r="C101" s="129" t="n"/>
      <c r="D101" s="129" t="n"/>
      <c r="E101" s="129" t="n"/>
      <c r="F101" s="174" t="n"/>
      <c r="G101" s="145" t="n"/>
      <c r="H101" s="106" t="n"/>
      <c r="I101" s="106" t="n"/>
      <c r="J101" s="129" t="n"/>
    </row>
    <row r="102">
      <c r="B102" s="130" t="n"/>
      <c r="C102" s="129" t="n"/>
      <c r="D102" s="129" t="n"/>
      <c r="E102" s="129" t="n"/>
      <c r="F102" s="174" t="n"/>
      <c r="G102" s="145" t="n"/>
      <c r="H102" s="106" t="n"/>
      <c r="I102" s="106" t="n"/>
      <c r="J102" s="129" t="n"/>
    </row>
    <row r="103">
      <c r="B103" s="130" t="n"/>
      <c r="C103" s="129" t="n"/>
      <c r="D103" s="129" t="n"/>
      <c r="E103" s="129" t="n"/>
      <c r="F103" s="174" t="n"/>
      <c r="G103" s="145" t="n"/>
      <c r="H103" s="106" t="n"/>
      <c r="I103" s="106" t="n"/>
      <c r="J103" s="129" t="n"/>
    </row>
    <row r="104">
      <c r="B104" s="130" t="n"/>
      <c r="C104" s="129" t="n"/>
      <c r="D104" s="129" t="n"/>
      <c r="E104" s="129" t="n"/>
      <c r="F104" s="174" t="n"/>
      <c r="G104" s="145" t="n"/>
      <c r="H104" s="106" t="n"/>
      <c r="I104" s="106" t="n"/>
      <c r="J104" s="129" t="n"/>
    </row>
    <row r="105">
      <c r="B105" s="130" t="n"/>
      <c r="C105" s="129" t="n"/>
      <c r="D105" s="129" t="n"/>
      <c r="E105" s="129" t="n"/>
      <c r="F105" s="174" t="n"/>
      <c r="G105" s="145" t="n"/>
      <c r="H105" s="106" t="n"/>
      <c r="I105" s="106" t="n"/>
      <c r="J105" s="129" t="n"/>
    </row>
    <row r="106">
      <c r="B106" s="130" t="n"/>
      <c r="C106" s="129" t="n"/>
      <c r="D106" s="129" t="n"/>
      <c r="E106" s="129" t="n"/>
      <c r="F106" s="174" t="n"/>
      <c r="G106" s="145" t="n"/>
      <c r="H106" s="106" t="n"/>
      <c r="I106" s="106" t="n"/>
      <c r="J106" s="129" t="n"/>
    </row>
    <row r="107">
      <c r="B107" s="130" t="n"/>
      <c r="C107" s="129" t="n"/>
      <c r="D107" s="129" t="n"/>
      <c r="E107" s="129" t="n"/>
      <c r="F107" s="174" t="n"/>
      <c r="G107" s="145" t="n"/>
      <c r="H107" s="106" t="n"/>
      <c r="I107" s="106" t="n"/>
      <c r="J107" s="129" t="n"/>
    </row>
    <row r="108">
      <c r="B108" s="130" t="n"/>
      <c r="C108" s="129" t="n"/>
      <c r="D108" s="129" t="n"/>
      <c r="E108" s="129" t="n"/>
      <c r="F108" s="174" t="n"/>
      <c r="G108" s="145" t="n"/>
      <c r="H108" s="106" t="n"/>
      <c r="I108" s="106" t="n"/>
      <c r="J108" s="129" t="n"/>
    </row>
    <row r="109">
      <c r="B109" s="130" t="n"/>
      <c r="C109" s="129" t="n"/>
      <c r="D109" s="129" t="n"/>
      <c r="E109" s="129" t="n"/>
      <c r="F109" s="174" t="n"/>
      <c r="G109" s="145" t="n"/>
      <c r="H109" s="106" t="n"/>
      <c r="I109" s="106" t="n"/>
      <c r="J109" s="129" t="n"/>
    </row>
    <row r="110">
      <c r="B110" s="130" t="n"/>
      <c r="C110" s="129" t="n"/>
      <c r="D110" s="129" t="n"/>
      <c r="E110" s="129" t="n"/>
      <c r="F110" s="174" t="n"/>
      <c r="G110" s="145" t="n"/>
      <c r="H110" s="106" t="n"/>
      <c r="I110" s="106" t="n"/>
      <c r="J110" s="129" t="n"/>
    </row>
    <row r="111">
      <c r="B111" s="130" t="n"/>
      <c r="C111" s="129" t="n"/>
      <c r="D111" s="129" t="n"/>
      <c r="E111" s="129" t="n"/>
      <c r="F111" s="174" t="n"/>
      <c r="G111" s="145" t="n"/>
      <c r="H111" s="106" t="n"/>
      <c r="I111" s="106" t="n"/>
      <c r="J111" s="129" t="n"/>
    </row>
    <row r="112">
      <c r="B112" s="130" t="n"/>
      <c r="C112" s="129" t="n"/>
      <c r="D112" s="129" t="n"/>
      <c r="E112" s="129" t="n"/>
      <c r="F112" s="174" t="n"/>
      <c r="G112" s="145" t="n"/>
      <c r="H112" s="106" t="n"/>
      <c r="I112" s="106" t="n"/>
      <c r="J112" s="129" t="n"/>
    </row>
    <row r="113">
      <c r="B113" s="130" t="n"/>
      <c r="C113" s="129" t="n"/>
      <c r="D113" s="129" t="n"/>
      <c r="E113" s="129" t="n"/>
      <c r="F113" s="174" t="n"/>
      <c r="G113" s="145" t="n"/>
      <c r="H113" s="106" t="n"/>
      <c r="I113" s="106" t="n"/>
      <c r="J113" s="129" t="n"/>
    </row>
    <row r="114">
      <c r="B114" s="130" t="n"/>
      <c r="C114" s="129" t="n"/>
      <c r="D114" s="129" t="n"/>
      <c r="E114" s="129" t="n"/>
      <c r="F114" s="174" t="n"/>
      <c r="G114" s="145" t="n"/>
      <c r="H114" s="106" t="n"/>
      <c r="I114" s="106" t="n"/>
      <c r="J114" s="129" t="n"/>
    </row>
    <row r="115">
      <c r="B115" s="130" t="n"/>
      <c r="C115" s="129" t="n"/>
      <c r="D115" s="129" t="n"/>
      <c r="E115" s="129" t="n"/>
      <c r="F115" s="174" t="n"/>
      <c r="G115" s="145" t="n"/>
      <c r="H115" s="106" t="n"/>
      <c r="I115" s="106" t="n"/>
      <c r="J115" s="129" t="n"/>
    </row>
    <row r="116">
      <c r="B116" s="130" t="n"/>
      <c r="C116" s="129" t="n"/>
      <c r="D116" s="129" t="n"/>
      <c r="E116" s="129" t="n"/>
      <c r="F116" s="174" t="n"/>
      <c r="G116" s="145" t="n"/>
      <c r="H116" s="106" t="n"/>
      <c r="I116" s="106" t="n"/>
      <c r="J116" s="129" t="n"/>
    </row>
    <row r="117">
      <c r="B117" s="130" t="n"/>
      <c r="C117" s="129" t="n"/>
      <c r="D117" s="129" t="n"/>
      <c r="E117" s="129" t="n"/>
      <c r="F117" s="174" t="n"/>
      <c r="G117" s="145" t="n"/>
      <c r="H117" s="106" t="n"/>
      <c r="I117" s="106" t="n"/>
      <c r="J117" s="129" t="n"/>
    </row>
    <row r="118">
      <c r="B118" s="130" t="n"/>
      <c r="C118" s="129" t="n"/>
      <c r="D118" s="129" t="n"/>
      <c r="E118" s="129" t="n"/>
      <c r="F118" s="174" t="n"/>
      <c r="G118" s="145" t="n"/>
      <c r="H118" s="106" t="n"/>
      <c r="I118" s="106" t="n"/>
      <c r="J118" s="129" t="n"/>
    </row>
    <row r="119">
      <c r="B119" s="130" t="n"/>
      <c r="C119" s="129" t="n"/>
      <c r="D119" s="129" t="n"/>
      <c r="E119" s="129" t="n"/>
      <c r="F119" s="174" t="n"/>
      <c r="G119" s="145" t="n"/>
      <c r="H119" s="106" t="n"/>
      <c r="I119" s="106" t="n"/>
      <c r="J119" s="129" t="n"/>
    </row>
    <row r="120">
      <c r="B120" s="130" t="n"/>
      <c r="C120" s="129" t="n"/>
      <c r="D120" s="129" t="n"/>
      <c r="E120" s="129" t="n"/>
      <c r="F120" s="174" t="n"/>
      <c r="G120" s="145" t="n"/>
      <c r="H120" s="106" t="n"/>
      <c r="I120" s="106" t="n"/>
      <c r="J120" s="129" t="n"/>
    </row>
    <row r="121">
      <c r="B121" s="130" t="n"/>
      <c r="C121" s="129" t="n"/>
      <c r="D121" s="129" t="n"/>
      <c r="E121" s="129" t="n"/>
      <c r="F121" s="174" t="n"/>
      <c r="G121" s="145" t="n"/>
      <c r="H121" s="106" t="n"/>
      <c r="I121" s="106" t="n"/>
      <c r="J121" s="129" t="n"/>
    </row>
    <row r="122">
      <c r="B122" s="130" t="n"/>
      <c r="C122" s="129" t="n"/>
      <c r="D122" s="129" t="n"/>
      <c r="E122" s="129" t="n"/>
      <c r="F122" s="174" t="n"/>
      <c r="G122" s="145" t="n"/>
      <c r="H122" s="106" t="n"/>
      <c r="I122" s="106" t="n"/>
      <c r="J122" s="129" t="n"/>
    </row>
    <row r="123">
      <c r="B123" s="130" t="n"/>
      <c r="C123" s="129" t="n"/>
      <c r="D123" s="129" t="n"/>
      <c r="E123" s="129" t="n"/>
      <c r="F123" s="174" t="n"/>
      <c r="G123" s="145" t="n"/>
      <c r="H123" s="106" t="n"/>
      <c r="I123" s="106" t="n"/>
      <c r="J123" s="129" t="n"/>
    </row>
    <row r="124">
      <c r="B124" s="130" t="n"/>
      <c r="C124" s="129" t="n"/>
      <c r="D124" s="129" t="n"/>
      <c r="E124" s="129" t="n"/>
      <c r="F124" s="174" t="n"/>
      <c r="G124" s="145" t="n"/>
      <c r="H124" s="106" t="n"/>
      <c r="I124" s="106" t="n"/>
      <c r="J124" s="129" t="n"/>
    </row>
    <row r="125">
      <c r="B125" s="130" t="n"/>
      <c r="C125" s="129" t="n"/>
      <c r="D125" s="129" t="n"/>
      <c r="E125" s="129" t="n"/>
      <c r="F125" s="174" t="n"/>
      <c r="G125" s="145" t="n"/>
      <c r="H125" s="106" t="n"/>
      <c r="I125" s="106" t="n"/>
      <c r="J125" s="129" t="n"/>
    </row>
    <row r="126">
      <c r="B126" s="130" t="n"/>
      <c r="C126" s="129" t="n"/>
      <c r="D126" s="129" t="n"/>
      <c r="E126" s="129" t="n"/>
      <c r="F126" s="174" t="n"/>
      <c r="G126" s="145" t="n"/>
      <c r="H126" s="106" t="n"/>
      <c r="I126" s="106" t="n"/>
      <c r="J126" s="129" t="n"/>
    </row>
    <row r="127">
      <c r="B127" s="130" t="n"/>
      <c r="C127" s="129" t="n"/>
      <c r="D127" s="129" t="n"/>
      <c r="E127" s="129" t="n"/>
      <c r="F127" s="174" t="n"/>
      <c r="G127" s="145" t="n"/>
      <c r="H127" s="106" t="n"/>
      <c r="I127" s="106" t="n"/>
      <c r="J127" s="129" t="n"/>
    </row>
    <row r="128">
      <c r="B128" s="130" t="n"/>
      <c r="C128" s="129" t="n"/>
      <c r="D128" s="129" t="n"/>
      <c r="E128" s="129" t="n"/>
      <c r="F128" s="174" t="n"/>
      <c r="G128" s="145" t="n"/>
      <c r="H128" s="106" t="n"/>
      <c r="I128" s="106" t="n"/>
      <c r="J128" s="129" t="n"/>
    </row>
    <row r="129">
      <c r="B129" s="130" t="n"/>
      <c r="C129" s="129" t="n"/>
      <c r="D129" s="129" t="n"/>
      <c r="E129" s="129" t="n"/>
      <c r="F129" s="174" t="n"/>
      <c r="G129" s="145" t="n"/>
      <c r="H129" s="106" t="n"/>
      <c r="I129" s="106" t="n"/>
      <c r="J129" s="129" t="n"/>
    </row>
    <row r="130">
      <c r="B130" s="130" t="n"/>
      <c r="C130" s="129" t="n"/>
      <c r="D130" s="129" t="n"/>
      <c r="E130" s="129" t="n"/>
      <c r="F130" s="174" t="n"/>
      <c r="G130" s="145" t="n"/>
      <c r="H130" s="106" t="n"/>
      <c r="I130" s="106" t="n"/>
      <c r="J130" s="129" t="n"/>
    </row>
    <row r="131">
      <c r="B131" s="130" t="n"/>
      <c r="C131" s="129" t="n"/>
      <c r="D131" s="129" t="n"/>
      <c r="E131" s="129" t="n"/>
      <c r="F131" s="174" t="n"/>
      <c r="G131" s="145" t="n"/>
      <c r="H131" s="106" t="n"/>
      <c r="I131" s="106" t="n"/>
      <c r="J131" s="129" t="n"/>
    </row>
    <row r="132">
      <c r="B132" s="130" t="n"/>
      <c r="C132" s="129" t="n"/>
      <c r="D132" s="129" t="n"/>
      <c r="E132" s="129" t="n"/>
      <c r="F132" s="174" t="n"/>
      <c r="G132" s="145" t="n"/>
      <c r="H132" s="106" t="n"/>
      <c r="I132" s="106" t="n"/>
      <c r="J132" s="129" t="n"/>
    </row>
    <row r="133">
      <c r="B133" s="130" t="n"/>
      <c r="C133" s="129" t="n"/>
      <c r="D133" s="129" t="n"/>
      <c r="E133" s="129" t="n"/>
      <c r="F133" s="174" t="n"/>
      <c r="G133" s="145" t="n"/>
      <c r="H133" s="106" t="n"/>
      <c r="I133" s="106" t="n"/>
      <c r="J133" s="129" t="n"/>
    </row>
    <row r="134">
      <c r="B134" s="130" t="n"/>
      <c r="C134" s="129" t="n"/>
      <c r="D134" s="129" t="n"/>
      <c r="E134" s="129" t="n"/>
      <c r="F134" s="174" t="n"/>
      <c r="G134" s="145" t="n"/>
      <c r="H134" s="106" t="n"/>
      <c r="I134" s="106" t="n"/>
      <c r="J134" s="129" t="n"/>
    </row>
    <row r="135">
      <c r="B135" s="130" t="n"/>
      <c r="C135" s="129" t="n"/>
      <c r="D135" s="129" t="n"/>
      <c r="E135" s="129" t="n"/>
      <c r="F135" s="174" t="n"/>
      <c r="G135" s="145" t="n"/>
      <c r="H135" s="106" t="n"/>
      <c r="I135" s="106" t="n"/>
      <c r="J135" s="129" t="n"/>
    </row>
    <row r="136">
      <c r="B136" s="130" t="n"/>
      <c r="C136" s="129" t="n"/>
      <c r="D136" s="129" t="n"/>
      <c r="E136" s="129" t="n"/>
      <c r="F136" s="174" t="n"/>
      <c r="G136" s="145" t="n"/>
      <c r="H136" s="106" t="n"/>
      <c r="I136" s="106" t="n"/>
      <c r="J136" s="129" t="n"/>
    </row>
    <row r="137">
      <c r="B137" s="130" t="n"/>
      <c r="C137" s="129" t="n"/>
      <c r="D137" s="129" t="n"/>
      <c r="E137" s="129" t="n"/>
      <c r="F137" s="174" t="n"/>
      <c r="G137" s="145" t="n"/>
      <c r="H137" s="106" t="n"/>
      <c r="I137" s="106" t="n"/>
      <c r="J137" s="129" t="n"/>
    </row>
    <row r="138">
      <c r="B138" s="130" t="n"/>
      <c r="C138" s="129" t="n"/>
      <c r="D138" s="129" t="n"/>
      <c r="E138" s="129" t="n"/>
      <c r="F138" s="174" t="n"/>
      <c r="G138" s="145" t="n"/>
      <c r="H138" s="106" t="n"/>
      <c r="I138" s="106" t="n"/>
      <c r="J138" s="129" t="n"/>
    </row>
    <row r="139">
      <c r="B139" s="130" t="n"/>
      <c r="C139" s="129" t="n"/>
      <c r="D139" s="129" t="n"/>
      <c r="E139" s="129" t="n"/>
      <c r="F139" s="174" t="n"/>
      <c r="G139" s="145" t="n"/>
      <c r="H139" s="106" t="n"/>
      <c r="I139" s="106" t="n"/>
      <c r="J139" s="129" t="n"/>
    </row>
    <row r="140">
      <c r="B140" s="130" t="n"/>
      <c r="C140" s="129" t="n"/>
      <c r="D140" s="129" t="n"/>
      <c r="E140" s="129" t="n"/>
      <c r="F140" s="174" t="n"/>
      <c r="G140" s="145" t="n"/>
      <c r="H140" s="106" t="n"/>
      <c r="I140" s="106" t="n"/>
      <c r="J140" s="129" t="n"/>
    </row>
    <row r="141">
      <c r="B141" s="130" t="n"/>
      <c r="C141" s="129" t="n"/>
      <c r="D141" s="129" t="n"/>
      <c r="E141" s="129" t="n"/>
      <c r="F141" s="174" t="n"/>
      <c r="G141" s="145" t="n"/>
      <c r="H141" s="106" t="n"/>
      <c r="I141" s="106" t="n"/>
      <c r="J141" s="129" t="n"/>
    </row>
    <row r="142">
      <c r="B142" s="130" t="n"/>
      <c r="C142" s="129" t="n"/>
      <c r="D142" s="129" t="n"/>
      <c r="E142" s="129" t="n"/>
      <c r="F142" s="174" t="n"/>
      <c r="G142" s="145" t="n"/>
      <c r="H142" s="106" t="n"/>
      <c r="I142" s="106" t="n"/>
      <c r="J142" s="129" t="n"/>
    </row>
    <row r="143">
      <c r="B143" s="130" t="n"/>
      <c r="C143" s="129" t="n"/>
      <c r="D143" s="129" t="n"/>
      <c r="E143" s="129" t="n"/>
      <c r="F143" s="174" t="n"/>
      <c r="G143" s="145" t="n"/>
      <c r="H143" s="106" t="n"/>
      <c r="I143" s="106" t="n"/>
      <c r="J143" s="129" t="n"/>
    </row>
    <row r="144">
      <c r="B144" s="130" t="n"/>
      <c r="C144" s="129" t="n"/>
      <c r="D144" s="129" t="n"/>
      <c r="E144" s="129" t="n"/>
      <c r="F144" s="174" t="n"/>
      <c r="G144" s="145" t="n"/>
      <c r="H144" s="106" t="n"/>
      <c r="I144" s="106" t="n"/>
      <c r="J144" s="129" t="n"/>
    </row>
    <row r="145">
      <c r="B145" s="130" t="n"/>
      <c r="C145" s="129" t="n"/>
      <c r="D145" s="129" t="n"/>
      <c r="E145" s="129" t="n"/>
      <c r="F145" s="174" t="n"/>
      <c r="G145" s="145" t="n"/>
      <c r="H145" s="106" t="n"/>
      <c r="I145" s="106" t="n"/>
      <c r="J145" s="129" t="n"/>
    </row>
    <row r="146">
      <c r="B146" s="130" t="n"/>
      <c r="C146" s="129" t="n"/>
      <c r="D146" s="129" t="n"/>
      <c r="E146" s="129" t="n"/>
      <c r="F146" s="174" t="n"/>
      <c r="G146" s="145" t="n"/>
      <c r="H146" s="106" t="n"/>
      <c r="I146" s="106" t="n"/>
      <c r="J146" s="129" t="n"/>
    </row>
    <row r="147">
      <c r="B147" s="130" t="n"/>
      <c r="C147" s="129" t="n"/>
      <c r="D147" s="129" t="n"/>
      <c r="E147" s="129" t="n"/>
      <c r="F147" s="174" t="n"/>
      <c r="G147" s="145" t="n"/>
      <c r="H147" s="106" t="n"/>
      <c r="I147" s="106" t="n"/>
      <c r="J147" s="129" t="n"/>
    </row>
    <row r="148">
      <c r="B148" s="130" t="n"/>
      <c r="C148" s="129" t="n"/>
      <c r="D148" s="129" t="n"/>
      <c r="E148" s="129" t="n"/>
      <c r="F148" s="174" t="n"/>
      <c r="G148" s="145" t="n"/>
      <c r="H148" s="106" t="n"/>
      <c r="I148" s="106" t="n"/>
      <c r="J148" s="129" t="n"/>
    </row>
    <row r="149">
      <c r="B149" s="130" t="n"/>
      <c r="C149" s="129" t="n"/>
      <c r="D149" s="129" t="n"/>
      <c r="E149" s="129" t="n"/>
      <c r="F149" s="174" t="n"/>
      <c r="G149" s="145" t="n"/>
      <c r="H149" s="106" t="n"/>
      <c r="I149" s="106" t="n"/>
      <c r="J149" s="129" t="n"/>
    </row>
    <row r="150">
      <c r="B150" s="130" t="n"/>
      <c r="C150" s="129" t="n"/>
      <c r="D150" s="129" t="n"/>
      <c r="E150" s="129" t="n"/>
      <c r="F150" s="174" t="n"/>
      <c r="G150" s="145" t="n"/>
      <c r="H150" s="106" t="n"/>
      <c r="I150" s="106" t="n"/>
      <c r="J150" s="129" t="n"/>
    </row>
    <row r="151">
      <c r="B151" s="130" t="n"/>
      <c r="C151" s="129" t="n"/>
      <c r="D151" s="129" t="n"/>
      <c r="E151" s="129" t="n"/>
      <c r="F151" s="174" t="n"/>
      <c r="G151" s="145" t="n"/>
      <c r="H151" s="106" t="n"/>
      <c r="I151" s="106" t="n"/>
      <c r="J151" s="129" t="n"/>
    </row>
    <row r="152">
      <c r="B152" s="130" t="n"/>
      <c r="C152" s="129" t="n"/>
      <c r="D152" s="129" t="n"/>
      <c r="E152" s="129" t="n"/>
      <c r="F152" s="174" t="n"/>
      <c r="G152" s="145" t="n"/>
      <c r="H152" s="106" t="n"/>
      <c r="I152" s="106" t="n"/>
      <c r="J152" s="129" t="n"/>
    </row>
    <row r="153">
      <c r="B153" s="130" t="n"/>
      <c r="C153" s="129" t="n"/>
      <c r="D153" s="129" t="n"/>
      <c r="E153" s="129" t="n"/>
      <c r="F153" s="174" t="n"/>
      <c r="G153" s="145" t="n"/>
      <c r="H153" s="106" t="n"/>
      <c r="I153" s="106" t="n"/>
      <c r="J153" s="129" t="n"/>
    </row>
    <row r="154">
      <c r="B154" s="130" t="n"/>
      <c r="C154" s="129" t="n"/>
      <c r="D154" s="129" t="n"/>
      <c r="E154" s="129" t="n"/>
      <c r="F154" s="174" t="n"/>
      <c r="G154" s="145" t="n"/>
      <c r="H154" s="106" t="n"/>
      <c r="I154" s="106" t="n"/>
      <c r="J154" s="129" t="n"/>
    </row>
    <row r="155">
      <c r="B155" s="130" t="n"/>
      <c r="C155" s="129" t="n"/>
      <c r="D155" s="129" t="n"/>
      <c r="E155" s="129" t="n"/>
      <c r="F155" s="174" t="n"/>
      <c r="G155" s="145" t="n"/>
      <c r="H155" s="106" t="n"/>
      <c r="I155" s="106" t="n"/>
      <c r="J155" s="129" t="n"/>
    </row>
    <row r="156">
      <c r="B156" s="130" t="n"/>
      <c r="C156" s="129" t="n"/>
      <c r="D156" s="129" t="n"/>
      <c r="E156" s="129" t="n"/>
      <c r="F156" s="174" t="n"/>
      <c r="G156" s="145" t="n"/>
      <c r="H156" s="106" t="n"/>
      <c r="I156" s="106" t="n"/>
      <c r="J156" s="129" t="n"/>
    </row>
    <row r="157">
      <c r="B157" s="130" t="n"/>
      <c r="C157" s="129" t="n"/>
      <c r="D157" s="129" t="n"/>
      <c r="E157" s="129" t="n"/>
      <c r="F157" s="174" t="n"/>
      <c r="G157" s="145" t="n"/>
      <c r="H157" s="106" t="n"/>
      <c r="I157" s="106" t="n"/>
      <c r="J157" s="129" t="n"/>
    </row>
    <row r="158">
      <c r="B158" s="130" t="n"/>
      <c r="C158" s="129" t="n"/>
      <c r="D158" s="129" t="n"/>
      <c r="E158" s="129" t="n"/>
      <c r="F158" s="174" t="n"/>
      <c r="G158" s="145" t="n"/>
      <c r="H158" s="106" t="n"/>
      <c r="I158" s="106" t="n"/>
      <c r="J158" s="129" t="n"/>
    </row>
    <row r="159">
      <c r="B159" s="130" t="n"/>
      <c r="C159" s="129" t="n"/>
      <c r="D159" s="129" t="n"/>
      <c r="E159" s="129" t="n"/>
      <c r="F159" s="174" t="n"/>
      <c r="G159" s="145" t="n"/>
      <c r="H159" s="106" t="n"/>
      <c r="I159" s="106" t="n"/>
      <c r="J159" s="129" t="n"/>
    </row>
    <row r="160">
      <c r="B160" s="130" t="n"/>
      <c r="C160" s="129" t="n"/>
      <c r="D160" s="129" t="n"/>
      <c r="E160" s="129" t="n"/>
      <c r="F160" s="174" t="n"/>
      <c r="G160" s="145" t="n"/>
      <c r="H160" s="106" t="n"/>
      <c r="I160" s="106" t="n"/>
      <c r="J160" s="129" t="n"/>
    </row>
    <row r="161">
      <c r="B161" s="130" t="n"/>
      <c r="C161" s="129" t="n"/>
      <c r="D161" s="129" t="n"/>
      <c r="E161" s="129" t="n"/>
      <c r="F161" s="174" t="n"/>
      <c r="G161" s="145" t="n"/>
      <c r="H161" s="106" t="n"/>
      <c r="I161" s="106" t="n"/>
      <c r="J161" s="129" t="n"/>
    </row>
    <row r="162">
      <c r="B162" s="130" t="n"/>
      <c r="C162" s="129" t="n"/>
      <c r="D162" s="129" t="n"/>
      <c r="E162" s="129" t="n"/>
      <c r="F162" s="174" t="n"/>
      <c r="G162" s="145" t="n"/>
      <c r="H162" s="106" t="n"/>
      <c r="I162" s="106" t="n"/>
      <c r="J162" s="129" t="n"/>
    </row>
    <row r="163">
      <c r="B163" s="130" t="n"/>
      <c r="C163" s="129" t="n"/>
      <c r="D163" s="129" t="n"/>
      <c r="E163" s="129" t="n"/>
      <c r="F163" s="174" t="n"/>
      <c r="G163" s="145" t="n"/>
      <c r="H163" s="106" t="n"/>
      <c r="I163" s="106" t="n"/>
      <c r="J163" s="129" t="n"/>
    </row>
    <row r="164">
      <c r="B164" s="130" t="n"/>
      <c r="C164" s="129" t="n"/>
      <c r="D164" s="129" t="n"/>
      <c r="E164" s="129" t="n"/>
      <c r="F164" s="174" t="n"/>
      <c r="G164" s="145" t="n"/>
      <c r="H164" s="106" t="n"/>
      <c r="I164" s="106" t="n"/>
      <c r="J164" s="129" t="n"/>
    </row>
    <row r="165">
      <c r="B165" s="130" t="n"/>
      <c r="C165" s="129" t="n"/>
      <c r="D165" s="129" t="n"/>
      <c r="E165" s="129" t="n"/>
      <c r="F165" s="174" t="n"/>
      <c r="G165" s="145" t="n"/>
      <c r="H165" s="106" t="n"/>
      <c r="I165" s="106" t="n"/>
      <c r="J165" s="129" t="n"/>
    </row>
    <row r="166">
      <c r="B166" s="130" t="n"/>
      <c r="C166" s="129" t="n"/>
      <c r="D166" s="129" t="n"/>
      <c r="E166" s="129" t="n"/>
      <c r="F166" s="174" t="n"/>
      <c r="G166" s="145" t="n"/>
      <c r="H166" s="106" t="n"/>
      <c r="I166" s="106" t="n"/>
      <c r="J166" s="129" t="n"/>
    </row>
    <row r="167">
      <c r="B167" s="130" t="n"/>
      <c r="C167" s="129" t="n"/>
      <c r="D167" s="129" t="n"/>
      <c r="E167" s="129" t="n"/>
      <c r="F167" s="174" t="n"/>
      <c r="G167" s="145" t="n"/>
      <c r="H167" s="106" t="n"/>
      <c r="I167" s="106" t="n"/>
      <c r="J167" s="129" t="n"/>
    </row>
    <row r="168">
      <c r="B168" s="130" t="n"/>
      <c r="C168" s="129" t="n"/>
      <c r="D168" s="129" t="n"/>
      <c r="E168" s="129" t="n"/>
      <c r="F168" s="174" t="n"/>
      <c r="G168" s="145" t="n"/>
      <c r="H168" s="106" t="n"/>
      <c r="I168" s="106" t="n"/>
      <c r="J168" s="129" t="n"/>
    </row>
    <row r="169">
      <c r="B169" s="130" t="n"/>
      <c r="C169" s="129" t="n"/>
      <c r="D169" s="129" t="n"/>
      <c r="E169" s="129" t="n"/>
      <c r="F169" s="174" t="n"/>
      <c r="G169" s="145" t="n"/>
      <c r="H169" s="106" t="n"/>
      <c r="I169" s="106" t="n"/>
      <c r="J169" s="129" t="n"/>
    </row>
    <row r="170">
      <c r="B170" s="130" t="n"/>
      <c r="C170" s="129" t="n"/>
      <c r="D170" s="129" t="n"/>
      <c r="E170" s="129" t="n"/>
      <c r="F170" s="174" t="n"/>
      <c r="G170" s="145" t="n"/>
      <c r="H170" s="106" t="n"/>
      <c r="I170" s="106" t="n"/>
      <c r="J170" s="129" t="n"/>
    </row>
    <row r="171">
      <c r="B171" s="130" t="n"/>
      <c r="C171" s="129" t="n"/>
      <c r="D171" s="129" t="n"/>
      <c r="E171" s="129" t="n"/>
      <c r="F171" s="174" t="n"/>
      <c r="G171" s="145" t="n"/>
      <c r="H171" s="106" t="n"/>
      <c r="I171" s="106" t="n"/>
      <c r="J171" s="129" t="n"/>
    </row>
    <row r="172">
      <c r="B172" s="130" t="n"/>
      <c r="C172" s="129" t="n"/>
      <c r="D172" s="129" t="n"/>
      <c r="E172" s="129" t="n"/>
      <c r="F172" s="174" t="n"/>
      <c r="G172" s="145" t="n"/>
      <c r="H172" s="106" t="n"/>
      <c r="I172" s="106" t="n"/>
      <c r="J172" s="129" t="n"/>
    </row>
    <row r="173">
      <c r="B173" s="130" t="n"/>
      <c r="C173" s="129" t="n"/>
      <c r="D173" s="129" t="n"/>
      <c r="E173" s="129" t="n"/>
      <c r="F173" s="174" t="n"/>
      <c r="G173" s="145" t="n"/>
      <c r="H173" s="106" t="n"/>
      <c r="I173" s="106" t="n"/>
      <c r="J173" s="129" t="n"/>
    </row>
    <row r="174">
      <c r="B174" s="130" t="n"/>
      <c r="C174" s="129" t="n"/>
      <c r="D174" s="129" t="n"/>
      <c r="E174" s="129" t="n"/>
      <c r="F174" s="174" t="n"/>
      <c r="G174" s="145" t="n"/>
      <c r="H174" s="106" t="n"/>
      <c r="I174" s="106" t="n"/>
      <c r="J174" s="129" t="n"/>
    </row>
    <row r="175">
      <c r="B175" s="130" t="n"/>
      <c r="C175" s="129" t="n"/>
      <c r="D175" s="129" t="n"/>
      <c r="E175" s="129" t="n"/>
      <c r="F175" s="174" t="n"/>
      <c r="G175" s="145" t="n"/>
      <c r="H175" s="106" t="n"/>
      <c r="I175" s="106" t="n"/>
      <c r="J175" s="129" t="n"/>
    </row>
    <row r="176">
      <c r="B176" s="130" t="n"/>
      <c r="C176" s="129" t="n"/>
      <c r="D176" s="129" t="n"/>
      <c r="E176" s="129" t="n"/>
      <c r="F176" s="174" t="n"/>
      <c r="G176" s="145" t="n"/>
      <c r="H176" s="106" t="n"/>
      <c r="I176" s="106" t="n"/>
      <c r="J176" s="129" t="n"/>
    </row>
    <row r="177">
      <c r="B177" s="130" t="n"/>
      <c r="C177" s="129" t="n"/>
      <c r="D177" s="129" t="n"/>
      <c r="E177" s="129" t="n"/>
      <c r="F177" s="174" t="n"/>
      <c r="G177" s="145" t="n"/>
      <c r="H177" s="106" t="n"/>
      <c r="I177" s="106" t="n"/>
      <c r="J177" s="129" t="n"/>
    </row>
    <row r="178">
      <c r="B178" s="130" t="n"/>
      <c r="C178" s="129" t="n"/>
      <c r="D178" s="129" t="n"/>
      <c r="E178" s="129" t="n"/>
      <c r="F178" s="174" t="n"/>
      <c r="G178" s="145" t="n"/>
      <c r="H178" s="106" t="n"/>
      <c r="I178" s="106" t="n"/>
      <c r="J178" s="129" t="n"/>
    </row>
    <row r="179">
      <c r="B179" s="130" t="n"/>
      <c r="C179" s="129" t="n"/>
      <c r="D179" s="129" t="n"/>
      <c r="E179" s="129" t="n"/>
      <c r="F179" s="174" t="n"/>
      <c r="G179" s="145" t="n"/>
      <c r="H179" s="106" t="n"/>
      <c r="I179" s="106" t="n"/>
      <c r="J179" s="129" t="n"/>
    </row>
    <row r="180">
      <c r="B180" s="130" t="n"/>
      <c r="C180" s="129" t="n"/>
      <c r="D180" s="129" t="n"/>
      <c r="E180" s="129" t="n"/>
      <c r="F180" s="174" t="n"/>
      <c r="G180" s="145" t="n"/>
      <c r="H180" s="106" t="n"/>
      <c r="I180" s="106" t="n"/>
      <c r="J180" s="129" t="n"/>
    </row>
    <row r="181">
      <c r="B181" s="130" t="n"/>
      <c r="C181" s="129" t="n"/>
      <c r="D181" s="129" t="n"/>
      <c r="E181" s="129" t="n"/>
      <c r="F181" s="174" t="n"/>
      <c r="G181" s="145" t="n"/>
      <c r="H181" s="106" t="n"/>
      <c r="I181" s="106" t="n"/>
      <c r="J181" s="129" t="n"/>
    </row>
    <row r="182">
      <c r="B182" s="130" t="n"/>
      <c r="C182" s="129" t="n"/>
      <c r="D182" s="129" t="n"/>
      <c r="E182" s="129" t="n"/>
      <c r="F182" s="174" t="n"/>
      <c r="G182" s="145" t="n"/>
      <c r="H182" s="106" t="n"/>
      <c r="I182" s="106" t="n"/>
      <c r="J182" s="129" t="n"/>
    </row>
    <row r="183">
      <c r="B183" s="130" t="n"/>
      <c r="C183" s="129" t="n"/>
      <c r="D183" s="129" t="n"/>
      <c r="E183" s="129" t="n"/>
      <c r="F183" s="174" t="n"/>
      <c r="G183" s="145" t="n"/>
      <c r="H183" s="106" t="n"/>
      <c r="I183" s="106" t="n"/>
      <c r="J183" s="129" t="n"/>
    </row>
    <row r="184">
      <c r="B184" s="130" t="n"/>
      <c r="C184" s="129" t="n"/>
      <c r="D184" s="129" t="n"/>
      <c r="E184" s="129" t="n"/>
      <c r="F184" s="174" t="n"/>
      <c r="G184" s="145" t="n"/>
      <c r="H184" s="106" t="n"/>
      <c r="I184" s="106" t="n"/>
      <c r="J184" s="129" t="n"/>
    </row>
    <row r="185">
      <c r="B185" s="130" t="n"/>
      <c r="C185" s="129" t="n"/>
      <c r="D185" s="129" t="n"/>
      <c r="E185" s="129" t="n"/>
      <c r="F185" s="174" t="n"/>
      <c r="G185" s="145" t="n"/>
      <c r="H185" s="106" t="n"/>
      <c r="I185" s="106" t="n"/>
      <c r="J185" s="129" t="n"/>
    </row>
    <row r="186">
      <c r="B186" s="130" t="n"/>
      <c r="C186" s="129" t="n"/>
      <c r="D186" s="129" t="n"/>
      <c r="E186" s="129" t="n"/>
      <c r="F186" s="174" t="n"/>
      <c r="G186" s="145" t="n"/>
      <c r="H186" s="106" t="n"/>
      <c r="I186" s="106" t="n"/>
      <c r="J186" s="129" t="n"/>
    </row>
    <row r="187">
      <c r="B187" s="130" t="n"/>
      <c r="C187" s="129" t="n"/>
      <c r="D187" s="129" t="n"/>
      <c r="E187" s="129" t="n"/>
      <c r="F187" s="174" t="n"/>
      <c r="G187" s="145" t="n"/>
      <c r="H187" s="106" t="n"/>
      <c r="I187" s="106" t="n"/>
      <c r="J187" s="129" t="n"/>
    </row>
    <row r="188">
      <c r="B188" s="130" t="n"/>
      <c r="C188" s="129" t="n"/>
      <c r="D188" s="129" t="n"/>
      <c r="E188" s="129" t="n"/>
      <c r="F188" s="174" t="n"/>
      <c r="G188" s="145" t="n"/>
      <c r="H188" s="106" t="n"/>
      <c r="I188" s="106" t="n"/>
      <c r="J188" s="129" t="n"/>
    </row>
    <row r="189">
      <c r="B189" s="130" t="n"/>
      <c r="C189" s="129" t="n"/>
      <c r="D189" s="129" t="n"/>
      <c r="E189" s="129" t="n"/>
      <c r="F189" s="174" t="n"/>
      <c r="G189" s="145" t="n"/>
      <c r="H189" s="106" t="n"/>
      <c r="I189" s="106" t="n"/>
      <c r="J189" s="129" t="n"/>
    </row>
    <row r="190">
      <c r="B190" s="130" t="n"/>
      <c r="C190" s="129" t="n"/>
      <c r="D190" s="129" t="n"/>
      <c r="E190" s="129" t="n"/>
      <c r="F190" s="174" t="n"/>
      <c r="G190" s="145" t="n"/>
      <c r="H190" s="106" t="n"/>
      <c r="I190" s="106" t="n"/>
      <c r="J190" s="129" t="n"/>
    </row>
    <row r="191">
      <c r="B191" s="130" t="n"/>
      <c r="C191" s="129" t="n"/>
      <c r="D191" s="129" t="n"/>
      <c r="E191" s="129" t="n"/>
      <c r="F191" s="174" t="n"/>
      <c r="G191" s="145" t="n"/>
      <c r="H191" s="106" t="n"/>
      <c r="I191" s="106" t="n"/>
      <c r="J191" s="129" t="n"/>
    </row>
    <row r="192">
      <c r="B192" s="130" t="n"/>
      <c r="C192" s="129" t="n"/>
      <c r="D192" s="129" t="n"/>
      <c r="E192" s="129" t="n"/>
      <c r="F192" s="174" t="n"/>
      <c r="G192" s="145" t="n"/>
      <c r="H192" s="106" t="n"/>
      <c r="I192" s="106" t="n"/>
      <c r="J192" s="129" t="n"/>
    </row>
    <row r="193">
      <c r="B193" s="130" t="n"/>
      <c r="C193" s="129" t="n"/>
      <c r="D193" s="129" t="n"/>
      <c r="E193" s="129" t="n"/>
      <c r="F193" s="174" t="n"/>
      <c r="G193" s="145" t="n"/>
      <c r="H193" s="106" t="n"/>
      <c r="I193" s="106" t="n"/>
      <c r="J193" s="129" t="n"/>
    </row>
    <row r="194">
      <c r="B194" s="130" t="n"/>
      <c r="C194" s="129" t="n"/>
      <c r="D194" s="129" t="n"/>
      <c r="E194" s="129" t="n"/>
      <c r="F194" s="174" t="n"/>
      <c r="G194" s="145" t="n"/>
      <c r="H194" s="106" t="n"/>
      <c r="I194" s="106" t="n"/>
      <c r="J194" s="129" t="n"/>
    </row>
    <row r="195">
      <c r="B195" s="130" t="n"/>
      <c r="C195" s="129" t="n"/>
      <c r="D195" s="129" t="n"/>
      <c r="E195" s="129" t="n"/>
      <c r="F195" s="174" t="n"/>
      <c r="G195" s="145" t="n"/>
      <c r="H195" s="106" t="n"/>
      <c r="I195" s="106" t="n"/>
      <c r="J195" s="129" t="n"/>
    </row>
    <row r="196">
      <c r="B196" s="130" t="n"/>
      <c r="C196" s="129" t="n"/>
      <c r="D196" s="129" t="n"/>
      <c r="E196" s="129" t="n"/>
      <c r="F196" s="174" t="n"/>
      <c r="G196" s="145" t="n"/>
      <c r="H196" s="106" t="n"/>
      <c r="I196" s="106" t="n"/>
      <c r="J196" s="129" t="n"/>
    </row>
    <row r="197">
      <c r="B197" s="130" t="n"/>
      <c r="C197" s="129" t="n"/>
      <c r="D197" s="129" t="n"/>
      <c r="E197" s="129" t="n"/>
      <c r="F197" s="174" t="n"/>
      <c r="G197" s="145" t="n"/>
      <c r="H197" s="106" t="n"/>
      <c r="I197" s="106" t="n"/>
      <c r="J197" s="129" t="n"/>
    </row>
    <row r="198">
      <c r="B198" s="130" t="n"/>
      <c r="C198" s="129" t="n"/>
      <c r="D198" s="129" t="n"/>
      <c r="E198" s="129" t="n"/>
      <c r="F198" s="174" t="n"/>
      <c r="G198" s="145" t="n"/>
      <c r="H198" s="106" t="n"/>
      <c r="I198" s="106" t="n"/>
      <c r="J198" s="129" t="n"/>
    </row>
    <row r="199">
      <c r="B199" s="130" t="n"/>
      <c r="C199" s="129" t="n"/>
      <c r="D199" s="129" t="n"/>
      <c r="E199" s="129" t="n"/>
      <c r="F199" s="174" t="n"/>
      <c r="G199" s="145" t="n"/>
      <c r="H199" s="106" t="n"/>
      <c r="I199" s="106" t="n"/>
      <c r="J199" s="129" t="n"/>
    </row>
    <row r="200">
      <c r="B200" s="130" t="n"/>
      <c r="C200" s="129" t="n"/>
      <c r="D200" s="129" t="n"/>
      <c r="E200" s="129" t="n"/>
      <c r="F200" s="174" t="n"/>
      <c r="G200" s="145" t="n"/>
      <c r="H200" s="106" t="n"/>
      <c r="I200" s="106" t="n"/>
      <c r="J200" s="129" t="n"/>
    </row>
    <row r="201">
      <c r="B201" s="130" t="n"/>
      <c r="C201" s="129" t="n"/>
      <c r="D201" s="129" t="n"/>
      <c r="E201" s="129" t="n"/>
      <c r="F201" s="174" t="n"/>
      <c r="G201" s="145" t="n"/>
      <c r="H201" s="106" t="n"/>
      <c r="I201" s="106" t="n"/>
      <c r="J201" s="129" t="n"/>
    </row>
    <row r="202">
      <c r="B202" s="130" t="n"/>
      <c r="C202" s="129" t="n"/>
      <c r="D202" s="129" t="n"/>
      <c r="E202" s="129" t="n"/>
      <c r="F202" s="174" t="n"/>
      <c r="G202" s="145" t="n"/>
      <c r="H202" s="106" t="n"/>
      <c r="I202" s="106" t="n"/>
      <c r="J202" s="129" t="n"/>
    </row>
    <row r="203">
      <c r="B203" s="130" t="n"/>
      <c r="C203" s="129" t="n"/>
      <c r="D203" s="129" t="n"/>
      <c r="E203" s="129" t="n"/>
      <c r="F203" s="174" t="n"/>
      <c r="G203" s="145" t="n"/>
      <c r="H203" s="106" t="n"/>
      <c r="I203" s="106" t="n"/>
      <c r="J203" s="129" t="n"/>
    </row>
    <row r="204">
      <c r="B204" s="130" t="n"/>
      <c r="C204" s="129" t="n"/>
      <c r="D204" s="129" t="n"/>
      <c r="E204" s="129" t="n"/>
      <c r="F204" s="174" t="n"/>
      <c r="G204" s="145" t="n"/>
      <c r="H204" s="106" t="n"/>
      <c r="I204" s="106" t="n"/>
      <c r="J204" s="129" t="n"/>
    </row>
    <row r="205">
      <c r="B205" s="130" t="n"/>
      <c r="C205" s="129" t="n"/>
      <c r="D205" s="129" t="n"/>
      <c r="E205" s="129" t="n"/>
      <c r="F205" s="174" t="n"/>
      <c r="G205" s="145" t="n"/>
      <c r="H205" s="106" t="n"/>
      <c r="I205" s="106" t="n"/>
      <c r="J205" s="129" t="n"/>
    </row>
    <row r="206">
      <c r="B206" s="130" t="n"/>
      <c r="C206" s="129" t="n"/>
      <c r="D206" s="129" t="n"/>
      <c r="E206" s="129" t="n"/>
      <c r="F206" s="174" t="n"/>
      <c r="G206" s="145" t="n"/>
      <c r="H206" s="106" t="n"/>
      <c r="I206" s="106" t="n"/>
      <c r="J206" s="129" t="n"/>
    </row>
    <row r="207">
      <c r="B207" s="130" t="n"/>
      <c r="C207" s="129" t="n"/>
      <c r="D207" s="129" t="n"/>
      <c r="E207" s="129" t="n"/>
      <c r="F207" s="174" t="n"/>
      <c r="G207" s="145" t="n"/>
      <c r="H207" s="106" t="n"/>
      <c r="I207" s="106" t="n"/>
      <c r="J207" s="129" t="n"/>
    </row>
    <row r="208">
      <c r="B208" s="130" t="n"/>
      <c r="C208" s="129" t="n"/>
      <c r="D208" s="129" t="n"/>
      <c r="E208" s="129" t="n"/>
      <c r="F208" s="174" t="n"/>
      <c r="G208" s="145" t="n"/>
      <c r="H208" s="106" t="n"/>
      <c r="I208" s="106" t="n"/>
      <c r="J208" s="129" t="n"/>
    </row>
    <row r="209">
      <c r="B209" s="130" t="n"/>
      <c r="C209" s="129" t="n"/>
      <c r="D209" s="129" t="n"/>
      <c r="E209" s="129" t="n"/>
      <c r="F209" s="174" t="n"/>
      <c r="G209" s="145" t="n"/>
      <c r="H209" s="106" t="n"/>
      <c r="I209" s="106" t="n"/>
      <c r="J209" s="129" t="n"/>
    </row>
    <row r="210">
      <c r="B210" s="130" t="n"/>
      <c r="C210" s="129" t="n"/>
      <c r="D210" s="129" t="n"/>
      <c r="E210" s="129" t="n"/>
      <c r="F210" s="174" t="n"/>
      <c r="G210" s="145" t="n"/>
      <c r="H210" s="106" t="n"/>
      <c r="I210" s="106" t="n"/>
      <c r="J210" s="129" t="n"/>
    </row>
    <row r="211">
      <c r="B211" s="130" t="n"/>
      <c r="C211" s="129" t="n"/>
      <c r="D211" s="129" t="n"/>
      <c r="E211" s="129" t="n"/>
      <c r="F211" s="174" t="n"/>
      <c r="G211" s="145" t="n"/>
      <c r="H211" s="106" t="n"/>
      <c r="I211" s="106" t="n"/>
      <c r="J211" s="129" t="n"/>
    </row>
    <row r="212">
      <c r="B212" s="130" t="n"/>
      <c r="C212" s="129" t="n"/>
      <c r="D212" s="129" t="n"/>
      <c r="E212" s="129" t="n"/>
      <c r="F212" s="174" t="n"/>
      <c r="G212" s="145" t="n"/>
      <c r="H212" s="106" t="n"/>
      <c r="I212" s="106" t="n"/>
      <c r="J212" s="129" t="n"/>
    </row>
    <row r="213">
      <c r="B213" s="130" t="n"/>
      <c r="C213" s="129" t="n"/>
      <c r="D213" s="129" t="n"/>
      <c r="E213" s="129" t="n"/>
      <c r="F213" s="174" t="n"/>
      <c r="G213" s="145" t="n"/>
      <c r="H213" s="106" t="n"/>
      <c r="I213" s="106" t="n"/>
      <c r="J213" s="129" t="n"/>
    </row>
    <row r="214">
      <c r="B214" s="130" t="n"/>
      <c r="C214" s="129" t="n"/>
      <c r="D214" s="129" t="n"/>
      <c r="E214" s="129" t="n"/>
      <c r="F214" s="174" t="n"/>
      <c r="G214" s="145" t="n"/>
      <c r="H214" s="106" t="n"/>
      <c r="I214" s="106" t="n"/>
      <c r="J214" s="129" t="n"/>
    </row>
    <row r="215">
      <c r="B215" s="130" t="n"/>
      <c r="C215" s="129" t="n"/>
      <c r="D215" s="129" t="n"/>
      <c r="E215" s="129" t="n"/>
      <c r="F215" s="174" t="n"/>
      <c r="G215" s="145" t="n"/>
      <c r="H215" s="106" t="n"/>
      <c r="I215" s="106" t="n"/>
      <c r="J215" s="129" t="n"/>
    </row>
    <row r="216">
      <c r="B216" s="130" t="n"/>
      <c r="C216" s="129" t="n"/>
      <c r="D216" s="129" t="n"/>
      <c r="E216" s="129" t="n"/>
      <c r="F216" s="174" t="n"/>
      <c r="G216" s="145" t="n"/>
      <c r="H216" s="106" t="n"/>
      <c r="I216" s="106" t="n"/>
      <c r="J216" s="129" t="n"/>
    </row>
    <row r="217">
      <c r="B217" s="130" t="n"/>
      <c r="C217" s="129" t="n"/>
      <c r="D217" s="129" t="n"/>
      <c r="E217" s="129" t="n"/>
      <c r="F217" s="174" t="n"/>
      <c r="G217" s="145" t="n"/>
      <c r="H217" s="106" t="n"/>
      <c r="I217" s="106" t="n"/>
      <c r="J217" s="129" t="n"/>
    </row>
    <row r="218">
      <c r="B218" s="130" t="n"/>
      <c r="C218" s="129" t="n"/>
      <c r="D218" s="129" t="n"/>
      <c r="E218" s="129" t="n"/>
      <c r="F218" s="174" t="n"/>
      <c r="G218" s="145" t="n"/>
      <c r="H218" s="106" t="n"/>
      <c r="I218" s="106" t="n"/>
      <c r="J218" s="129" t="n"/>
    </row>
    <row r="219">
      <c r="B219" s="130" t="n"/>
      <c r="C219" s="129" t="n"/>
      <c r="D219" s="129" t="n"/>
      <c r="E219" s="129" t="n"/>
      <c r="F219" s="174" t="n"/>
      <c r="G219" s="145" t="n"/>
      <c r="H219" s="106" t="n"/>
      <c r="I219" s="106" t="n"/>
      <c r="J219" s="129" t="n"/>
    </row>
    <row r="220">
      <c r="B220" s="130" t="n"/>
      <c r="C220" s="129" t="n"/>
      <c r="D220" s="129" t="n"/>
      <c r="E220" s="129" t="n"/>
      <c r="F220" s="174" t="n"/>
      <c r="G220" s="145" t="n"/>
      <c r="H220" s="106" t="n"/>
      <c r="I220" s="106" t="n"/>
      <c r="J220" s="129" t="n"/>
    </row>
    <row r="221">
      <c r="B221" s="130" t="n"/>
      <c r="C221" s="129" t="n"/>
      <c r="D221" s="129" t="n"/>
      <c r="E221" s="129" t="n"/>
      <c r="F221" s="174" t="n"/>
      <c r="G221" s="145" t="n"/>
      <c r="H221" s="106" t="n"/>
      <c r="I221" s="106" t="n"/>
      <c r="J221" s="129" t="n"/>
    </row>
    <row r="222">
      <c r="B222" s="130" t="n"/>
      <c r="C222" s="129" t="n"/>
      <c r="D222" s="129" t="n"/>
      <c r="E222" s="129" t="n"/>
      <c r="F222" s="174" t="n"/>
      <c r="G222" s="145" t="n"/>
      <c r="H222" s="106" t="n"/>
      <c r="I222" s="106" t="n"/>
      <c r="J222" s="129" t="n"/>
    </row>
    <row r="223">
      <c r="B223" s="130" t="n"/>
      <c r="C223" s="129" t="n"/>
      <c r="D223" s="129" t="n"/>
      <c r="E223" s="129" t="n"/>
      <c r="F223" s="174" t="n"/>
      <c r="G223" s="145" t="n"/>
      <c r="H223" s="106" t="n"/>
      <c r="I223" s="106" t="n"/>
      <c r="J223" s="129" t="n"/>
    </row>
    <row r="224">
      <c r="B224" s="130" t="n"/>
      <c r="C224" s="129" t="n"/>
      <c r="D224" s="129" t="n"/>
      <c r="E224" s="129" t="n"/>
      <c r="F224" s="174" t="n"/>
      <c r="G224" s="145" t="n"/>
      <c r="H224" s="106" t="n"/>
      <c r="I224" s="106" t="n"/>
      <c r="J224" s="129" t="n"/>
    </row>
    <row r="225">
      <c r="B225" s="130" t="n"/>
      <c r="C225" s="129" t="n"/>
      <c r="D225" s="129" t="n"/>
      <c r="E225" s="129" t="n"/>
      <c r="F225" s="174" t="n"/>
      <c r="G225" s="145" t="n"/>
      <c r="H225" s="106" t="n"/>
      <c r="I225" s="106" t="n"/>
      <c r="J225" s="129" t="n"/>
    </row>
    <row r="226">
      <c r="B226" s="130" t="n"/>
      <c r="C226" s="129" t="n"/>
      <c r="D226" s="129" t="n"/>
      <c r="E226" s="129" t="n"/>
      <c r="F226" s="174" t="n"/>
      <c r="G226" s="145" t="n"/>
      <c r="H226" s="106" t="n"/>
      <c r="I226" s="106" t="n"/>
      <c r="J226" s="129" t="n"/>
    </row>
    <row r="227">
      <c r="B227" s="130" t="n"/>
      <c r="C227" s="129" t="n"/>
      <c r="D227" s="129" t="n"/>
      <c r="E227" s="129" t="n"/>
      <c r="F227" s="174" t="n"/>
      <c r="G227" s="145" t="n"/>
      <c r="H227" s="106" t="n"/>
      <c r="I227" s="106" t="n"/>
      <c r="J227" s="129" t="n"/>
    </row>
    <row r="228">
      <c r="B228" s="130" t="n"/>
      <c r="C228" s="129" t="n"/>
      <c r="D228" s="129" t="n"/>
      <c r="E228" s="129" t="n"/>
      <c r="F228" s="174" t="n"/>
      <c r="G228" s="145" t="n"/>
      <c r="H228" s="106" t="n"/>
      <c r="I228" s="106" t="n"/>
      <c r="J228" s="129" t="n"/>
    </row>
    <row r="229">
      <c r="B229" s="130" t="n"/>
      <c r="C229" s="129" t="n"/>
      <c r="D229" s="129" t="n"/>
      <c r="E229" s="129" t="n"/>
      <c r="F229" s="174" t="n"/>
      <c r="G229" s="145" t="n"/>
      <c r="H229" s="106" t="n"/>
      <c r="I229" s="106" t="n"/>
      <c r="J229" s="129" t="n"/>
    </row>
    <row r="230">
      <c r="B230" s="130" t="n"/>
      <c r="C230" s="129" t="n"/>
      <c r="D230" s="129" t="n"/>
      <c r="E230" s="129" t="n"/>
      <c r="F230" s="174" t="n"/>
      <c r="G230" s="145" t="n"/>
      <c r="H230" s="106" t="n"/>
      <c r="I230" s="106" t="n"/>
      <c r="J230" s="129" t="n"/>
    </row>
    <row r="231">
      <c r="B231" s="130" t="n"/>
      <c r="C231" s="129" t="n"/>
      <c r="D231" s="129" t="n"/>
      <c r="E231" s="129" t="n"/>
      <c r="F231" s="174" t="n"/>
      <c r="G231" s="145" t="n"/>
      <c r="H231" s="106" t="n"/>
      <c r="I231" s="106" t="n"/>
      <c r="J231" s="129" t="n"/>
    </row>
    <row r="232">
      <c r="B232" s="130" t="n"/>
      <c r="C232" s="129" t="n"/>
      <c r="D232" s="129" t="n"/>
      <c r="E232" s="129" t="n"/>
      <c r="F232" s="174" t="n"/>
      <c r="G232" s="145" t="n"/>
      <c r="H232" s="106" t="n"/>
      <c r="I232" s="106" t="n"/>
      <c r="J232" s="129" t="n"/>
    </row>
    <row r="233">
      <c r="B233" s="130" t="n"/>
      <c r="C233" s="129" t="n"/>
      <c r="D233" s="129" t="n"/>
      <c r="E233" s="129" t="n"/>
      <c r="F233" s="174" t="n"/>
      <c r="G233" s="145" t="n"/>
      <c r="H233" s="106" t="n"/>
      <c r="I233" s="106" t="n"/>
      <c r="J233" s="129" t="n"/>
    </row>
    <row r="234">
      <c r="B234" s="130" t="n"/>
      <c r="C234" s="129" t="n"/>
      <c r="D234" s="129" t="n"/>
      <c r="E234" s="129" t="n"/>
      <c r="F234" s="174" t="n"/>
      <c r="G234" s="145" t="n"/>
      <c r="H234" s="106" t="n"/>
      <c r="I234" s="106" t="n"/>
      <c r="J234" s="129" t="n"/>
    </row>
    <row r="235">
      <c r="B235" s="130" t="n"/>
      <c r="C235" s="129" t="n"/>
      <c r="D235" s="129" t="n"/>
      <c r="E235" s="129" t="n"/>
      <c r="F235" s="174" t="n"/>
      <c r="G235" s="145" t="n"/>
      <c r="H235" s="106" t="n"/>
      <c r="I235" s="106" t="n"/>
      <c r="J235" s="129" t="n"/>
    </row>
    <row r="236">
      <c r="B236" s="130" t="n"/>
      <c r="C236" s="129" t="n"/>
      <c r="D236" s="129" t="n"/>
      <c r="E236" s="129" t="n"/>
      <c r="F236" s="174" t="n"/>
      <c r="G236" s="145" t="n"/>
      <c r="H236" s="106" t="n"/>
      <c r="I236" s="106" t="n"/>
      <c r="J236" s="129" t="n"/>
    </row>
    <row r="237">
      <c r="B237" s="130" t="n"/>
      <c r="C237" s="129" t="n"/>
      <c r="D237" s="129" t="n"/>
      <c r="E237" s="129" t="n"/>
      <c r="F237" s="174" t="n"/>
      <c r="G237" s="145" t="n"/>
      <c r="H237" s="106" t="n"/>
      <c r="I237" s="106" t="n"/>
      <c r="J237" s="129" t="n"/>
    </row>
    <row r="238">
      <c r="B238" s="130" t="n"/>
      <c r="C238" s="129" t="n"/>
      <c r="D238" s="129" t="n"/>
      <c r="E238" s="129" t="n"/>
      <c r="F238" s="174" t="n"/>
      <c r="G238" s="145" t="n"/>
      <c r="H238" s="106" t="n"/>
      <c r="I238" s="106" t="n"/>
      <c r="J238" s="129" t="n"/>
    </row>
    <row r="239">
      <c r="B239" s="130" t="n"/>
      <c r="C239" s="129" t="n"/>
      <c r="D239" s="129" t="n"/>
      <c r="E239" s="129" t="n"/>
      <c r="F239" s="174" t="n"/>
      <c r="G239" s="145" t="n"/>
      <c r="H239" s="106" t="n"/>
      <c r="I239" s="106" t="n"/>
      <c r="J239" s="129" t="n"/>
    </row>
    <row r="240">
      <c r="B240" s="130" t="n"/>
      <c r="C240" s="129" t="n"/>
      <c r="D240" s="129" t="n"/>
      <c r="E240" s="129" t="n"/>
      <c r="F240" s="174" t="n"/>
      <c r="G240" s="145" t="n"/>
      <c r="H240" s="106" t="n"/>
      <c r="I240" s="106" t="n"/>
      <c r="J240" s="129" t="n"/>
    </row>
    <row r="241">
      <c r="B241" s="130" t="n"/>
      <c r="C241" s="129" t="n"/>
      <c r="D241" s="129" t="n"/>
      <c r="E241" s="129" t="n"/>
      <c r="F241" s="174" t="n"/>
      <c r="G241" s="145" t="n"/>
      <c r="H241" s="106" t="n"/>
      <c r="I241" s="106" t="n"/>
      <c r="J241" s="129" t="n"/>
    </row>
    <row r="242">
      <c r="B242" s="130" t="n"/>
      <c r="C242" s="129" t="n"/>
      <c r="D242" s="129" t="n"/>
      <c r="E242" s="129" t="n"/>
      <c r="F242" s="174" t="n"/>
      <c r="G242" s="145" t="n"/>
      <c r="H242" s="106" t="n"/>
      <c r="I242" s="106" t="n"/>
      <c r="J242" s="129" t="n"/>
    </row>
    <row r="243">
      <c r="B243" s="130" t="n"/>
      <c r="C243" s="129" t="n"/>
      <c r="D243" s="129" t="n"/>
      <c r="E243" s="129" t="n"/>
      <c r="F243" s="174" t="n"/>
      <c r="G243" s="145" t="n"/>
      <c r="H243" s="106" t="n"/>
      <c r="I243" s="106" t="n"/>
      <c r="J243" s="129" t="n"/>
    </row>
    <row r="244">
      <c r="B244" s="130" t="n"/>
      <c r="C244" s="129" t="n"/>
      <c r="D244" s="129" t="n"/>
      <c r="E244" s="129" t="n"/>
      <c r="F244" s="174" t="n"/>
      <c r="G244" s="145" t="n"/>
      <c r="H244" s="106" t="n"/>
      <c r="I244" s="106" t="n"/>
      <c r="J244" s="129" t="n"/>
    </row>
    <row r="245">
      <c r="B245" s="130" t="n"/>
      <c r="C245" s="129" t="n"/>
      <c r="D245" s="129" t="n"/>
      <c r="E245" s="129" t="n"/>
      <c r="F245" s="174" t="n"/>
      <c r="G245" s="145" t="n"/>
      <c r="H245" s="106" t="n"/>
      <c r="I245" s="106" t="n"/>
      <c r="J245" s="129" t="n"/>
    </row>
    <row r="246">
      <c r="B246" s="130" t="n"/>
      <c r="C246" s="129" t="n"/>
      <c r="D246" s="129" t="n"/>
      <c r="E246" s="129" t="n"/>
      <c r="F246" s="174" t="n"/>
      <c r="G246" s="145" t="n"/>
      <c r="H246" s="106" t="n"/>
      <c r="I246" s="106" t="n"/>
      <c r="J246" s="129" t="n"/>
    </row>
    <row r="247">
      <c r="B247" s="130" t="n"/>
      <c r="C247" s="129" t="n"/>
      <c r="D247" s="129" t="n"/>
      <c r="E247" s="129" t="n"/>
      <c r="F247" s="174" t="n"/>
      <c r="G247" s="145" t="n"/>
      <c r="H247" s="106" t="n"/>
      <c r="I247" s="106" t="n"/>
      <c r="J247" s="129" t="n"/>
    </row>
    <row r="248">
      <c r="B248" s="130" t="n"/>
      <c r="C248" s="129" t="n"/>
      <c r="D248" s="129" t="n"/>
      <c r="E248" s="129" t="n"/>
      <c r="F248" s="174" t="n"/>
      <c r="G248" s="145" t="n"/>
      <c r="H248" s="106" t="n"/>
      <c r="I248" s="106" t="n"/>
      <c r="J248" s="129" t="n"/>
    </row>
    <row r="249">
      <c r="B249" s="130" t="n"/>
      <c r="C249" s="129" t="n"/>
      <c r="D249" s="129" t="n"/>
      <c r="E249" s="129" t="n"/>
      <c r="F249" s="174" t="n"/>
      <c r="G249" s="145" t="n"/>
      <c r="H249" s="106" t="n"/>
      <c r="I249" s="106" t="n"/>
      <c r="J249" s="129" t="n"/>
    </row>
    <row r="250">
      <c r="B250" s="130" t="n"/>
      <c r="C250" s="129" t="n"/>
      <c r="D250" s="129" t="n"/>
      <c r="E250" s="129" t="n"/>
      <c r="F250" s="174" t="n"/>
      <c r="G250" s="145" t="n"/>
      <c r="H250" s="106" t="n"/>
      <c r="I250" s="106" t="n"/>
      <c r="J250" s="129" t="n"/>
    </row>
    <row r="251">
      <c r="B251" s="130" t="n"/>
      <c r="C251" s="129" t="n"/>
      <c r="D251" s="129" t="n"/>
      <c r="E251" s="129" t="n"/>
      <c r="F251" s="174" t="n"/>
      <c r="G251" s="145" t="n"/>
      <c r="H251" s="106" t="n"/>
      <c r="I251" s="106" t="n"/>
      <c r="J251" s="129" t="n"/>
    </row>
    <row r="252">
      <c r="B252" s="130" t="n"/>
      <c r="C252" s="129" t="n"/>
      <c r="D252" s="129" t="n"/>
      <c r="E252" s="129" t="n"/>
      <c r="F252" s="174" t="n"/>
      <c r="G252" s="145" t="n"/>
      <c r="H252" s="106" t="n"/>
      <c r="I252" s="106" t="n"/>
      <c r="J252" s="129" t="n"/>
    </row>
    <row r="253">
      <c r="B253" s="130" t="n"/>
      <c r="C253" s="129" t="n"/>
      <c r="D253" s="129" t="n"/>
      <c r="E253" s="129" t="n"/>
      <c r="F253" s="174" t="n"/>
      <c r="G253" s="145" t="n"/>
      <c r="H253" s="106" t="n"/>
      <c r="I253" s="106" t="n"/>
      <c r="J253" s="129" t="n"/>
    </row>
    <row r="254">
      <c r="B254" s="130" t="n"/>
      <c r="C254" s="129" t="n"/>
      <c r="D254" s="129" t="n"/>
      <c r="E254" s="129" t="n"/>
      <c r="F254" s="174" t="n"/>
      <c r="G254" s="145" t="n"/>
      <c r="H254" s="106" t="n"/>
      <c r="I254" s="106" t="n"/>
      <c r="J254" s="129" t="n"/>
    </row>
    <row r="255">
      <c r="B255" s="130" t="n"/>
      <c r="C255" s="129" t="n"/>
      <c r="D255" s="129" t="n"/>
      <c r="E255" s="129" t="n"/>
      <c r="F255" s="174" t="n"/>
      <c r="G255" s="145" t="n"/>
      <c r="H255" s="106" t="n"/>
      <c r="I255" s="106" t="n"/>
      <c r="J255" s="129" t="n"/>
    </row>
    <row r="256">
      <c r="B256" s="130" t="n"/>
      <c r="C256" s="129" t="n"/>
      <c r="D256" s="129" t="n"/>
      <c r="E256" s="129" t="n"/>
      <c r="F256" s="174" t="n"/>
      <c r="G256" s="145" t="n"/>
      <c r="H256" s="106" t="n"/>
      <c r="I256" s="106" t="n"/>
      <c r="J256" s="129" t="n"/>
    </row>
    <row r="257">
      <c r="B257" s="130" t="n"/>
      <c r="C257" s="129" t="n"/>
      <c r="D257" s="129" t="n"/>
      <c r="E257" s="129" t="n"/>
      <c r="F257" s="174" t="n"/>
      <c r="G257" s="145" t="n"/>
      <c r="H257" s="106" t="n"/>
      <c r="I257" s="106" t="n"/>
      <c r="J257" s="129" t="n"/>
    </row>
    <row r="258">
      <c r="B258" s="130" t="n"/>
      <c r="C258" s="129" t="n"/>
      <c r="D258" s="129" t="n"/>
      <c r="E258" s="129" t="n"/>
      <c r="F258" s="174" t="n"/>
      <c r="G258" s="145" t="n"/>
      <c r="H258" s="106" t="n"/>
      <c r="I258" s="106" t="n"/>
      <c r="J258" s="129" t="n"/>
    </row>
    <row r="259">
      <c r="B259" s="130" t="n"/>
      <c r="C259" s="129" t="n"/>
      <c r="D259" s="129" t="n"/>
      <c r="E259" s="129" t="n"/>
      <c r="F259" s="174" t="n"/>
      <c r="G259" s="145" t="n"/>
      <c r="H259" s="106" t="n"/>
      <c r="I259" s="106" t="n"/>
      <c r="J259" s="129" t="n"/>
    </row>
    <row r="260">
      <c r="B260" s="130" t="n"/>
      <c r="C260" s="129" t="n"/>
      <c r="D260" s="129" t="n"/>
      <c r="E260" s="129" t="n"/>
      <c r="F260" s="174" t="n"/>
      <c r="G260" s="145" t="n"/>
      <c r="H260" s="106" t="n"/>
      <c r="I260" s="106" t="n"/>
      <c r="J260" s="129" t="n"/>
    </row>
    <row r="261">
      <c r="B261" s="130" t="n"/>
      <c r="C261" s="129" t="n"/>
      <c r="D261" s="129" t="n"/>
      <c r="E261" s="129" t="n"/>
      <c r="F261" s="174" t="n"/>
      <c r="G261" s="145" t="n"/>
      <c r="H261" s="106" t="n"/>
      <c r="I261" s="106" t="n"/>
      <c r="J261" s="129" t="n"/>
    </row>
    <row r="262">
      <c r="B262" s="130" t="n"/>
      <c r="C262" s="129" t="n"/>
      <c r="D262" s="129" t="n"/>
      <c r="E262" s="129" t="n"/>
      <c r="F262" s="174" t="n"/>
      <c r="G262" s="145" t="n"/>
      <c r="H262" s="106" t="n"/>
      <c r="I262" s="106" t="n"/>
      <c r="J262" s="129" t="n"/>
    </row>
    <row r="263">
      <c r="B263" s="130" t="n"/>
      <c r="C263" s="129" t="n"/>
      <c r="D263" s="129" t="n"/>
      <c r="E263" s="129" t="n"/>
      <c r="F263" s="174" t="n"/>
      <c r="G263" s="145" t="n"/>
      <c r="H263" s="106" t="n"/>
      <c r="I263" s="106" t="n"/>
      <c r="J263" s="129" t="n"/>
    </row>
    <row r="264">
      <c r="B264" s="130" t="n"/>
      <c r="C264" s="129" t="n"/>
      <c r="D264" s="129" t="n"/>
      <c r="E264" s="129" t="n"/>
      <c r="F264" s="174" t="n"/>
      <c r="G264" s="145" t="n"/>
      <c r="H264" s="106" t="n"/>
      <c r="I264" s="106" t="n"/>
      <c r="J264" s="129" t="n"/>
    </row>
    <row r="265">
      <c r="B265" s="130" t="n"/>
      <c r="C265" s="129" t="n"/>
      <c r="D265" s="129" t="n"/>
      <c r="E265" s="129" t="n"/>
      <c r="F265" s="174" t="n"/>
      <c r="G265" s="145" t="n"/>
      <c r="H265" s="106" t="n"/>
      <c r="I265" s="106" t="n"/>
      <c r="J265" s="129" t="n"/>
    </row>
    <row r="266">
      <c r="B266" s="130" t="n"/>
      <c r="C266" s="129" t="n"/>
      <c r="D266" s="129" t="n"/>
      <c r="E266" s="129" t="n"/>
      <c r="F266" s="174" t="n"/>
      <c r="G266" s="145" t="n"/>
      <c r="H266" s="106" t="n"/>
      <c r="I266" s="106" t="n"/>
      <c r="J266" s="129" t="n"/>
    </row>
    <row r="267">
      <c r="B267" s="130" t="n"/>
      <c r="C267" s="129" t="n"/>
      <c r="D267" s="129" t="n"/>
      <c r="E267" s="129" t="n"/>
      <c r="F267" s="174" t="n"/>
      <c r="G267" s="145" t="n"/>
      <c r="H267" s="106" t="n"/>
      <c r="I267" s="106" t="n"/>
      <c r="J267" s="129" t="n"/>
    </row>
    <row r="268">
      <c r="B268" s="130" t="n"/>
      <c r="C268" s="129" t="n"/>
      <c r="D268" s="129" t="n"/>
      <c r="E268" s="129" t="n"/>
      <c r="F268" s="174" t="n"/>
      <c r="G268" s="145" t="n"/>
      <c r="H268" s="106" t="n"/>
      <c r="I268" s="106" t="n"/>
      <c r="J268" s="129" t="n"/>
    </row>
    <row r="269">
      <c r="B269" s="130" t="n"/>
      <c r="C269" s="129" t="n"/>
      <c r="D269" s="129" t="n"/>
      <c r="E269" s="129" t="n"/>
      <c r="F269" s="174" t="n"/>
      <c r="G269" s="145" t="n"/>
      <c r="H269" s="106" t="n"/>
      <c r="I269" s="106" t="n"/>
      <c r="J269" s="129" t="n"/>
    </row>
    <row r="270">
      <c r="B270" s="130" t="n"/>
      <c r="C270" s="129" t="n"/>
      <c r="D270" s="129" t="n"/>
      <c r="E270" s="129" t="n"/>
      <c r="F270" s="174" t="n"/>
      <c r="G270" s="145" t="n"/>
      <c r="H270" s="106" t="n"/>
      <c r="I270" s="106" t="n"/>
      <c r="J270" s="129" t="n"/>
    </row>
    <row r="271">
      <c r="B271" s="130" t="n"/>
      <c r="C271" s="129" t="n"/>
      <c r="D271" s="129" t="n"/>
      <c r="E271" s="129" t="n"/>
      <c r="F271" s="174" t="n"/>
      <c r="G271" s="145" t="n"/>
      <c r="H271" s="106" t="n"/>
      <c r="I271" s="106" t="n"/>
      <c r="J271" s="129" t="n"/>
    </row>
    <row r="272">
      <c r="B272" s="130" t="n"/>
      <c r="C272" s="129" t="n"/>
      <c r="D272" s="129" t="n"/>
      <c r="E272" s="129" t="n"/>
      <c r="F272" s="174" t="n"/>
      <c r="G272" s="145" t="n"/>
      <c r="H272" s="106" t="n"/>
      <c r="I272" s="106" t="n"/>
      <c r="J272" s="129" t="n"/>
    </row>
    <row r="273">
      <c r="B273" s="130" t="n"/>
      <c r="C273" s="129" t="n"/>
      <c r="D273" s="129" t="n"/>
      <c r="E273" s="129" t="n"/>
      <c r="F273" s="174" t="n"/>
      <c r="G273" s="145" t="n"/>
      <c r="H273" s="106" t="n"/>
      <c r="I273" s="106" t="n"/>
      <c r="J273" s="129" t="n"/>
    </row>
    <row r="274">
      <c r="B274" s="130" t="n"/>
      <c r="C274" s="129" t="n"/>
      <c r="D274" s="129" t="n"/>
      <c r="E274" s="129" t="n"/>
      <c r="F274" s="174" t="n"/>
      <c r="G274" s="145" t="n"/>
      <c r="H274" s="106" t="n"/>
      <c r="I274" s="106" t="n"/>
      <c r="J274" s="129" t="n"/>
    </row>
    <row r="275">
      <c r="B275" s="130" t="n"/>
      <c r="C275" s="129" t="n"/>
      <c r="D275" s="129" t="n"/>
      <c r="E275" s="129" t="n"/>
      <c r="F275" s="174" t="n"/>
      <c r="G275" s="145" t="n"/>
      <c r="H275" s="106" t="n"/>
      <c r="I275" s="106" t="n"/>
      <c r="J275" s="129" t="n"/>
    </row>
    <row r="276">
      <c r="B276" s="130" t="n"/>
      <c r="C276" s="129" t="n"/>
      <c r="D276" s="129" t="n"/>
      <c r="E276" s="129" t="n"/>
      <c r="F276" s="174" t="n"/>
      <c r="G276" s="145" t="n"/>
      <c r="H276" s="106" t="n"/>
      <c r="I276" s="106" t="n"/>
      <c r="J276" s="129" t="n"/>
    </row>
    <row r="277">
      <c r="B277" s="130" t="n"/>
      <c r="C277" s="129" t="n"/>
      <c r="D277" s="129" t="n"/>
      <c r="E277" s="129" t="n"/>
      <c r="F277" s="174" t="n"/>
      <c r="G277" s="145" t="n"/>
      <c r="H277" s="106" t="n"/>
      <c r="I277" s="106" t="n"/>
      <c r="J277" s="129" t="n"/>
    </row>
    <row r="278">
      <c r="B278" s="130" t="n"/>
      <c r="C278" s="129" t="n"/>
      <c r="D278" s="129" t="n"/>
      <c r="E278" s="129" t="n"/>
      <c r="F278" s="174" t="n"/>
      <c r="G278" s="145" t="n"/>
      <c r="H278" s="106" t="n"/>
      <c r="I278" s="106" t="n"/>
      <c r="J278" s="129" t="n"/>
    </row>
    <row r="279">
      <c r="B279" s="130" t="n"/>
      <c r="C279" s="129" t="n"/>
      <c r="D279" s="129" t="n"/>
      <c r="E279" s="129" t="n"/>
      <c r="F279" s="174" t="n"/>
      <c r="G279" s="145" t="n"/>
      <c r="H279" s="106" t="n"/>
      <c r="I279" s="106" t="n"/>
      <c r="J279" s="129" t="n"/>
    </row>
    <row r="280">
      <c r="B280" s="130" t="n"/>
      <c r="C280" s="129" t="n"/>
      <c r="D280" s="129" t="n"/>
      <c r="E280" s="129" t="n"/>
      <c r="F280" s="174" t="n"/>
      <c r="G280" s="145" t="n"/>
      <c r="H280" s="106" t="n"/>
      <c r="I280" s="106" t="n"/>
      <c r="J280" s="129" t="n"/>
    </row>
    <row r="281">
      <c r="B281" s="130" t="n"/>
      <c r="C281" s="129" t="n"/>
      <c r="D281" s="129" t="n"/>
      <c r="E281" s="129" t="n"/>
      <c r="F281" s="174" t="n"/>
      <c r="G281" s="145" t="n"/>
      <c r="H281" s="106" t="n"/>
      <c r="I281" s="106" t="n"/>
      <c r="J281" s="129" t="n"/>
    </row>
    <row r="282">
      <c r="B282" s="130" t="n"/>
      <c r="C282" s="129" t="n"/>
      <c r="D282" s="129" t="n"/>
      <c r="E282" s="129" t="n"/>
      <c r="F282" s="174" t="n"/>
      <c r="G282" s="145" t="n"/>
      <c r="H282" s="106" t="n"/>
      <c r="I282" s="106" t="n"/>
      <c r="J282" s="129" t="n"/>
    </row>
    <row r="283">
      <c r="B283" s="130" t="n"/>
      <c r="C283" s="129" t="n"/>
      <c r="D283" s="129" t="n"/>
      <c r="E283" s="129" t="n"/>
      <c r="F283" s="174" t="n"/>
      <c r="G283" s="145" t="n"/>
      <c r="H283" s="106" t="n"/>
      <c r="I283" s="106" t="n"/>
      <c r="J283" s="129" t="n"/>
    </row>
    <row r="284">
      <c r="B284" s="130" t="n"/>
      <c r="C284" s="129" t="n"/>
      <c r="D284" s="129" t="n"/>
      <c r="E284" s="129" t="n"/>
      <c r="F284" s="174" t="n"/>
      <c r="G284" s="145" t="n"/>
      <c r="H284" s="106" t="n"/>
      <c r="I284" s="106" t="n"/>
      <c r="J284" s="129" t="n"/>
    </row>
    <row r="285">
      <c r="B285" s="130" t="n"/>
      <c r="C285" s="129" t="n"/>
      <c r="D285" s="129" t="n"/>
      <c r="E285" s="129" t="n"/>
      <c r="F285" s="174" t="n"/>
      <c r="G285" s="145" t="n"/>
      <c r="H285" s="106" t="n"/>
      <c r="I285" s="106" t="n"/>
      <c r="J285" s="129" t="n"/>
    </row>
    <row r="286">
      <c r="B286" s="130" t="n"/>
      <c r="C286" s="129" t="n"/>
      <c r="D286" s="129" t="n"/>
      <c r="E286" s="129" t="n"/>
      <c r="F286" s="174" t="n"/>
      <c r="G286" s="145" t="n"/>
      <c r="H286" s="106" t="n"/>
      <c r="I286" s="106" t="n"/>
      <c r="J286" s="129" t="n"/>
    </row>
    <row r="287">
      <c r="B287" s="130" t="n"/>
      <c r="C287" s="129" t="n"/>
      <c r="D287" s="129" t="n"/>
      <c r="E287" s="129" t="n"/>
      <c r="F287" s="174" t="n"/>
      <c r="G287" s="145" t="n"/>
      <c r="H287" s="106" t="n"/>
      <c r="I287" s="106" t="n"/>
      <c r="J287" s="129" t="n"/>
    </row>
    <row r="288">
      <c r="B288" s="130" t="n"/>
      <c r="C288" s="129" t="n"/>
      <c r="D288" s="129" t="n"/>
      <c r="E288" s="129" t="n"/>
      <c r="F288" s="174" t="n"/>
      <c r="G288" s="145" t="n"/>
      <c r="H288" s="106" t="n"/>
      <c r="I288" s="106" t="n"/>
      <c r="J288" s="129" t="n"/>
    </row>
    <row r="289">
      <c r="B289" s="130" t="n"/>
      <c r="C289" s="129" t="n"/>
      <c r="D289" s="129" t="n"/>
      <c r="E289" s="129" t="n"/>
      <c r="F289" s="174" t="n"/>
      <c r="G289" s="145" t="n"/>
      <c r="H289" s="106" t="n"/>
      <c r="I289" s="106" t="n"/>
      <c r="J289" s="129" t="n"/>
    </row>
    <row r="290">
      <c r="B290" s="130" t="n"/>
      <c r="C290" s="129" t="n"/>
      <c r="D290" s="129" t="n"/>
      <c r="E290" s="129" t="n"/>
      <c r="F290" s="174" t="n"/>
      <c r="G290" s="145" t="n"/>
      <c r="H290" s="106" t="n"/>
      <c r="I290" s="106" t="n"/>
      <c r="J290" s="129" t="n"/>
    </row>
    <row r="291">
      <c r="B291" s="130" t="n"/>
      <c r="C291" s="129" t="n"/>
      <c r="D291" s="129" t="n"/>
      <c r="E291" s="129" t="n"/>
      <c r="F291" s="174" t="n"/>
      <c r="G291" s="145" t="n"/>
      <c r="H291" s="106" t="n"/>
      <c r="I291" s="106" t="n"/>
      <c r="J291" s="129" t="n"/>
    </row>
    <row r="292">
      <c r="B292" s="130" t="n"/>
      <c r="C292" s="129" t="n"/>
      <c r="D292" s="129" t="n"/>
      <c r="E292" s="129" t="n"/>
      <c r="F292" s="174" t="n"/>
      <c r="G292" s="145" t="n"/>
      <c r="H292" s="106" t="n"/>
      <c r="I292" s="106" t="n"/>
      <c r="J292" s="129" t="n"/>
    </row>
    <row r="293">
      <c r="B293" s="130" t="n"/>
      <c r="C293" s="129" t="n"/>
      <c r="D293" s="129" t="n"/>
      <c r="E293" s="129" t="n"/>
      <c r="F293" s="174" t="n"/>
      <c r="G293" s="145" t="n"/>
      <c r="H293" s="106" t="n"/>
      <c r="I293" s="106" t="n"/>
      <c r="J293" s="129" t="n"/>
    </row>
    <row r="294">
      <c r="B294" s="130" t="n"/>
      <c r="C294" s="129" t="n"/>
      <c r="D294" s="129" t="n"/>
      <c r="E294" s="129" t="n"/>
      <c r="F294" s="174" t="n"/>
      <c r="G294" s="145" t="n"/>
      <c r="H294" s="106" t="n"/>
      <c r="I294" s="106" t="n"/>
      <c r="J294" s="129" t="n"/>
    </row>
    <row r="295">
      <c r="B295" s="130" t="n"/>
      <c r="C295" s="129" t="n"/>
      <c r="D295" s="129" t="n"/>
      <c r="E295" s="129" t="n"/>
      <c r="F295" s="174" t="n"/>
      <c r="G295" s="145" t="n"/>
      <c r="H295" s="106" t="n"/>
      <c r="I295" s="106" t="n"/>
      <c r="J295" s="129" t="n"/>
    </row>
    <row r="296">
      <c r="B296" s="130" t="n"/>
      <c r="C296" s="129" t="n"/>
      <c r="D296" s="129" t="n"/>
      <c r="E296" s="129" t="n"/>
      <c r="F296" s="174" t="n"/>
      <c r="G296" s="145" t="n"/>
      <c r="H296" s="106" t="n"/>
      <c r="I296" s="106" t="n"/>
      <c r="J296" s="129" t="n"/>
    </row>
    <row r="297">
      <c r="B297" s="130" t="n"/>
      <c r="C297" s="129" t="n"/>
      <c r="D297" s="129" t="n"/>
      <c r="E297" s="129" t="n"/>
      <c r="F297" s="174" t="n"/>
      <c r="G297" s="145" t="n"/>
      <c r="H297" s="106" t="n"/>
      <c r="I297" s="106" t="n"/>
      <c r="J297" s="129" t="n"/>
    </row>
    <row r="298">
      <c r="B298" s="130" t="n"/>
      <c r="C298" s="129" t="n"/>
      <c r="D298" s="129" t="n"/>
      <c r="E298" s="129" t="n"/>
      <c r="F298" s="174" t="n"/>
      <c r="G298" s="145" t="n"/>
      <c r="H298" s="106" t="n"/>
      <c r="I298" s="106" t="n"/>
      <c r="J298" s="129" t="n"/>
    </row>
    <row r="299">
      <c r="B299" s="130" t="n"/>
      <c r="C299" s="129" t="n"/>
      <c r="D299" s="129" t="n"/>
      <c r="E299" s="129" t="n"/>
      <c r="F299" s="174" t="n"/>
      <c r="G299" s="145" t="n"/>
      <c r="H299" s="106" t="n"/>
      <c r="I299" s="106" t="n"/>
      <c r="J299" s="129" t="n"/>
    </row>
    <row r="300">
      <c r="B300" s="130" t="n"/>
      <c r="C300" s="129" t="n"/>
      <c r="D300" s="129" t="n"/>
      <c r="E300" s="129" t="n"/>
      <c r="F300" s="174" t="n"/>
      <c r="G300" s="145" t="n"/>
      <c r="H300" s="106" t="n"/>
      <c r="I300" s="106" t="n"/>
      <c r="J300" s="129" t="n"/>
    </row>
    <row r="301">
      <c r="B301" s="130" t="n"/>
      <c r="C301" s="129" t="n"/>
      <c r="D301" s="129" t="n"/>
      <c r="E301" s="129" t="n"/>
      <c r="F301" s="174" t="n"/>
      <c r="G301" s="145" t="n"/>
      <c r="H301" s="106" t="n"/>
      <c r="I301" s="106" t="n"/>
      <c r="J301" s="129" t="n"/>
    </row>
    <row r="302">
      <c r="B302" s="130" t="n"/>
      <c r="C302" s="129" t="n"/>
      <c r="D302" s="129" t="n"/>
      <c r="E302" s="129" t="n"/>
      <c r="F302" s="174" t="n"/>
      <c r="G302" s="145" t="n"/>
      <c r="H302" s="106" t="n"/>
      <c r="I302" s="106" t="n"/>
      <c r="J302" s="129" t="n"/>
    </row>
    <row r="303">
      <c r="B303" s="130" t="n"/>
      <c r="C303" s="129" t="n"/>
      <c r="D303" s="129" t="n"/>
      <c r="E303" s="129" t="n"/>
      <c r="F303" s="174" t="n"/>
      <c r="G303" s="145" t="n"/>
      <c r="H303" s="106" t="n"/>
      <c r="I303" s="106" t="n"/>
      <c r="J303" s="129" t="n"/>
    </row>
    <row r="304">
      <c r="B304" s="130" t="n"/>
      <c r="C304" s="129" t="n"/>
      <c r="D304" s="129" t="n"/>
      <c r="E304" s="129" t="n"/>
      <c r="F304" s="174" t="n"/>
      <c r="G304" s="145" t="n"/>
      <c r="H304" s="106" t="n"/>
      <c r="I304" s="106" t="n"/>
      <c r="J304" s="129" t="n"/>
    </row>
    <row r="305">
      <c r="B305" s="130" t="n"/>
      <c r="C305" s="129" t="n"/>
      <c r="D305" s="129" t="n"/>
      <c r="E305" s="129" t="n"/>
      <c r="F305" s="174" t="n"/>
      <c r="G305" s="145" t="n"/>
      <c r="H305" s="106" t="n"/>
      <c r="I305" s="106" t="n"/>
      <c r="J305" s="129" t="n"/>
    </row>
    <row r="306">
      <c r="B306" s="130" t="n"/>
      <c r="C306" s="129" t="n"/>
      <c r="D306" s="129" t="n"/>
      <c r="E306" s="129" t="n"/>
      <c r="F306" s="174" t="n"/>
      <c r="G306" s="145" t="n"/>
      <c r="H306" s="106" t="n"/>
      <c r="I306" s="106" t="n"/>
      <c r="J306" s="129" t="n"/>
    </row>
    <row r="307">
      <c r="B307" s="130" t="n"/>
      <c r="C307" s="129" t="n"/>
      <c r="D307" s="129" t="n"/>
      <c r="E307" s="129" t="n"/>
      <c r="F307" s="174" t="n"/>
      <c r="G307" s="145" t="n"/>
      <c r="H307" s="106" t="n"/>
      <c r="I307" s="106" t="n"/>
      <c r="J307" s="129" t="n"/>
    </row>
    <row r="308">
      <c r="B308" s="130" t="n"/>
      <c r="C308" s="129" t="n"/>
      <c r="D308" s="129" t="n"/>
      <c r="E308" s="129" t="n"/>
      <c r="F308" s="174" t="n"/>
      <c r="G308" s="145" t="n"/>
      <c r="H308" s="106" t="n"/>
      <c r="I308" s="106" t="n"/>
      <c r="J308" s="129" t="n"/>
    </row>
    <row r="309">
      <c r="B309" s="130" t="n"/>
      <c r="C309" s="129" t="n"/>
      <c r="D309" s="129" t="n"/>
      <c r="E309" s="129" t="n"/>
      <c r="F309" s="174" t="n"/>
      <c r="G309" s="145" t="n"/>
      <c r="H309" s="106" t="n"/>
      <c r="I309" s="106" t="n"/>
      <c r="J309" s="129" t="n"/>
    </row>
    <row r="310">
      <c r="B310" s="130" t="n"/>
      <c r="C310" s="129" t="n"/>
      <c r="D310" s="129" t="n"/>
      <c r="E310" s="129" t="n"/>
      <c r="F310" s="174" t="n"/>
      <c r="G310" s="145" t="n"/>
      <c r="H310" s="106" t="n"/>
      <c r="I310" s="106" t="n"/>
      <c r="J310" s="129" t="n"/>
    </row>
    <row r="311">
      <c r="B311" s="130" t="n"/>
      <c r="C311" s="129" t="n"/>
      <c r="D311" s="129" t="n"/>
      <c r="E311" s="129" t="n"/>
      <c r="F311" s="174" t="n"/>
      <c r="G311" s="145" t="n"/>
      <c r="H311" s="106" t="n"/>
      <c r="I311" s="106" t="n"/>
      <c r="J311" s="129" t="n"/>
    </row>
    <row r="312">
      <c r="B312" s="130" t="n"/>
      <c r="C312" s="129" t="n"/>
      <c r="D312" s="129" t="n"/>
      <c r="E312" s="129" t="n"/>
      <c r="F312" s="174" t="n"/>
      <c r="G312" s="145" t="n"/>
      <c r="H312" s="106" t="n"/>
      <c r="I312" s="106" t="n"/>
      <c r="J312" s="129" t="n"/>
    </row>
    <row r="313">
      <c r="B313" s="130" t="n"/>
      <c r="C313" s="129" t="n"/>
      <c r="D313" s="129" t="n"/>
      <c r="E313" s="129" t="n"/>
      <c r="F313" s="174" t="n"/>
      <c r="G313" s="145" t="n"/>
      <c r="H313" s="106" t="n"/>
      <c r="I313" s="106" t="n"/>
      <c r="J313" s="129" t="n"/>
    </row>
    <row r="314">
      <c r="B314" s="130" t="n"/>
      <c r="C314" s="129" t="n"/>
      <c r="D314" s="129" t="n"/>
      <c r="E314" s="129" t="n"/>
      <c r="F314" s="174" t="n"/>
      <c r="G314" s="145" t="n"/>
      <c r="H314" s="106" t="n"/>
      <c r="I314" s="106" t="n"/>
      <c r="J314" s="129" t="n"/>
    </row>
    <row r="315">
      <c r="B315" s="130" t="n"/>
      <c r="C315" s="129" t="n"/>
      <c r="D315" s="129" t="n"/>
      <c r="E315" s="129" t="n"/>
      <c r="F315" s="174" t="n"/>
      <c r="G315" s="145" t="n"/>
      <c r="H315" s="106" t="n"/>
      <c r="I315" s="106" t="n"/>
      <c r="J315" s="129" t="n"/>
    </row>
    <row r="316">
      <c r="B316" s="130" t="n"/>
      <c r="C316" s="129" t="n"/>
      <c r="D316" s="129" t="n"/>
      <c r="E316" s="129" t="n"/>
      <c r="F316" s="174" t="n"/>
      <c r="G316" s="145" t="n"/>
      <c r="H316" s="106" t="n"/>
      <c r="I316" s="106" t="n"/>
      <c r="J316" s="129" t="n"/>
    </row>
    <row r="317">
      <c r="B317" s="130" t="n"/>
      <c r="C317" s="129" t="n"/>
      <c r="D317" s="129" t="n"/>
      <c r="E317" s="129" t="n"/>
      <c r="F317" s="174" t="n"/>
      <c r="G317" s="145" t="n"/>
      <c r="H317" s="106" t="n"/>
      <c r="I317" s="106" t="n"/>
      <c r="J317" s="129" t="n"/>
    </row>
    <row r="318">
      <c r="B318" s="130" t="n"/>
      <c r="C318" s="129" t="n"/>
      <c r="D318" s="129" t="n"/>
      <c r="E318" s="129" t="n"/>
      <c r="F318" s="174" t="n"/>
      <c r="G318" s="145" t="n"/>
      <c r="H318" s="106" t="n"/>
      <c r="I318" s="106" t="n"/>
      <c r="J318" s="129" t="n"/>
    </row>
    <row r="319">
      <c r="B319" s="130" t="n"/>
      <c r="C319" s="129" t="n"/>
      <c r="D319" s="129" t="n"/>
      <c r="E319" s="129" t="n"/>
      <c r="F319" s="174" t="n"/>
      <c r="G319" s="145" t="n"/>
      <c r="H319" s="106" t="n"/>
      <c r="I319" s="106" t="n"/>
      <c r="J319" s="129" t="n"/>
    </row>
    <row r="320">
      <c r="B320" s="130" t="n"/>
      <c r="C320" s="129" t="n"/>
      <c r="D320" s="129" t="n"/>
      <c r="E320" s="129" t="n"/>
      <c r="F320" s="174" t="n"/>
      <c r="G320" s="145" t="n"/>
      <c r="H320" s="106" t="n"/>
      <c r="I320" s="106" t="n"/>
      <c r="J320" s="129" t="n"/>
    </row>
    <row r="321">
      <c r="B321" s="130" t="n"/>
      <c r="C321" s="129" t="n"/>
      <c r="D321" s="129" t="n"/>
      <c r="E321" s="129" t="n"/>
      <c r="F321" s="174" t="n"/>
      <c r="G321" s="145" t="n"/>
      <c r="H321" s="106" t="n"/>
      <c r="I321" s="106" t="n"/>
      <c r="J321" s="129" t="n"/>
    </row>
    <row r="322">
      <c r="B322" s="130" t="n"/>
      <c r="C322" s="129" t="n"/>
      <c r="D322" s="129" t="n"/>
      <c r="E322" s="129" t="n"/>
      <c r="F322" s="174" t="n"/>
      <c r="G322" s="145" t="n"/>
      <c r="H322" s="106" t="n"/>
      <c r="I322" s="106" t="n"/>
      <c r="J322" s="129" t="n"/>
    </row>
    <row r="323">
      <c r="B323" s="130" t="n"/>
      <c r="C323" s="129" t="n"/>
      <c r="D323" s="129" t="n"/>
      <c r="E323" s="129" t="n"/>
      <c r="F323" s="174" t="n"/>
      <c r="G323" s="145" t="n"/>
      <c r="H323" s="106" t="n"/>
      <c r="I323" s="106" t="n"/>
      <c r="J323" s="129" t="n"/>
    </row>
    <row r="324">
      <c r="B324" s="130" t="n"/>
      <c r="C324" s="129" t="n"/>
      <c r="D324" s="129" t="n"/>
      <c r="E324" s="129" t="n"/>
      <c r="F324" s="174" t="n"/>
      <c r="G324" s="145" t="n"/>
      <c r="H324" s="106" t="n"/>
      <c r="I324" s="106" t="n"/>
      <c r="J324" s="129" t="n"/>
    </row>
    <row r="325">
      <c r="B325" s="130" t="n"/>
      <c r="C325" s="129" t="n"/>
      <c r="D325" s="129" t="n"/>
      <c r="E325" s="129" t="n"/>
      <c r="F325" s="174" t="n"/>
      <c r="G325" s="145" t="n"/>
      <c r="H325" s="106" t="n"/>
      <c r="I325" s="106" t="n"/>
      <c r="J325" s="129" t="n"/>
    </row>
    <row r="326">
      <c r="B326" s="130" t="n"/>
      <c r="C326" s="129" t="n"/>
      <c r="D326" s="129" t="n"/>
      <c r="E326" s="129" t="n"/>
      <c r="F326" s="174" t="n"/>
      <c r="G326" s="145" t="n"/>
      <c r="H326" s="106" t="n"/>
      <c r="I326" s="106" t="n"/>
      <c r="J326" s="129" t="n"/>
    </row>
    <row r="327">
      <c r="B327" s="130" t="n"/>
      <c r="C327" s="129" t="n"/>
      <c r="D327" s="129" t="n"/>
      <c r="E327" s="129" t="n"/>
      <c r="F327" s="174" t="n"/>
      <c r="G327" s="145" t="n"/>
      <c r="H327" s="106" t="n"/>
      <c r="I327" s="106" t="n"/>
      <c r="J327" s="129" t="n"/>
    </row>
    <row r="328">
      <c r="B328" s="130" t="n"/>
      <c r="C328" s="129" t="n"/>
      <c r="D328" s="129" t="n"/>
      <c r="E328" s="129" t="n"/>
      <c r="F328" s="174" t="n"/>
      <c r="G328" s="145" t="n"/>
      <c r="H328" s="106" t="n"/>
      <c r="I328" s="106" t="n"/>
      <c r="J328" s="129" t="n"/>
    </row>
    <row r="329">
      <c r="B329" s="130" t="n"/>
      <c r="C329" s="129" t="n"/>
      <c r="D329" s="129" t="n"/>
      <c r="E329" s="129" t="n"/>
      <c r="F329" s="174" t="n"/>
      <c r="G329" s="145" t="n"/>
      <c r="H329" s="106" t="n"/>
      <c r="I329" s="106" t="n"/>
      <c r="J329" s="129" t="n"/>
    </row>
    <row r="330">
      <c r="B330" s="130" t="n"/>
      <c r="C330" s="129" t="n"/>
      <c r="D330" s="129" t="n"/>
      <c r="E330" s="129" t="n"/>
      <c r="F330" s="174" t="n"/>
      <c r="G330" s="145" t="n"/>
      <c r="H330" s="106" t="n"/>
      <c r="I330" s="106" t="n"/>
      <c r="J330" s="129" t="n"/>
    </row>
    <row r="331">
      <c r="B331" s="130" t="n"/>
      <c r="C331" s="129" t="n"/>
      <c r="D331" s="129" t="n"/>
      <c r="E331" s="129" t="n"/>
      <c r="F331" s="174" t="n"/>
      <c r="G331" s="145" t="n"/>
      <c r="H331" s="106" t="n"/>
      <c r="I331" s="106" t="n"/>
      <c r="J331" s="129" t="n"/>
    </row>
    <row r="332">
      <c r="B332" s="130" t="n"/>
      <c r="C332" s="129" t="n"/>
      <c r="D332" s="129" t="n"/>
      <c r="E332" s="129" t="n"/>
      <c r="F332" s="174" t="n"/>
      <c r="G332" s="145" t="n"/>
      <c r="H332" s="106" t="n"/>
      <c r="I332" s="106" t="n"/>
      <c r="J332" s="129" t="n"/>
    </row>
    <row r="333">
      <c r="B333" s="130" t="n"/>
      <c r="C333" s="129" t="n"/>
      <c r="D333" s="129" t="n"/>
      <c r="E333" s="129" t="n"/>
      <c r="F333" s="174" t="n"/>
      <c r="G333" s="145" t="n"/>
      <c r="H333" s="106" t="n"/>
      <c r="I333" s="106" t="n"/>
      <c r="J333" s="129" t="n"/>
    </row>
    <row r="334">
      <c r="B334" s="130" t="n"/>
      <c r="C334" s="129" t="n"/>
      <c r="D334" s="129" t="n"/>
      <c r="E334" s="129" t="n"/>
      <c r="F334" s="174" t="n"/>
      <c r="G334" s="145" t="n"/>
      <c r="H334" s="106" t="n"/>
      <c r="I334" s="106" t="n"/>
      <c r="J334" s="129" t="n"/>
    </row>
    <row r="335">
      <c r="B335" s="130" t="n"/>
      <c r="C335" s="129" t="n"/>
      <c r="D335" s="129" t="n"/>
      <c r="E335" s="129" t="n"/>
      <c r="F335" s="174" t="n"/>
      <c r="G335" s="145" t="n"/>
      <c r="H335" s="106" t="n"/>
      <c r="I335" s="106" t="n"/>
      <c r="J335" s="129" t="n"/>
    </row>
    <row r="336">
      <c r="B336" s="130" t="n"/>
      <c r="C336" s="129" t="n"/>
      <c r="D336" s="129" t="n"/>
      <c r="E336" s="129" t="n"/>
      <c r="F336" s="174" t="n"/>
      <c r="G336" s="145" t="n"/>
      <c r="H336" s="106" t="n"/>
      <c r="I336" s="106" t="n"/>
      <c r="J336" s="129" t="n"/>
    </row>
    <row r="337">
      <c r="B337" s="130" t="n"/>
      <c r="C337" s="129" t="n"/>
      <c r="D337" s="129" t="n"/>
      <c r="E337" s="129" t="n"/>
      <c r="F337" s="174" t="n"/>
      <c r="G337" s="145" t="n"/>
      <c r="H337" s="106" t="n"/>
      <c r="I337" s="106" t="n"/>
      <c r="J337" s="129" t="n"/>
    </row>
    <row r="338">
      <c r="B338" s="130" t="n"/>
      <c r="C338" s="129" t="n"/>
      <c r="D338" s="129" t="n"/>
      <c r="E338" s="129" t="n"/>
      <c r="F338" s="174" t="n"/>
      <c r="G338" s="145" t="n"/>
      <c r="H338" s="106" t="n"/>
      <c r="I338" s="106" t="n"/>
      <c r="J338" s="129" t="n"/>
    </row>
    <row r="339">
      <c r="B339" s="130" t="n"/>
      <c r="C339" s="129" t="n"/>
      <c r="D339" s="129" t="n"/>
      <c r="E339" s="129" t="n"/>
      <c r="F339" s="174" t="n"/>
      <c r="G339" s="145" t="n"/>
      <c r="H339" s="106" t="n"/>
      <c r="I339" s="106" t="n"/>
      <c r="J339" s="129" t="n"/>
    </row>
    <row r="340">
      <c r="B340" s="130" t="n"/>
      <c r="C340" s="129" t="n"/>
      <c r="D340" s="129" t="n"/>
      <c r="E340" s="129" t="n"/>
      <c r="F340" s="174" t="n"/>
      <c r="G340" s="145" t="n"/>
      <c r="H340" s="106" t="n"/>
      <c r="I340" s="106" t="n"/>
      <c r="J340" s="129" t="n"/>
    </row>
    <row r="341">
      <c r="B341" s="130" t="n"/>
      <c r="C341" s="129" t="n"/>
      <c r="D341" s="129" t="n"/>
      <c r="E341" s="129" t="n"/>
      <c r="F341" s="174" t="n"/>
      <c r="G341" s="145" t="n"/>
      <c r="H341" s="106" t="n"/>
      <c r="I341" s="106" t="n"/>
      <c r="J341" s="129" t="n"/>
    </row>
    <row r="342">
      <c r="B342" s="130" t="n"/>
      <c r="C342" s="129" t="n"/>
      <c r="D342" s="129" t="n"/>
      <c r="E342" s="129" t="n"/>
      <c r="F342" s="174" t="n"/>
      <c r="G342" s="145" t="n"/>
      <c r="H342" s="106" t="n"/>
      <c r="I342" s="106" t="n"/>
      <c r="J342" s="129" t="n"/>
    </row>
    <row r="343">
      <c r="B343" s="130" t="n"/>
      <c r="C343" s="129" t="n"/>
      <c r="D343" s="129" t="n"/>
      <c r="E343" s="129" t="n"/>
      <c r="F343" s="174" t="n"/>
      <c r="G343" s="145" t="n"/>
      <c r="H343" s="106" t="n"/>
      <c r="I343" s="106" t="n"/>
      <c r="J343" s="129" t="n"/>
    </row>
    <row r="344">
      <c r="B344" s="130" t="n"/>
      <c r="C344" s="129" t="n"/>
      <c r="D344" s="129" t="n"/>
      <c r="E344" s="129" t="n"/>
      <c r="F344" s="174" t="n"/>
      <c r="G344" s="145" t="n"/>
      <c r="H344" s="106" t="n"/>
      <c r="I344" s="106" t="n"/>
      <c r="J344" s="129" t="n"/>
    </row>
    <row r="345">
      <c r="B345" s="130" t="n"/>
      <c r="C345" s="129" t="n"/>
      <c r="D345" s="129" t="n"/>
      <c r="E345" s="129" t="n"/>
      <c r="F345" s="174" t="n"/>
      <c r="G345" s="145" t="n"/>
      <c r="H345" s="106" t="n"/>
      <c r="I345" s="106" t="n"/>
      <c r="J345" s="129" t="n"/>
    </row>
    <row r="346">
      <c r="B346" s="130" t="n"/>
      <c r="C346" s="129" t="n"/>
      <c r="D346" s="129" t="n"/>
      <c r="E346" s="129" t="n"/>
      <c r="F346" s="174" t="n"/>
      <c r="G346" s="145" t="n"/>
      <c r="H346" s="106" t="n"/>
      <c r="I346" s="106" t="n"/>
      <c r="J346" s="129" t="n"/>
    </row>
    <row r="347">
      <c r="B347" s="130" t="n"/>
      <c r="C347" s="129" t="n"/>
      <c r="D347" s="129" t="n"/>
      <c r="E347" s="129" t="n"/>
      <c r="F347" s="174" t="n"/>
      <c r="G347" s="145" t="n"/>
      <c r="H347" s="106" t="n"/>
      <c r="I347" s="106" t="n"/>
      <c r="J347" s="129" t="n"/>
    </row>
    <row r="348">
      <c r="B348" s="130" t="n"/>
      <c r="C348" s="129" t="n"/>
      <c r="D348" s="129" t="n"/>
      <c r="E348" s="129" t="n"/>
      <c r="F348" s="174" t="n"/>
      <c r="G348" s="145" t="n"/>
      <c r="H348" s="106" t="n"/>
      <c r="I348" s="106" t="n"/>
      <c r="J348" s="129" t="n"/>
    </row>
    <row r="349">
      <c r="B349" s="130" t="n"/>
      <c r="C349" s="129" t="n"/>
      <c r="D349" s="129" t="n"/>
      <c r="E349" s="129" t="n"/>
      <c r="F349" s="174" t="n"/>
      <c r="G349" s="145" t="n"/>
      <c r="H349" s="106" t="n"/>
      <c r="I349" s="106" t="n"/>
      <c r="J349" s="129" t="n"/>
    </row>
    <row r="350">
      <c r="B350" s="130" t="n"/>
      <c r="C350" s="129" t="n"/>
      <c r="D350" s="129" t="n"/>
      <c r="E350" s="129" t="n"/>
      <c r="F350" s="174" t="n"/>
      <c r="G350" s="145" t="n"/>
      <c r="H350" s="106" t="n"/>
      <c r="I350" s="106" t="n"/>
      <c r="J350" s="129" t="n"/>
    </row>
    <row r="351">
      <c r="B351" s="130" t="n"/>
      <c r="C351" s="129" t="n"/>
      <c r="D351" s="129" t="n"/>
      <c r="E351" s="129" t="n"/>
      <c r="F351" s="174" t="n"/>
      <c r="G351" s="145" t="n"/>
      <c r="H351" s="106" t="n"/>
      <c r="I351" s="106" t="n"/>
      <c r="J351" s="129" t="n"/>
    </row>
    <row r="352">
      <c r="B352" s="130" t="n"/>
      <c r="C352" s="129" t="n"/>
      <c r="D352" s="129" t="n"/>
      <c r="E352" s="129" t="n"/>
      <c r="F352" s="174" t="n"/>
      <c r="G352" s="145" t="n"/>
      <c r="H352" s="106" t="n"/>
      <c r="I352" s="106" t="n"/>
      <c r="J352" s="129" t="n"/>
    </row>
    <row r="353">
      <c r="B353" s="130" t="n"/>
      <c r="C353" s="129" t="n"/>
      <c r="D353" s="129" t="n"/>
      <c r="E353" s="129" t="n"/>
      <c r="F353" s="174" t="n"/>
      <c r="G353" s="145" t="n"/>
      <c r="H353" s="106" t="n"/>
      <c r="I353" s="106" t="n"/>
      <c r="J353" s="129" t="n"/>
    </row>
    <row r="354">
      <c r="B354" s="130" t="n"/>
      <c r="C354" s="129" t="n"/>
      <c r="D354" s="129" t="n"/>
      <c r="E354" s="129" t="n"/>
      <c r="F354" s="174" t="n"/>
      <c r="G354" s="145" t="n"/>
      <c r="H354" s="106" t="n"/>
      <c r="I354" s="106" t="n"/>
      <c r="J354" s="129" t="n"/>
    </row>
    <row r="355">
      <c r="B355" s="130" t="n"/>
      <c r="C355" s="129" t="n"/>
      <c r="D355" s="129" t="n"/>
      <c r="E355" s="129" t="n"/>
      <c r="F355" s="174" t="n"/>
      <c r="G355" s="145" t="n"/>
      <c r="H355" s="106" t="n"/>
      <c r="I355" s="106" t="n"/>
      <c r="J355" s="129" t="n"/>
    </row>
    <row r="356">
      <c r="B356" s="130" t="n"/>
      <c r="C356" s="129" t="n"/>
      <c r="D356" s="129" t="n"/>
      <c r="E356" s="129" t="n"/>
      <c r="F356" s="174" t="n"/>
      <c r="G356" s="145" t="n"/>
      <c r="H356" s="106" t="n"/>
      <c r="I356" s="106" t="n"/>
      <c r="J356" s="129" t="n"/>
    </row>
    <row r="357">
      <c r="B357" s="130" t="n"/>
      <c r="C357" s="129" t="n"/>
      <c r="D357" s="129" t="n"/>
      <c r="E357" s="129" t="n"/>
      <c r="F357" s="174" t="n"/>
      <c r="G357" s="145" t="n"/>
      <c r="H357" s="106" t="n"/>
      <c r="I357" s="106" t="n"/>
      <c r="J357" s="129" t="n"/>
    </row>
    <row r="358">
      <c r="B358" s="130" t="n"/>
      <c r="C358" s="129" t="n"/>
      <c r="D358" s="129" t="n"/>
      <c r="E358" s="129" t="n"/>
      <c r="F358" s="174" t="n"/>
      <c r="G358" s="145" t="n"/>
      <c r="H358" s="106" t="n"/>
      <c r="I358" s="106" t="n"/>
      <c r="J358" s="129" t="n"/>
    </row>
    <row r="359">
      <c r="B359" s="130" t="n"/>
      <c r="C359" s="129" t="n"/>
      <c r="D359" s="129" t="n"/>
      <c r="E359" s="129" t="n"/>
      <c r="F359" s="174" t="n"/>
      <c r="G359" s="145" t="n"/>
      <c r="H359" s="106" t="n"/>
      <c r="I359" s="106" t="n"/>
      <c r="J359" s="129" t="n"/>
    </row>
    <row r="360">
      <c r="B360" s="130" t="n"/>
      <c r="C360" s="129" t="n"/>
      <c r="D360" s="129" t="n"/>
      <c r="E360" s="129" t="n"/>
      <c r="F360" s="174" t="n"/>
      <c r="G360" s="145" t="n"/>
      <c r="H360" s="106" t="n"/>
      <c r="I360" s="106" t="n"/>
      <c r="J360" s="129" t="n"/>
    </row>
    <row r="361">
      <c r="B361" s="130" t="n"/>
      <c r="C361" s="129" t="n"/>
      <c r="D361" s="129" t="n"/>
      <c r="E361" s="129" t="n"/>
      <c r="F361" s="174" t="n"/>
      <c r="G361" s="145" t="n"/>
      <c r="H361" s="106" t="n"/>
      <c r="I361" s="106" t="n"/>
      <c r="J361" s="129" t="n"/>
    </row>
    <row r="362">
      <c r="B362" s="130" t="n"/>
      <c r="C362" s="129" t="n"/>
      <c r="D362" s="129" t="n"/>
      <c r="E362" s="129" t="n"/>
      <c r="F362" s="174" t="n"/>
      <c r="G362" s="145" t="n"/>
      <c r="H362" s="106" t="n"/>
      <c r="I362" s="106" t="n"/>
      <c r="J362" s="129" t="n"/>
    </row>
    <row r="363">
      <c r="B363" s="130" t="n"/>
      <c r="C363" s="129" t="n"/>
      <c r="D363" s="129" t="n"/>
      <c r="E363" s="129" t="n"/>
      <c r="F363" s="174" t="n"/>
      <c r="G363" s="145" t="n"/>
      <c r="H363" s="106" t="n"/>
      <c r="I363" s="106" t="n"/>
      <c r="J363" s="129" t="n"/>
    </row>
    <row r="364">
      <c r="B364" s="130" t="n"/>
      <c r="C364" s="129" t="n"/>
      <c r="D364" s="129" t="n"/>
      <c r="E364" s="129" t="n"/>
      <c r="F364" s="174" t="n"/>
      <c r="G364" s="145" t="n"/>
      <c r="H364" s="106" t="n"/>
      <c r="I364" s="106" t="n"/>
      <c r="J364" s="129" t="n"/>
    </row>
    <row r="365">
      <c r="B365" s="130" t="n"/>
      <c r="C365" s="129" t="n"/>
      <c r="D365" s="129" t="n"/>
      <c r="E365" s="129" t="n"/>
      <c r="F365" s="174" t="n"/>
      <c r="G365" s="145" t="n"/>
      <c r="H365" s="106" t="n"/>
      <c r="I365" s="106" t="n"/>
      <c r="J365" s="129" t="n"/>
    </row>
    <row r="366">
      <c r="B366" s="130" t="n"/>
      <c r="C366" s="129" t="n"/>
      <c r="D366" s="129" t="n"/>
      <c r="E366" s="129" t="n"/>
      <c r="F366" s="174" t="n"/>
      <c r="G366" s="145" t="n"/>
      <c r="H366" s="106" t="n"/>
      <c r="I366" s="106" t="n"/>
      <c r="J366" s="129" t="n"/>
    </row>
    <row r="367">
      <c r="B367" s="130" t="n"/>
      <c r="C367" s="129" t="n"/>
      <c r="D367" s="129" t="n"/>
      <c r="E367" s="129" t="n"/>
      <c r="F367" s="174" t="n"/>
      <c r="G367" s="145" t="n"/>
      <c r="H367" s="106" t="n"/>
      <c r="I367" s="106" t="n"/>
      <c r="J367" s="129" t="n"/>
    </row>
    <row r="368">
      <c r="B368" s="130" t="n"/>
      <c r="C368" s="129" t="n"/>
      <c r="D368" s="129" t="n"/>
      <c r="E368" s="129" t="n"/>
      <c r="F368" s="174" t="n"/>
      <c r="G368" s="145" t="n"/>
      <c r="H368" s="106" t="n"/>
      <c r="I368" s="106" t="n"/>
      <c r="J368" s="129" t="n"/>
    </row>
    <row r="369">
      <c r="B369" s="130" t="n"/>
      <c r="C369" s="129" t="n"/>
      <c r="D369" s="129" t="n"/>
      <c r="E369" s="129" t="n"/>
      <c r="F369" s="174" t="n"/>
      <c r="G369" s="145" t="n"/>
      <c r="H369" s="106" t="n"/>
      <c r="I369" s="106" t="n"/>
      <c r="J369" s="129" t="n"/>
    </row>
    <row r="370">
      <c r="B370" s="130" t="n"/>
      <c r="C370" s="129" t="n"/>
      <c r="D370" s="129" t="n"/>
      <c r="E370" s="129" t="n"/>
      <c r="F370" s="174" t="n"/>
      <c r="G370" s="145" t="n"/>
      <c r="H370" s="106" t="n"/>
      <c r="I370" s="106" t="n"/>
      <c r="J370" s="129" t="n"/>
    </row>
    <row r="371">
      <c r="B371" s="130" t="n"/>
      <c r="C371" s="129" t="n"/>
      <c r="D371" s="129" t="n"/>
      <c r="E371" s="129" t="n"/>
      <c r="F371" s="174" t="n"/>
      <c r="G371" s="145" t="n"/>
      <c r="H371" s="106" t="n"/>
      <c r="I371" s="106" t="n"/>
      <c r="J371" s="129" t="n"/>
    </row>
    <row r="372">
      <c r="B372" s="130" t="n"/>
      <c r="C372" s="129" t="n"/>
      <c r="D372" s="129" t="n"/>
      <c r="E372" s="129" t="n"/>
      <c r="F372" s="174" t="n"/>
      <c r="G372" s="145" t="n"/>
      <c r="H372" s="106" t="n"/>
      <c r="I372" s="106" t="n"/>
      <c r="J372" s="129" t="n"/>
    </row>
    <row r="373">
      <c r="B373" s="130" t="n"/>
      <c r="C373" s="129" t="n"/>
      <c r="D373" s="129" t="n"/>
      <c r="E373" s="129" t="n"/>
      <c r="F373" s="174" t="n"/>
      <c r="G373" s="145" t="n"/>
      <c r="H373" s="106" t="n"/>
      <c r="I373" s="106" t="n"/>
      <c r="J373" s="129" t="n"/>
    </row>
    <row r="374">
      <c r="B374" s="130" t="n"/>
      <c r="C374" s="129" t="n"/>
      <c r="D374" s="129" t="n"/>
      <c r="E374" s="129" t="n"/>
      <c r="F374" s="174" t="n"/>
      <c r="G374" s="145" t="n"/>
      <c r="H374" s="106" t="n"/>
      <c r="I374" s="106" t="n"/>
      <c r="J374" s="129" t="n"/>
    </row>
    <row r="375">
      <c r="B375" s="130" t="n"/>
      <c r="C375" s="129" t="n"/>
      <c r="D375" s="129" t="n"/>
      <c r="E375" s="129" t="n"/>
      <c r="F375" s="174" t="n"/>
      <c r="G375" s="145" t="n"/>
      <c r="H375" s="106" t="n"/>
      <c r="I375" s="106" t="n"/>
      <c r="J375" s="129" t="n"/>
    </row>
    <row r="376">
      <c r="B376" s="130" t="n"/>
      <c r="C376" s="129" t="n"/>
      <c r="D376" s="129" t="n"/>
      <c r="E376" s="129" t="n"/>
      <c r="F376" s="174" t="n"/>
      <c r="G376" s="145" t="n"/>
      <c r="H376" s="106" t="n"/>
      <c r="I376" s="106" t="n"/>
      <c r="J376" s="129" t="n"/>
    </row>
    <row r="377">
      <c r="B377" s="130" t="n"/>
      <c r="C377" s="129" t="n"/>
      <c r="D377" s="129" t="n"/>
      <c r="E377" s="129" t="n"/>
      <c r="F377" s="174" t="n"/>
      <c r="G377" s="145" t="n"/>
      <c r="H377" s="106" t="n"/>
      <c r="I377" s="106" t="n"/>
      <c r="J377" s="129" t="n"/>
    </row>
    <row r="378">
      <c r="B378" s="130" t="n"/>
      <c r="C378" s="129" t="n"/>
      <c r="D378" s="129" t="n"/>
      <c r="E378" s="129" t="n"/>
      <c r="F378" s="174" t="n"/>
      <c r="G378" s="145" t="n"/>
      <c r="H378" s="106" t="n"/>
      <c r="I378" s="106" t="n"/>
      <c r="J378" s="129" t="n"/>
    </row>
    <row r="379">
      <c r="B379" s="130" t="n"/>
      <c r="C379" s="129" t="n"/>
      <c r="D379" s="129" t="n"/>
      <c r="E379" s="129" t="n"/>
      <c r="F379" s="174" t="n"/>
      <c r="G379" s="145" t="n"/>
      <c r="H379" s="106" t="n"/>
      <c r="I379" s="106" t="n"/>
      <c r="J379" s="129" t="n"/>
    </row>
    <row r="380">
      <c r="B380" s="130" t="n"/>
      <c r="C380" s="129" t="n"/>
      <c r="D380" s="129" t="n"/>
      <c r="E380" s="129" t="n"/>
      <c r="F380" s="174" t="n"/>
      <c r="G380" s="145" t="n"/>
      <c r="H380" s="106" t="n"/>
      <c r="I380" s="106" t="n"/>
      <c r="J380" s="129" t="n"/>
    </row>
    <row r="381">
      <c r="B381" s="130" t="n"/>
      <c r="C381" s="129" t="n"/>
      <c r="D381" s="129" t="n"/>
      <c r="E381" s="129" t="n"/>
      <c r="F381" s="174" t="n"/>
      <c r="G381" s="145" t="n"/>
      <c r="H381" s="106" t="n"/>
      <c r="I381" s="106" t="n"/>
      <c r="J381" s="129" t="n"/>
    </row>
    <row r="382">
      <c r="B382" s="130" t="n"/>
      <c r="C382" s="129" t="n"/>
      <c r="D382" s="129" t="n"/>
      <c r="E382" s="129" t="n"/>
      <c r="F382" s="174" t="n"/>
      <c r="G382" s="145" t="n"/>
      <c r="H382" s="106" t="n"/>
      <c r="I382" s="106" t="n"/>
      <c r="J382" s="129" t="n"/>
    </row>
    <row r="383">
      <c r="B383" s="130" t="n"/>
      <c r="C383" s="129" t="n"/>
      <c r="D383" s="129" t="n"/>
      <c r="E383" s="129" t="n"/>
      <c r="F383" s="174" t="n"/>
      <c r="G383" s="145" t="n"/>
      <c r="H383" s="106" t="n"/>
      <c r="I383" s="106" t="n"/>
      <c r="J383" s="129" t="n"/>
    </row>
    <row r="384">
      <c r="B384" s="130" t="n"/>
      <c r="C384" s="129" t="n"/>
      <c r="D384" s="129" t="n"/>
      <c r="E384" s="129" t="n"/>
      <c r="F384" s="174" t="n"/>
      <c r="G384" s="145" t="n"/>
      <c r="H384" s="106" t="n"/>
      <c r="I384" s="106" t="n"/>
      <c r="J384" s="129" t="n"/>
    </row>
    <row r="385">
      <c r="B385" s="130" t="n"/>
      <c r="C385" s="129" t="n"/>
      <c r="D385" s="129" t="n"/>
      <c r="E385" s="129" t="n"/>
      <c r="F385" s="174" t="n"/>
      <c r="G385" s="145" t="n"/>
      <c r="H385" s="106" t="n"/>
      <c r="I385" s="106" t="n"/>
      <c r="J385" s="129" t="n"/>
    </row>
    <row r="386">
      <c r="B386" s="130" t="n"/>
      <c r="C386" s="129" t="n"/>
      <c r="D386" s="129" t="n"/>
      <c r="E386" s="129" t="n"/>
      <c r="F386" s="174" t="n"/>
      <c r="G386" s="145" t="n"/>
      <c r="H386" s="106" t="n"/>
      <c r="I386" s="106" t="n"/>
      <c r="J386" s="129" t="n"/>
    </row>
    <row r="387">
      <c r="B387" s="130" t="n"/>
      <c r="C387" s="129" t="n"/>
      <c r="D387" s="129" t="n"/>
      <c r="E387" s="129" t="n"/>
      <c r="F387" s="174" t="n"/>
      <c r="G387" s="145" t="n"/>
      <c r="H387" s="106" t="n"/>
      <c r="I387" s="106" t="n"/>
      <c r="J387" s="129" t="n"/>
    </row>
    <row r="388">
      <c r="B388" s="130" t="n"/>
      <c r="C388" s="129" t="n"/>
      <c r="D388" s="129" t="n"/>
      <c r="E388" s="129" t="n"/>
      <c r="F388" s="174" t="n"/>
      <c r="G388" s="145" t="n"/>
      <c r="H388" s="106" t="n"/>
      <c r="I388" s="106" t="n"/>
      <c r="J388" s="129" t="n"/>
    </row>
    <row r="389">
      <c r="B389" s="130" t="n"/>
      <c r="C389" s="129" t="n"/>
      <c r="D389" s="129" t="n"/>
      <c r="E389" s="129" t="n"/>
      <c r="F389" s="174" t="n"/>
      <c r="G389" s="145" t="n"/>
      <c r="H389" s="106" t="n"/>
      <c r="I389" s="106" t="n"/>
      <c r="J389" s="129" t="n"/>
    </row>
    <row r="390">
      <c r="B390" s="130" t="n"/>
      <c r="C390" s="129" t="n"/>
      <c r="D390" s="129" t="n"/>
      <c r="E390" s="129" t="n"/>
      <c r="F390" s="174" t="n"/>
      <c r="G390" s="145" t="n"/>
      <c r="H390" s="106" t="n"/>
      <c r="I390" s="106" t="n"/>
      <c r="J390" s="129" t="n"/>
    </row>
    <row r="391">
      <c r="B391" s="130" t="n"/>
      <c r="C391" s="129" t="n"/>
      <c r="D391" s="129" t="n"/>
      <c r="E391" s="129" t="n"/>
      <c r="F391" s="174" t="n"/>
      <c r="G391" s="145" t="n"/>
      <c r="H391" s="106" t="n"/>
      <c r="I391" s="106" t="n"/>
      <c r="J391" s="129" t="n"/>
    </row>
    <row r="392">
      <c r="B392" s="130" t="n"/>
      <c r="C392" s="129" t="n"/>
      <c r="D392" s="129" t="n"/>
      <c r="E392" s="129" t="n"/>
      <c r="F392" s="174" t="n"/>
      <c r="G392" s="145" t="n"/>
      <c r="H392" s="106" t="n"/>
      <c r="I392" s="106" t="n"/>
      <c r="J392" s="129" t="n"/>
    </row>
    <row r="393">
      <c r="B393" s="130" t="n"/>
      <c r="C393" s="129" t="n"/>
      <c r="D393" s="129" t="n"/>
      <c r="E393" s="129" t="n"/>
      <c r="F393" s="174" t="n"/>
      <c r="G393" s="145" t="n"/>
      <c r="H393" s="106" t="n"/>
      <c r="I393" s="106" t="n"/>
      <c r="J393" s="129" t="n"/>
    </row>
    <row r="394">
      <c r="B394" s="130" t="n"/>
      <c r="C394" s="129" t="n"/>
      <c r="D394" s="129" t="n"/>
      <c r="E394" s="129" t="n"/>
      <c r="F394" s="174" t="n"/>
      <c r="G394" s="145" t="n"/>
      <c r="H394" s="106" t="n"/>
      <c r="I394" s="106" t="n"/>
      <c r="J394" s="129" t="n"/>
    </row>
    <row r="395">
      <c r="B395" s="130" t="n"/>
      <c r="C395" s="129" t="n"/>
      <c r="D395" s="129" t="n"/>
      <c r="E395" s="129" t="n"/>
      <c r="F395" s="174" t="n"/>
      <c r="G395" s="145" t="n"/>
      <c r="H395" s="106" t="n"/>
      <c r="I395" s="106" t="n"/>
      <c r="J395" s="129" t="n"/>
    </row>
    <row r="396">
      <c r="B396" s="130" t="n"/>
      <c r="C396" s="129" t="n"/>
      <c r="D396" s="129" t="n"/>
      <c r="E396" s="129" t="n"/>
      <c r="F396" s="174" t="n"/>
      <c r="G396" s="145" t="n"/>
      <c r="H396" s="106" t="n"/>
      <c r="I396" s="106" t="n"/>
      <c r="J396" s="129" t="n"/>
    </row>
    <row r="397">
      <c r="B397" s="130" t="n"/>
      <c r="C397" s="129" t="n"/>
      <c r="D397" s="129" t="n"/>
      <c r="E397" s="129" t="n"/>
      <c r="F397" s="174" t="n"/>
      <c r="G397" s="145" t="n"/>
      <c r="H397" s="106" t="n"/>
      <c r="I397" s="106" t="n"/>
      <c r="J397" s="129" t="n"/>
    </row>
    <row r="398">
      <c r="B398" s="130" t="n"/>
      <c r="C398" s="129" t="n"/>
      <c r="D398" s="129" t="n"/>
      <c r="E398" s="129" t="n"/>
      <c r="F398" s="174" t="n"/>
      <c r="G398" s="145" t="n"/>
      <c r="H398" s="106" t="n"/>
      <c r="I398" s="106" t="n"/>
      <c r="J398" s="129" t="n"/>
    </row>
    <row r="399">
      <c r="B399" s="130" t="n"/>
      <c r="C399" s="129" t="n"/>
      <c r="D399" s="129" t="n"/>
      <c r="E399" s="129" t="n"/>
      <c r="F399" s="174" t="n"/>
      <c r="G399" s="145" t="n"/>
      <c r="H399" s="106" t="n"/>
      <c r="I399" s="106" t="n"/>
      <c r="J399" s="129" t="n"/>
    </row>
    <row r="400">
      <c r="B400" s="130" t="n"/>
      <c r="C400" s="129" t="n"/>
      <c r="D400" s="129" t="n"/>
      <c r="E400" s="129" t="n"/>
      <c r="F400" s="174" t="n"/>
      <c r="G400" s="145" t="n"/>
      <c r="H400" s="106" t="n"/>
      <c r="I400" s="106" t="n"/>
      <c r="J400" s="129" t="n"/>
    </row>
    <row r="401">
      <c r="B401" s="130" t="n"/>
      <c r="C401" s="129" t="n"/>
      <c r="D401" s="129" t="n"/>
      <c r="E401" s="129" t="n"/>
      <c r="F401" s="174" t="n"/>
      <c r="G401" s="145" t="n"/>
      <c r="H401" s="106" t="n"/>
      <c r="I401" s="106" t="n"/>
      <c r="J401" s="129" t="n"/>
    </row>
    <row r="402">
      <c r="B402" s="130" t="n"/>
      <c r="C402" s="129" t="n"/>
      <c r="D402" s="129" t="n"/>
      <c r="E402" s="129" t="n"/>
      <c r="F402" s="174" t="n"/>
      <c r="G402" s="145" t="n"/>
      <c r="H402" s="106" t="n"/>
      <c r="I402" s="106" t="n"/>
      <c r="J402" s="129" t="n"/>
    </row>
    <row r="403">
      <c r="B403" s="130" t="n"/>
      <c r="C403" s="129" t="n"/>
      <c r="D403" s="129" t="n"/>
      <c r="E403" s="129" t="n"/>
      <c r="F403" s="174" t="n"/>
      <c r="G403" s="145" t="n"/>
      <c r="H403" s="106" t="n"/>
      <c r="I403" s="106" t="n"/>
      <c r="J403" s="129" t="n"/>
    </row>
    <row r="404">
      <c r="B404" s="130" t="n"/>
      <c r="C404" s="129" t="n"/>
      <c r="D404" s="129" t="n"/>
      <c r="E404" s="129" t="n"/>
      <c r="F404" s="174" t="n"/>
      <c r="G404" s="145" t="n"/>
      <c r="H404" s="106" t="n"/>
      <c r="I404" s="106" t="n"/>
      <c r="J404" s="129" t="n"/>
    </row>
    <row r="405">
      <c r="B405" s="130" t="n"/>
      <c r="C405" s="129" t="n"/>
      <c r="D405" s="129" t="n"/>
      <c r="E405" s="129" t="n"/>
      <c r="F405" s="174" t="n"/>
      <c r="G405" s="145" t="n"/>
      <c r="H405" s="106" t="n"/>
      <c r="I405" s="106" t="n"/>
      <c r="J405" s="129" t="n"/>
    </row>
    <row r="406">
      <c r="B406" s="130" t="n"/>
      <c r="C406" s="129" t="n"/>
      <c r="D406" s="129" t="n"/>
      <c r="E406" s="129" t="n"/>
      <c r="F406" s="174" t="n"/>
      <c r="G406" s="145" t="n"/>
      <c r="H406" s="106" t="n"/>
      <c r="I406" s="106" t="n"/>
      <c r="J406" s="129" t="n"/>
    </row>
    <row r="407">
      <c r="B407" s="130" t="n"/>
      <c r="C407" s="129" t="n"/>
      <c r="D407" s="129" t="n"/>
      <c r="E407" s="129" t="n"/>
      <c r="F407" s="174" t="n"/>
      <c r="G407" s="145" t="n"/>
      <c r="H407" s="106" t="n"/>
      <c r="I407" s="106" t="n"/>
      <c r="J407" s="129" t="n"/>
    </row>
    <row r="408">
      <c r="B408" s="130" t="n"/>
      <c r="C408" s="129" t="n"/>
      <c r="D408" s="129" t="n"/>
      <c r="E408" s="129" t="n"/>
      <c r="F408" s="174" t="n"/>
      <c r="G408" s="145" t="n"/>
      <c r="H408" s="106" t="n"/>
      <c r="I408" s="106" t="n"/>
      <c r="J408" s="129" t="n"/>
    </row>
    <row r="409">
      <c r="B409" s="130" t="n"/>
      <c r="C409" s="129" t="n"/>
      <c r="D409" s="129" t="n"/>
      <c r="E409" s="129" t="n"/>
      <c r="F409" s="174" t="n"/>
      <c r="G409" s="145" t="n"/>
      <c r="H409" s="106" t="n"/>
      <c r="I409" s="106" t="n"/>
      <c r="J409" s="129" t="n"/>
    </row>
  </sheetData>
  <mergeCells count="15">
    <mergeCell ref="B6:C6"/>
    <mergeCell ref="E6:F6"/>
    <mergeCell ref="I6:J6"/>
    <mergeCell ref="B7:C7"/>
    <mergeCell ref="G7:H7"/>
    <mergeCell ref="E7:F7"/>
    <mergeCell ref="B5:C5"/>
    <mergeCell ref="I7:J7"/>
    <mergeCell ref="L5:N5"/>
    <mergeCell ref="G5:H5"/>
    <mergeCell ref="E5:F5"/>
    <mergeCell ref="I5:J5"/>
    <mergeCell ref="G6:H6"/>
    <mergeCell ref="L6:N6"/>
    <mergeCell ref="L7:N7"/>
  </mergeCells>
  <conditionalFormatting sqref="B7:N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0:H409">
    <cfRule type="colorScale" priority="7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B10:J409">
    <cfRule type="expression" priority="8" dxfId="16">
      <formula>AND($B10&lt;&gt;"",MOD(ROW(),2)=0)</formula>
    </cfRule>
  </conditionalFormatting>
  <conditionalFormatting sqref="L10:L59">
    <cfRule type="expression" priority="9" dxfId="22">
      <formula>$P10="Realizado"</formula>
    </cfRule>
  </conditionalFormatting>
  <conditionalFormatting sqref="P10:P59">
    <cfRule type="expression" priority="10" dxfId="23">
      <formula>$P10="Agendado"</formula>
    </cfRule>
  </conditionalFormatting>
  <dataValidations count="10">
    <dataValidation sqref="B10:B4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D10:D409" showDropDown="0" showInputMessage="0" showErrorMessage="1" allowBlank="1" errorTitle="Valor fora da lista" error="Escolha um item da lista (as listas ficam na aba Config)." type="list" errorStyle="stop">
      <formula1>lst_CatLazer</formula1>
    </dataValidation>
    <dataValidation sqref="F10:F409" showDropDown="0" showInputMessage="0" showErrorMessage="1" allowBlank="1" errorTitle="Valor inválido" error="Use um número entre 0 e 72." type="decimal" operator="between">
      <formula1>0</formula1>
      <formula2>72</formula2>
    </dataValidation>
    <dataValidation sqref="G10:G409" showDropDown="0" showInputMessage="0" showErrorMessage="1" allowBlank="1" errorTitle="Valor inválido" error="Use um número entre 0 e 1000000." type="decimal" operator="between">
      <formula1>0</formula1>
      <formula2>1000000</formula2>
    </dataValidation>
    <dataValidation sqref="H10:H409" showDropDown="0" showInputMessage="1" showErrorMessage="1" allowBlank="1" errorTitle="Valor inválido" error="Use um número entre 1 e 5." promptTitle="" prompt="Quanto isso te recarregou? 1 = nada · 5 = muito" type="whole" operator="between">
      <formula1>1</formula1>
      <formula2>5</formula2>
    </dataValidation>
    <dataValidation sqref="I10:I409" showDropDown="0" showInputMessage="0" showErrorMessage="1" allowBlank="1" errorTitle="Valor fora da lista" error="Escolha um item da lista (as listas ficam na aba Config)." type="list" errorStyle="stop">
      <formula1>lst_SimNao</formula1>
    </dataValidation>
    <dataValidation sqref="M10:M59" showDropDown="0" showInputMessage="0" showErrorMessage="1" allowBlank="1" errorTitle="Valor fora da lista" error="Escolha um item da lista (as listas ficam na aba Config)." type="list" errorStyle="stop">
      <formula1>lst_CatLazer</formula1>
    </dataValidation>
    <dataValidation sqref="O10:O5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P10:P59" showDropDown="0" showInputMessage="0" showErrorMessage="1" allowBlank="1" errorTitle="Valor fora da lista" error="Escolha um item da lista (as listas ficam na aba Config)." type="list" errorStyle="stop">
      <formula1>lst_StatusSonho</formula1>
    </dataValidation>
    <dataValidation sqref="Q10:Q59" showDropDown="0" showInputMessage="0" showErrorMessage="1" allowBlank="1" errorTitle="Valor fora da lista" error="Escolha um item da lista (as listas ficam na aba Config)." type="list" errorStyle="stop">
      <formula1>lst_Prioridade</formula1>
    </dataValidation>
  </dataValidations>
  <hyperlinks>
    <hyperlink ref="R1" location="'Dashboard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A100"/>
    <outlinePr summaryBelow="1" summaryRight="1"/>
    <pageSetUpPr/>
  </sheetPr>
  <dimension ref="A1:O101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8" customWidth="1" min="3" max="3"/>
    <col width="14" customWidth="1" min="4" max="4"/>
    <col width="13" customWidth="1" min="5" max="5"/>
    <col width="13" customWidth="1" min="6" max="6"/>
    <col width="12" customWidth="1" min="7" max="7"/>
    <col width="17" customWidth="1" min="8" max="8"/>
    <col width="22" customWidth="1" min="9" max="9"/>
    <col width="14" customWidth="1" min="10" max="10"/>
    <col width="26" customWidth="1" min="11" max="11"/>
    <col width="28" customWidth="1" min="12" max="12"/>
    <col hidden="1" width="13" customWidth="1" min="14" max="14"/>
    <col hidden="1" width="13" customWidth="1" min="15" max="15"/>
  </cols>
  <sheetData>
    <row r="1" ht="34" customHeight="1">
      <c r="A1" s="218" t="n"/>
      <c r="B1" s="97" t="inlineStr">
        <is>
          <t>Casa, documentos &amp; rotinas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98" t="inlineStr">
        <is>
          <t>◀ Dashboard</t>
        </is>
      </c>
    </row>
    <row r="2" ht="18" customHeight="1">
      <c r="A2" s="218" t="n"/>
      <c r="B2" s="99" t="inlineStr">
        <is>
          <t>Vencimentos de documentos, manutenção recorrente da casa/vida digital e assinaturas. Tudo avisa antes de vencer.</t>
        </is>
      </c>
    </row>
    <row r="3" ht="16" customHeight="1">
      <c r="A3" s="218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19" t="inlineStr">
        <is>
          <t>DOCUMENTOS VENCIDOS</t>
        </is>
      </c>
      <c r="C5" s="220" t="inlineStr">
        <is>
          <t>DOCUMENTOS A RENOVAR</t>
        </is>
      </c>
      <c r="D5" s="221" t="n"/>
      <c r="E5" s="220" t="inlineStr">
        <is>
          <t>ROTINAS ATRASADAS</t>
        </is>
      </c>
      <c r="F5" s="221" t="n"/>
      <c r="G5" s="220" t="inlineStr">
        <is>
          <t>ROTINAS NOS PRÓXIMOS 7 DIAS</t>
        </is>
      </c>
      <c r="H5" s="221" t="n"/>
      <c r="I5" s="220" t="inlineStr">
        <is>
          <t>ASSINATURAS POR MÊS</t>
        </is>
      </c>
      <c r="J5" s="221" t="n"/>
      <c r="K5" s="220" t="inlineStr">
        <is>
          <t>ECONOMIA POSSÍVEL</t>
        </is>
      </c>
      <c r="L5" s="221" t="n"/>
    </row>
    <row r="6" ht="28" customHeight="1">
      <c r="B6" s="122">
        <f>COUNTIF($H$11:$H$35,"✖*")</f>
        <v>0</v>
      </c>
      <c r="C6" s="123">
        <f>COUNTIF($H$11:$H$35,"▲*")</f>
        <v>0</v>
      </c>
      <c r="D6" s="32" t="n"/>
      <c r="E6" s="123">
        <f>COUNTIF($H$39:$H$73,"✖*")</f>
        <v>0</v>
      </c>
      <c r="F6" s="32" t="n"/>
      <c r="G6" s="123">
        <f>COUNTIF($H$39:$H$73,"▲*")</f>
        <v>0</v>
      </c>
      <c r="H6" s="32" t="n"/>
      <c r="I6" s="143">
        <f>SUM($F$77:$F$101)</f>
        <v>0</v>
      </c>
      <c r="J6" s="32" t="n"/>
      <c r="K6" s="143">
        <f>SUMIF($J$77:$J$101,"Baixo",$F$77:$F$101)</f>
        <v>0</v>
      </c>
      <c r="L6" s="32" t="n"/>
    </row>
    <row r="7" ht="25" customHeight="1">
      <c r="B7" s="126" t="str">
        <f>IF(B6&gt;0,"✖ regularize","✔ nenhum")</f>
        <v>✔ nenhum</v>
      </c>
      <c r="C7" s="127" t="str">
        <f>"vencem em até "&amp;AlertaDocs&amp;" dias"</f>
        <v>vencem em até 90 dias</v>
      </c>
      <c r="D7" s="38" t="n"/>
      <c r="E7" s="127" t="str">
        <f>IF(E6&gt;0,"✖ veja a lista abaixo","✔ tudo em dia")</f>
        <v>✔ tudo em dia</v>
      </c>
      <c r="F7" s="38" t="n"/>
      <c r="G7" s="127" t="str">
        <f>""</f>
        <v/>
      </c>
      <c r="H7" s="38" t="n"/>
      <c r="I7" s="127" t="str">
        <f>COUNTIF($B$77:$B$101,"?*")&amp;" serviços · € "&amp;FIXED(SUM($G$77:$G$101),0)&amp;" por ano"</f>
        <v>0 serviços · € 0 por ano</v>
      </c>
      <c r="J7" s="38" t="n"/>
      <c r="K7" s="127" t="str">
        <f>IF(K6&gt;0,"▲ por mês em serviços de pouco uso","✔ nada sobrando")</f>
        <v>✔ nada sobrando</v>
      </c>
      <c r="L7" s="38" t="n"/>
    </row>
    <row r="9" ht="22" customHeight="1">
      <c r="B9" s="222" t="inlineStr">
        <is>
          <t>DOCUMENTOS &amp; BUROCRACIA</t>
        </is>
      </c>
      <c r="C9" s="223" t="n"/>
      <c r="D9" s="223" t="n"/>
      <c r="E9" s="223" t="n"/>
      <c r="F9" s="223" t="n"/>
      <c r="G9" s="223" t="n"/>
      <c r="H9" s="223" t="n"/>
      <c r="I9" s="223" t="n"/>
      <c r="J9" s="223" t="n"/>
      <c r="K9" s="223" t="n"/>
      <c r="L9" s="223" t="n"/>
    </row>
    <row r="10" ht="30" customHeight="1">
      <c r="B10" s="103" t="inlineStr">
        <is>
          <t>Documento</t>
        </is>
      </c>
      <c r="C10" s="103" t="inlineStr">
        <is>
          <t>Titular</t>
        </is>
      </c>
      <c r="D10" s="103" t="inlineStr">
        <is>
          <t>Número / ref.</t>
        </is>
      </c>
      <c r="E10" s="103" t="inlineStr">
        <is>
          <t>Emissão</t>
        </is>
      </c>
      <c r="F10" s="103" t="inlineStr">
        <is>
          <t>Validade</t>
        </is>
      </c>
      <c r="G10" s="104" t="inlineStr">
        <is>
          <t>Dias p/ vencer</t>
        </is>
      </c>
      <c r="H10" s="104" t="inlineStr">
        <is>
          <t>Status</t>
        </is>
      </c>
      <c r="I10" s="103" t="inlineStr">
        <is>
          <t>Próxima ação</t>
        </is>
      </c>
      <c r="J10" s="103" t="inlineStr">
        <is>
          <t>Notas</t>
        </is>
      </c>
      <c r="L10" s="112" t="n"/>
    </row>
    <row r="11">
      <c r="B11" s="129" t="n"/>
      <c r="C11" s="129" t="n"/>
      <c r="D11" s="129" t="n"/>
      <c r="E11" s="130" t="n"/>
      <c r="F11" s="130" t="n"/>
      <c r="G11" s="134" t="str">
        <f>IF(OR(B11="",F11=""),"",F11-Hoje)</f>
        <v/>
      </c>
      <c r="H11" s="138" t="str">
        <f>IF(B11="","",IF(F11="","○ Sem validade",IF(G11&lt;0,"✖ Vencido",IF(G11&lt;=AlertaDocs,"▲ Renovar","✔ Válido"))))</f>
        <v/>
      </c>
      <c r="I11" s="135" t="n"/>
      <c r="J11" s="135" t="n"/>
      <c r="K11" s="114" t="n"/>
      <c r="L11" s="115" t="n"/>
      <c r="N11" t="str">
        <f>IF(AND(B11&lt;&gt;"",F11&lt;&gt;""),IF(G11&lt;=AlertaDocs,G11+ROW()/1000000,""),"")</f>
        <v/>
      </c>
      <c r="O11" t="str">
        <f>IF(N11="","","Documento")</f>
        <v/>
      </c>
    </row>
    <row r="12">
      <c r="B12" s="129" t="n"/>
      <c r="C12" s="129" t="n"/>
      <c r="D12" s="129" t="n"/>
      <c r="E12" s="130" t="n"/>
      <c r="F12" s="130" t="n"/>
      <c r="G12" s="134" t="str">
        <f>IF(OR(B12="",F12=""),"",F12-Hoje)</f>
        <v/>
      </c>
      <c r="H12" s="138" t="str">
        <f>IF(B12="","",IF(F12="","○ Sem validade",IF(G12&lt;0,"✖ Vencido",IF(G12&lt;=AlertaDocs,"▲ Renovar","✔ Válido"))))</f>
        <v/>
      </c>
      <c r="I12" s="135" t="n"/>
      <c r="J12" s="135" t="n"/>
      <c r="K12" s="114" t="n"/>
      <c r="L12" s="115" t="n"/>
      <c r="N12" t="str">
        <f>IF(AND(B12&lt;&gt;"",F12&lt;&gt;""),IF(G12&lt;=AlertaDocs,G12+ROW()/1000000,""),"")</f>
        <v/>
      </c>
      <c r="O12" t="str">
        <f>IF(N12="","","Documento")</f>
        <v/>
      </c>
    </row>
    <row r="13">
      <c r="B13" s="129" t="n"/>
      <c r="C13" s="129" t="n"/>
      <c r="D13" s="129" t="n"/>
      <c r="E13" s="130" t="n"/>
      <c r="F13" s="130" t="n"/>
      <c r="G13" s="134" t="str">
        <f>IF(OR(B13="",F13=""),"",F13-Hoje)</f>
        <v/>
      </c>
      <c r="H13" s="138" t="str">
        <f>IF(B13="","",IF(F13="","○ Sem validade",IF(G13&lt;0,"✖ Vencido",IF(G13&lt;=AlertaDocs,"▲ Renovar","✔ Válido"))))</f>
        <v/>
      </c>
      <c r="I13" s="135" t="n"/>
      <c r="J13" s="135" t="n"/>
      <c r="K13" s="114" t="n"/>
      <c r="L13" s="115" t="n"/>
      <c r="N13" t="str">
        <f>IF(AND(B13&lt;&gt;"",F13&lt;&gt;""),IF(G13&lt;=AlertaDocs,G13+ROW()/1000000,""),"")</f>
        <v/>
      </c>
      <c r="O13" t="str">
        <f>IF(N13="","","Documento")</f>
        <v/>
      </c>
    </row>
    <row r="14">
      <c r="B14" s="129" t="n"/>
      <c r="C14" s="129" t="n"/>
      <c r="D14" s="129" t="n"/>
      <c r="E14" s="130" t="n"/>
      <c r="F14" s="130" t="n"/>
      <c r="G14" s="134" t="str">
        <f>IF(OR(B14="",F14=""),"",F14-Hoje)</f>
        <v/>
      </c>
      <c r="H14" s="138" t="str">
        <f>IF(B14="","",IF(F14="","○ Sem validade",IF(G14&lt;0,"✖ Vencido",IF(G14&lt;=AlertaDocs,"▲ Renovar","✔ Válido"))))</f>
        <v/>
      </c>
      <c r="I14" s="135" t="n"/>
      <c r="J14" s="135" t="n"/>
      <c r="K14" s="114" t="n"/>
      <c r="L14" s="115" t="n"/>
      <c r="N14" t="str">
        <f>IF(AND(B14&lt;&gt;"",F14&lt;&gt;""),IF(G14&lt;=AlertaDocs,G14+ROW()/1000000,""),"")</f>
        <v/>
      </c>
      <c r="O14" t="str">
        <f>IF(N14="","","Documento")</f>
        <v/>
      </c>
    </row>
    <row r="15">
      <c r="B15" s="129" t="n"/>
      <c r="C15" s="129" t="n"/>
      <c r="D15" s="129" t="n"/>
      <c r="E15" s="130" t="n"/>
      <c r="F15" s="130" t="n"/>
      <c r="G15" s="134" t="str">
        <f>IF(OR(B15="",F15=""),"",F15-Hoje)</f>
        <v/>
      </c>
      <c r="H15" s="138" t="str">
        <f>IF(B15="","",IF(F15="","○ Sem validade",IF(G15&lt;0,"✖ Vencido",IF(G15&lt;=AlertaDocs,"▲ Renovar","✔ Válido"))))</f>
        <v/>
      </c>
      <c r="I15" s="135" t="n"/>
      <c r="J15" s="135" t="n"/>
      <c r="K15" s="114" t="n"/>
      <c r="L15" s="115" t="n"/>
      <c r="N15" t="str">
        <f>IF(AND(B15&lt;&gt;"",F15&lt;&gt;""),IF(G15&lt;=AlertaDocs,G15+ROW()/1000000,""),"")</f>
        <v/>
      </c>
      <c r="O15" t="str">
        <f>IF(N15="","","Documento")</f>
        <v/>
      </c>
    </row>
    <row r="16">
      <c r="B16" s="129" t="n"/>
      <c r="C16" s="129" t="n"/>
      <c r="D16" s="129" t="n"/>
      <c r="E16" s="130" t="n"/>
      <c r="F16" s="130" t="n"/>
      <c r="G16" s="134" t="str">
        <f>IF(OR(B16="",F16=""),"",F16-Hoje)</f>
        <v/>
      </c>
      <c r="H16" s="138" t="str">
        <f>IF(B16="","",IF(F16="","○ Sem validade",IF(G16&lt;0,"✖ Vencido",IF(G16&lt;=AlertaDocs,"▲ Renovar","✔ Válido"))))</f>
        <v/>
      </c>
      <c r="I16" s="135" t="n"/>
      <c r="J16" s="135" t="n"/>
      <c r="K16" s="114" t="n"/>
      <c r="L16" s="115" t="n"/>
      <c r="N16" t="str">
        <f>IF(AND(B16&lt;&gt;"",F16&lt;&gt;""),IF(G16&lt;=AlertaDocs,G16+ROW()/1000000,""),"")</f>
        <v/>
      </c>
      <c r="O16" t="str">
        <f>IF(N16="","","Documento")</f>
        <v/>
      </c>
    </row>
    <row r="17">
      <c r="B17" s="129" t="n"/>
      <c r="C17" s="129" t="n"/>
      <c r="D17" s="129" t="n"/>
      <c r="E17" s="130" t="n"/>
      <c r="F17" s="130" t="n"/>
      <c r="G17" s="134" t="str">
        <f>IF(OR(B17="",F17=""),"",F17-Hoje)</f>
        <v/>
      </c>
      <c r="H17" s="138" t="str">
        <f>IF(B17="","",IF(F17="","○ Sem validade",IF(G17&lt;0,"✖ Vencido",IF(G17&lt;=AlertaDocs,"▲ Renovar","✔ Válido"))))</f>
        <v/>
      </c>
      <c r="I17" s="135" t="n"/>
      <c r="J17" s="135" t="n"/>
      <c r="K17" s="114" t="n"/>
      <c r="L17" s="115" t="n"/>
      <c r="N17" t="str">
        <f>IF(AND(B17&lt;&gt;"",F17&lt;&gt;""),IF(G17&lt;=AlertaDocs,G17+ROW()/1000000,""),"")</f>
        <v/>
      </c>
      <c r="O17" t="str">
        <f>IF(N17="","","Documento")</f>
        <v/>
      </c>
    </row>
    <row r="18">
      <c r="B18" s="129" t="n"/>
      <c r="C18" s="129" t="n"/>
      <c r="D18" s="129" t="n"/>
      <c r="E18" s="130" t="n"/>
      <c r="F18" s="130" t="n"/>
      <c r="G18" s="134" t="str">
        <f>IF(OR(B18="",F18=""),"",F18-Hoje)</f>
        <v/>
      </c>
      <c r="H18" s="138" t="str">
        <f>IF(B18="","",IF(F18="","○ Sem validade",IF(G18&lt;0,"✖ Vencido",IF(G18&lt;=AlertaDocs,"▲ Renovar","✔ Válido"))))</f>
        <v/>
      </c>
      <c r="I18" s="135" t="n"/>
      <c r="J18" s="135" t="n"/>
      <c r="K18" s="114" t="n"/>
      <c r="L18" s="115" t="n"/>
      <c r="N18" t="str">
        <f>IF(AND(B18&lt;&gt;"",F18&lt;&gt;""),IF(G18&lt;=AlertaDocs,G18+ROW()/1000000,""),"")</f>
        <v/>
      </c>
      <c r="O18" t="str">
        <f>IF(N18="","","Documento")</f>
        <v/>
      </c>
    </row>
    <row r="19">
      <c r="B19" s="129" t="n"/>
      <c r="C19" s="129" t="n"/>
      <c r="D19" s="129" t="n"/>
      <c r="E19" s="130" t="n"/>
      <c r="F19" s="130" t="n"/>
      <c r="G19" s="134" t="str">
        <f>IF(OR(B19="",F19=""),"",F19-Hoje)</f>
        <v/>
      </c>
      <c r="H19" s="138" t="str">
        <f>IF(B19="","",IF(F19="","○ Sem validade",IF(G19&lt;0,"✖ Vencido",IF(G19&lt;=AlertaDocs,"▲ Renovar","✔ Válido"))))</f>
        <v/>
      </c>
      <c r="I19" s="135" t="n"/>
      <c r="J19" s="135" t="n"/>
      <c r="K19" s="114" t="n"/>
      <c r="L19" s="115" t="n"/>
      <c r="N19" t="str">
        <f>IF(AND(B19&lt;&gt;"",F19&lt;&gt;""),IF(G19&lt;=AlertaDocs,G19+ROW()/1000000,""),"")</f>
        <v/>
      </c>
      <c r="O19" t="str">
        <f>IF(N19="","","Documento")</f>
        <v/>
      </c>
    </row>
    <row r="20">
      <c r="B20" s="129" t="n"/>
      <c r="C20" s="129" t="n"/>
      <c r="D20" s="129" t="n"/>
      <c r="E20" s="130" t="n"/>
      <c r="F20" s="130" t="n"/>
      <c r="G20" s="134" t="str">
        <f>IF(OR(B20="",F20=""),"",F20-Hoje)</f>
        <v/>
      </c>
      <c r="H20" s="138" t="str">
        <f>IF(B20="","",IF(F20="","○ Sem validade",IF(G20&lt;0,"✖ Vencido",IF(G20&lt;=AlertaDocs,"▲ Renovar","✔ Válido"))))</f>
        <v/>
      </c>
      <c r="I20" s="135" t="n"/>
      <c r="J20" s="135" t="n"/>
      <c r="K20" s="114" t="n"/>
      <c r="L20" s="115" t="n"/>
      <c r="N20" t="str">
        <f>IF(AND(B20&lt;&gt;"",F20&lt;&gt;""),IF(G20&lt;=AlertaDocs,G20+ROW()/1000000,""),"")</f>
        <v/>
      </c>
      <c r="O20" t="str">
        <f>IF(N20="","","Documento")</f>
        <v/>
      </c>
    </row>
    <row r="21">
      <c r="B21" s="129" t="n"/>
      <c r="C21" s="129" t="n"/>
      <c r="D21" s="129" t="n"/>
      <c r="E21" s="130" t="n"/>
      <c r="F21" s="130" t="n"/>
      <c r="G21" s="134" t="str">
        <f>IF(OR(B21="",F21=""),"",F21-Hoje)</f>
        <v/>
      </c>
      <c r="H21" s="138" t="str">
        <f>IF(B21="","",IF(F21="","○ Sem validade",IF(G21&lt;0,"✖ Vencido",IF(G21&lt;=AlertaDocs,"▲ Renovar","✔ Válido"))))</f>
        <v/>
      </c>
      <c r="I21" s="135" t="n"/>
      <c r="J21" s="135" t="n"/>
      <c r="K21" s="114" t="n"/>
      <c r="L21" s="115" t="n"/>
      <c r="N21" t="str">
        <f>IF(AND(B21&lt;&gt;"",F21&lt;&gt;""),IF(G21&lt;=AlertaDocs,G21+ROW()/1000000,""),"")</f>
        <v/>
      </c>
      <c r="O21" t="str">
        <f>IF(N21="","","Documento")</f>
        <v/>
      </c>
    </row>
    <row r="22">
      <c r="B22" s="129" t="n"/>
      <c r="C22" s="129" t="n"/>
      <c r="D22" s="129" t="n"/>
      <c r="E22" s="130" t="n"/>
      <c r="F22" s="130" t="n"/>
      <c r="G22" s="134" t="str">
        <f>IF(OR(B22="",F22=""),"",F22-Hoje)</f>
        <v/>
      </c>
      <c r="H22" s="138" t="str">
        <f>IF(B22="","",IF(F22="","○ Sem validade",IF(G22&lt;0,"✖ Vencido",IF(G22&lt;=AlertaDocs,"▲ Renovar","✔ Válido"))))</f>
        <v/>
      </c>
      <c r="I22" s="135" t="n"/>
      <c r="J22" s="135" t="n"/>
      <c r="K22" s="114" t="n"/>
      <c r="L22" s="115" t="n"/>
      <c r="N22" t="str">
        <f>IF(AND(B22&lt;&gt;"",F22&lt;&gt;""),IF(G22&lt;=AlertaDocs,G22+ROW()/1000000,""),"")</f>
        <v/>
      </c>
      <c r="O22" t="str">
        <f>IF(N22="","","Documento")</f>
        <v/>
      </c>
    </row>
    <row r="23">
      <c r="B23" s="129" t="n"/>
      <c r="C23" s="129" t="n"/>
      <c r="D23" s="129" t="n"/>
      <c r="E23" s="130" t="n"/>
      <c r="F23" s="130" t="n"/>
      <c r="G23" s="134" t="str">
        <f>IF(OR(B23="",F23=""),"",F23-Hoje)</f>
        <v/>
      </c>
      <c r="H23" s="138" t="str">
        <f>IF(B23="","",IF(F23="","○ Sem validade",IF(G23&lt;0,"✖ Vencido",IF(G23&lt;=AlertaDocs,"▲ Renovar","✔ Válido"))))</f>
        <v/>
      </c>
      <c r="I23" s="135" t="n"/>
      <c r="J23" s="135" t="n"/>
      <c r="K23" s="114" t="n"/>
      <c r="L23" s="115" t="n"/>
      <c r="N23" t="str">
        <f>IF(AND(B23&lt;&gt;"",F23&lt;&gt;""),IF(G23&lt;=AlertaDocs,G23+ROW()/1000000,""),"")</f>
        <v/>
      </c>
      <c r="O23" t="str">
        <f>IF(N23="","","Documento")</f>
        <v/>
      </c>
    </row>
    <row r="24">
      <c r="B24" s="129" t="n"/>
      <c r="C24" s="129" t="n"/>
      <c r="D24" s="129" t="n"/>
      <c r="E24" s="130" t="n"/>
      <c r="F24" s="130" t="n"/>
      <c r="G24" s="134" t="str">
        <f>IF(OR(B24="",F24=""),"",F24-Hoje)</f>
        <v/>
      </c>
      <c r="H24" s="138" t="str">
        <f>IF(B24="","",IF(F24="","○ Sem validade",IF(G24&lt;0,"✖ Vencido",IF(G24&lt;=AlertaDocs,"▲ Renovar","✔ Válido"))))</f>
        <v/>
      </c>
      <c r="I24" s="135" t="n"/>
      <c r="J24" s="135" t="n"/>
      <c r="K24" s="114" t="n"/>
      <c r="L24" s="115" t="n"/>
      <c r="N24" t="str">
        <f>IF(AND(B24&lt;&gt;"",F24&lt;&gt;""),IF(G24&lt;=AlertaDocs,G24+ROW()/1000000,""),"")</f>
        <v/>
      </c>
      <c r="O24" t="str">
        <f>IF(N24="","","Documento")</f>
        <v/>
      </c>
    </row>
    <row r="25">
      <c r="B25" s="129" t="n"/>
      <c r="C25" s="129" t="n"/>
      <c r="D25" s="129" t="n"/>
      <c r="E25" s="130" t="n"/>
      <c r="F25" s="130" t="n"/>
      <c r="G25" s="134" t="str">
        <f>IF(OR(B25="",F25=""),"",F25-Hoje)</f>
        <v/>
      </c>
      <c r="H25" s="138" t="str">
        <f>IF(B25="","",IF(F25="","○ Sem validade",IF(G25&lt;0,"✖ Vencido",IF(G25&lt;=AlertaDocs,"▲ Renovar","✔ Válido"))))</f>
        <v/>
      </c>
      <c r="I25" s="135" t="n"/>
      <c r="J25" s="135" t="n"/>
      <c r="K25" s="114" t="n"/>
      <c r="L25" s="115" t="n"/>
      <c r="N25" t="str">
        <f>IF(AND(B25&lt;&gt;"",F25&lt;&gt;""),IF(G25&lt;=AlertaDocs,G25+ROW()/1000000,""),"")</f>
        <v/>
      </c>
      <c r="O25" t="str">
        <f>IF(N25="","","Documento")</f>
        <v/>
      </c>
    </row>
    <row r="26">
      <c r="B26" s="129" t="n"/>
      <c r="C26" s="129" t="n"/>
      <c r="D26" s="129" t="n"/>
      <c r="E26" s="130" t="n"/>
      <c r="F26" s="130" t="n"/>
      <c r="G26" s="134" t="str">
        <f>IF(OR(B26="",F26=""),"",F26-Hoje)</f>
        <v/>
      </c>
      <c r="H26" s="138" t="str">
        <f>IF(B26="","",IF(F26="","○ Sem validade",IF(G26&lt;0,"✖ Vencido",IF(G26&lt;=AlertaDocs,"▲ Renovar","✔ Válido"))))</f>
        <v/>
      </c>
      <c r="I26" s="135" t="n"/>
      <c r="J26" s="135" t="n"/>
      <c r="K26" s="114" t="n"/>
      <c r="L26" s="115" t="n"/>
      <c r="N26" t="str">
        <f>IF(AND(B26&lt;&gt;"",F26&lt;&gt;""),IF(G26&lt;=AlertaDocs,G26+ROW()/1000000,""),"")</f>
        <v/>
      </c>
      <c r="O26" t="str">
        <f>IF(N26="","","Documento")</f>
        <v/>
      </c>
    </row>
    <row r="27">
      <c r="B27" s="129" t="n"/>
      <c r="C27" s="129" t="n"/>
      <c r="D27" s="129" t="n"/>
      <c r="E27" s="130" t="n"/>
      <c r="F27" s="130" t="n"/>
      <c r="G27" s="134" t="str">
        <f>IF(OR(B27="",F27=""),"",F27-Hoje)</f>
        <v/>
      </c>
      <c r="H27" s="138" t="str">
        <f>IF(B27="","",IF(F27="","○ Sem validade",IF(G27&lt;0,"✖ Vencido",IF(G27&lt;=AlertaDocs,"▲ Renovar","✔ Válido"))))</f>
        <v/>
      </c>
      <c r="I27" s="135" t="n"/>
      <c r="J27" s="135" t="n"/>
      <c r="K27" s="114" t="n"/>
      <c r="L27" s="115" t="n"/>
      <c r="N27" t="str">
        <f>IF(AND(B27&lt;&gt;"",F27&lt;&gt;""),IF(G27&lt;=AlertaDocs,G27+ROW()/1000000,""),"")</f>
        <v/>
      </c>
      <c r="O27" t="str">
        <f>IF(N27="","","Documento")</f>
        <v/>
      </c>
    </row>
    <row r="28">
      <c r="B28" s="129" t="n"/>
      <c r="C28" s="129" t="n"/>
      <c r="D28" s="129" t="n"/>
      <c r="E28" s="130" t="n"/>
      <c r="F28" s="130" t="n"/>
      <c r="G28" s="134" t="str">
        <f>IF(OR(B28="",F28=""),"",F28-Hoje)</f>
        <v/>
      </c>
      <c r="H28" s="138" t="str">
        <f>IF(B28="","",IF(F28="","○ Sem validade",IF(G28&lt;0,"✖ Vencido",IF(G28&lt;=AlertaDocs,"▲ Renovar","✔ Válido"))))</f>
        <v/>
      </c>
      <c r="I28" s="135" t="n"/>
      <c r="J28" s="135" t="n"/>
      <c r="K28" s="114" t="n"/>
      <c r="L28" s="115" t="n"/>
      <c r="N28" t="str">
        <f>IF(AND(B28&lt;&gt;"",F28&lt;&gt;""),IF(G28&lt;=AlertaDocs,G28+ROW()/1000000,""),"")</f>
        <v/>
      </c>
      <c r="O28" t="str">
        <f>IF(N28="","","Documento")</f>
        <v/>
      </c>
    </row>
    <row r="29">
      <c r="B29" s="129" t="n"/>
      <c r="C29" s="129" t="n"/>
      <c r="D29" s="129" t="n"/>
      <c r="E29" s="130" t="n"/>
      <c r="F29" s="130" t="n"/>
      <c r="G29" s="134" t="str">
        <f>IF(OR(B29="",F29=""),"",F29-Hoje)</f>
        <v/>
      </c>
      <c r="H29" s="138" t="str">
        <f>IF(B29="","",IF(F29="","○ Sem validade",IF(G29&lt;0,"✖ Vencido",IF(G29&lt;=AlertaDocs,"▲ Renovar","✔ Válido"))))</f>
        <v/>
      </c>
      <c r="I29" s="135" t="n"/>
      <c r="J29" s="135" t="n"/>
      <c r="K29" s="114" t="n"/>
      <c r="L29" s="115" t="n"/>
      <c r="N29" t="str">
        <f>IF(AND(B29&lt;&gt;"",F29&lt;&gt;""),IF(G29&lt;=AlertaDocs,G29+ROW()/1000000,""),"")</f>
        <v/>
      </c>
      <c r="O29" t="str">
        <f>IF(N29="","","Documento")</f>
        <v/>
      </c>
    </row>
    <row r="30">
      <c r="B30" s="129" t="n"/>
      <c r="C30" s="129" t="n"/>
      <c r="D30" s="129" t="n"/>
      <c r="E30" s="130" t="n"/>
      <c r="F30" s="130" t="n"/>
      <c r="G30" s="134" t="str">
        <f>IF(OR(B30="",F30=""),"",F30-Hoje)</f>
        <v/>
      </c>
      <c r="H30" s="138" t="str">
        <f>IF(B30="","",IF(F30="","○ Sem validade",IF(G30&lt;0,"✖ Vencido",IF(G30&lt;=AlertaDocs,"▲ Renovar","✔ Válido"))))</f>
        <v/>
      </c>
      <c r="I30" s="135" t="n"/>
      <c r="J30" s="135" t="n"/>
      <c r="K30" s="114" t="n"/>
      <c r="L30" s="115" t="n"/>
      <c r="N30" t="str">
        <f>IF(AND(B30&lt;&gt;"",F30&lt;&gt;""),IF(G30&lt;=AlertaDocs,G30+ROW()/1000000,""),"")</f>
        <v/>
      </c>
      <c r="O30" t="str">
        <f>IF(N30="","","Documento")</f>
        <v/>
      </c>
    </row>
    <row r="31">
      <c r="B31" s="129" t="n"/>
      <c r="C31" s="129" t="n"/>
      <c r="D31" s="129" t="n"/>
      <c r="E31" s="130" t="n"/>
      <c r="F31" s="130" t="n"/>
      <c r="G31" s="134" t="str">
        <f>IF(OR(B31="",F31=""),"",F31-Hoje)</f>
        <v/>
      </c>
      <c r="H31" s="138" t="str">
        <f>IF(B31="","",IF(F31="","○ Sem validade",IF(G31&lt;0,"✖ Vencido",IF(G31&lt;=AlertaDocs,"▲ Renovar","✔ Válido"))))</f>
        <v/>
      </c>
      <c r="I31" s="135" t="n"/>
      <c r="J31" s="135" t="n"/>
      <c r="K31" s="114" t="n"/>
      <c r="L31" s="115" t="n"/>
      <c r="N31" t="str">
        <f>IF(AND(B31&lt;&gt;"",F31&lt;&gt;""),IF(G31&lt;=AlertaDocs,G31+ROW()/1000000,""),"")</f>
        <v/>
      </c>
      <c r="O31" t="str">
        <f>IF(N31="","","Documento")</f>
        <v/>
      </c>
    </row>
    <row r="32">
      <c r="B32" s="129" t="n"/>
      <c r="C32" s="129" t="n"/>
      <c r="D32" s="129" t="n"/>
      <c r="E32" s="130" t="n"/>
      <c r="F32" s="130" t="n"/>
      <c r="G32" s="134" t="str">
        <f>IF(OR(B32="",F32=""),"",F32-Hoje)</f>
        <v/>
      </c>
      <c r="H32" s="138" t="str">
        <f>IF(B32="","",IF(F32="","○ Sem validade",IF(G32&lt;0,"✖ Vencido",IF(G32&lt;=AlertaDocs,"▲ Renovar","✔ Válido"))))</f>
        <v/>
      </c>
      <c r="I32" s="135" t="n"/>
      <c r="J32" s="135" t="n"/>
      <c r="K32" s="114" t="n"/>
      <c r="L32" s="115" t="n"/>
      <c r="N32" t="str">
        <f>IF(AND(B32&lt;&gt;"",F32&lt;&gt;""),IF(G32&lt;=AlertaDocs,G32+ROW()/1000000,""),"")</f>
        <v/>
      </c>
      <c r="O32" t="str">
        <f>IF(N32="","","Documento")</f>
        <v/>
      </c>
    </row>
    <row r="33">
      <c r="B33" s="129" t="n"/>
      <c r="C33" s="129" t="n"/>
      <c r="D33" s="129" t="n"/>
      <c r="E33" s="130" t="n"/>
      <c r="F33" s="130" t="n"/>
      <c r="G33" s="134" t="str">
        <f>IF(OR(B33="",F33=""),"",F33-Hoje)</f>
        <v/>
      </c>
      <c r="H33" s="138" t="str">
        <f>IF(B33="","",IF(F33="","○ Sem validade",IF(G33&lt;0,"✖ Vencido",IF(G33&lt;=AlertaDocs,"▲ Renovar","✔ Válido"))))</f>
        <v/>
      </c>
      <c r="I33" s="135" t="n"/>
      <c r="J33" s="135" t="n"/>
      <c r="K33" s="114" t="n"/>
      <c r="L33" s="115" t="n"/>
      <c r="N33" t="str">
        <f>IF(AND(B33&lt;&gt;"",F33&lt;&gt;""),IF(G33&lt;=AlertaDocs,G33+ROW()/1000000,""),"")</f>
        <v/>
      </c>
      <c r="O33" t="str">
        <f>IF(N33="","","Documento")</f>
        <v/>
      </c>
    </row>
    <row r="34">
      <c r="B34" s="129" t="n"/>
      <c r="C34" s="129" t="n"/>
      <c r="D34" s="129" t="n"/>
      <c r="E34" s="130" t="n"/>
      <c r="F34" s="130" t="n"/>
      <c r="G34" s="134" t="str">
        <f>IF(OR(B34="",F34=""),"",F34-Hoje)</f>
        <v/>
      </c>
      <c r="H34" s="138" t="str">
        <f>IF(B34="","",IF(F34="","○ Sem validade",IF(G34&lt;0,"✖ Vencido",IF(G34&lt;=AlertaDocs,"▲ Renovar","✔ Válido"))))</f>
        <v/>
      </c>
      <c r="I34" s="135" t="n"/>
      <c r="J34" s="135" t="n"/>
      <c r="K34" s="114" t="n"/>
      <c r="L34" s="115" t="n"/>
      <c r="N34" t="str">
        <f>IF(AND(B34&lt;&gt;"",F34&lt;&gt;""),IF(G34&lt;=AlertaDocs,G34+ROW()/1000000,""),"")</f>
        <v/>
      </c>
      <c r="O34" t="str">
        <f>IF(N34="","","Documento")</f>
        <v/>
      </c>
    </row>
    <row r="35">
      <c r="B35" s="129" t="n"/>
      <c r="C35" s="129" t="n"/>
      <c r="D35" s="129" t="n"/>
      <c r="E35" s="130" t="n"/>
      <c r="F35" s="130" t="n"/>
      <c r="G35" s="134" t="str">
        <f>IF(OR(B35="",F35=""),"",F35-Hoje)</f>
        <v/>
      </c>
      <c r="H35" s="138" t="str">
        <f>IF(B35="","",IF(F35="","○ Sem validade",IF(G35&lt;0,"✖ Vencido",IF(G35&lt;=AlertaDocs,"▲ Renovar","✔ Válido"))))</f>
        <v/>
      </c>
      <c r="I35" s="135" t="n"/>
      <c r="J35" s="135" t="n"/>
      <c r="K35" s="114" t="n"/>
      <c r="L35" s="115" t="n"/>
      <c r="N35" t="str">
        <f>IF(AND(B35&lt;&gt;"",F35&lt;&gt;""),IF(G35&lt;=AlertaDocs,G35+ROW()/1000000,""),"")</f>
        <v/>
      </c>
      <c r="O35" t="str">
        <f>IF(N35="","","Documento")</f>
        <v/>
      </c>
    </row>
    <row r="37" ht="22" customHeight="1">
      <c r="B37" s="222" t="inlineStr">
        <is>
          <t>ROTINAS &amp; MANUTENÇÃO RECORRENTE · casa, carro, vida digital, finanças</t>
        </is>
      </c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</row>
    <row r="38" ht="30" customHeight="1">
      <c r="B38" s="103" t="inlineStr">
        <is>
          <t>Rotina</t>
        </is>
      </c>
      <c r="C38" s="103" t="inlineStr">
        <is>
          <t>Categoria</t>
        </is>
      </c>
      <c r="D38" s="103" t="inlineStr">
        <is>
          <t>A cada (dias)</t>
        </is>
      </c>
      <c r="E38" s="103" t="inlineStr">
        <is>
          <t>Última vez</t>
        </is>
      </c>
      <c r="F38" s="104" t="inlineStr">
        <is>
          <t>Próxima</t>
        </is>
      </c>
      <c r="G38" s="104" t="inlineStr">
        <is>
          <t>Dias</t>
        </is>
      </c>
      <c r="H38" s="104" t="inlineStr">
        <is>
          <t>Status</t>
        </is>
      </c>
      <c r="I38" s="103" t="inlineStr">
        <is>
          <t>Responsável</t>
        </is>
      </c>
      <c r="J38" s="103" t="inlineStr">
        <is>
          <t>Duração (min)</t>
        </is>
      </c>
      <c r="K38" s="103" t="inlineStr">
        <is>
          <t>Notas</t>
        </is>
      </c>
      <c r="L38" s="112" t="n"/>
    </row>
    <row r="39">
      <c r="B39" s="129" t="n"/>
      <c r="C39" s="129" t="n"/>
      <c r="D39" s="106" t="n"/>
      <c r="E39" s="130" t="n"/>
      <c r="F39" s="137" t="str">
        <f>IF(OR(B39="",E39="",N(D39)=0),"",E39+D39)</f>
        <v/>
      </c>
      <c r="G39" s="134" t="str">
        <f>IF(F39="","",F39-Hoje)</f>
        <v/>
      </c>
      <c r="H39" s="138" t="str">
        <f>IF(B39="","",IF(F39="","○ Sem registro",IF(G39&lt;0,"✖ Atrasada",IF(G39&lt;=7,"▲ Em breve","✔ Em dia"))))</f>
        <v/>
      </c>
      <c r="I39" s="129" t="n"/>
      <c r="J39" s="106" t="n"/>
      <c r="K39" s="129" t="n"/>
      <c r="L39" s="115" t="n"/>
      <c r="N39" t="str">
        <f>IF(F39="","",IF(G39&lt;=7,G39+ROW()/1000000,""))</f>
        <v/>
      </c>
      <c r="O39" t="str">
        <f>IF(N39="","","Rotina")</f>
        <v/>
      </c>
    </row>
    <row r="40">
      <c r="B40" s="129" t="n"/>
      <c r="C40" s="129" t="n"/>
      <c r="D40" s="106" t="n"/>
      <c r="E40" s="130" t="n"/>
      <c r="F40" s="137" t="str">
        <f>IF(OR(B40="",E40="",N(D40)=0),"",E40+D40)</f>
        <v/>
      </c>
      <c r="G40" s="134" t="str">
        <f>IF(F40="","",F40-Hoje)</f>
        <v/>
      </c>
      <c r="H40" s="138" t="str">
        <f>IF(B40="","",IF(F40="","○ Sem registro",IF(G40&lt;0,"✖ Atrasada",IF(G40&lt;=7,"▲ Em breve","✔ Em dia"))))</f>
        <v/>
      </c>
      <c r="I40" s="129" t="n"/>
      <c r="J40" s="106" t="n"/>
      <c r="K40" s="129" t="n"/>
      <c r="L40" s="115" t="n"/>
      <c r="N40" t="str">
        <f>IF(F40="","",IF(G40&lt;=7,G40+ROW()/1000000,""))</f>
        <v/>
      </c>
      <c r="O40" t="str">
        <f>IF(N40="","","Rotina")</f>
        <v/>
      </c>
    </row>
    <row r="41">
      <c r="B41" s="129" t="n"/>
      <c r="C41" s="129" t="n"/>
      <c r="D41" s="106" t="n"/>
      <c r="E41" s="130" t="n"/>
      <c r="F41" s="137" t="str">
        <f>IF(OR(B41="",E41="",N(D41)=0),"",E41+D41)</f>
        <v/>
      </c>
      <c r="G41" s="134" t="str">
        <f>IF(F41="","",F41-Hoje)</f>
        <v/>
      </c>
      <c r="H41" s="138" t="str">
        <f>IF(B41="","",IF(F41="","○ Sem registro",IF(G41&lt;0,"✖ Atrasada",IF(G41&lt;=7,"▲ Em breve","✔ Em dia"))))</f>
        <v/>
      </c>
      <c r="I41" s="129" t="n"/>
      <c r="J41" s="106" t="n"/>
      <c r="K41" s="129" t="n"/>
      <c r="L41" s="115" t="n"/>
      <c r="N41" t="str">
        <f>IF(F41="","",IF(G41&lt;=7,G41+ROW()/1000000,""))</f>
        <v/>
      </c>
      <c r="O41" t="str">
        <f>IF(N41="","","Rotina")</f>
        <v/>
      </c>
    </row>
    <row r="42">
      <c r="B42" s="129" t="n"/>
      <c r="C42" s="129" t="n"/>
      <c r="D42" s="106" t="n"/>
      <c r="E42" s="130" t="n"/>
      <c r="F42" s="137" t="str">
        <f>IF(OR(B42="",E42="",N(D42)=0),"",E42+D42)</f>
        <v/>
      </c>
      <c r="G42" s="134" t="str">
        <f>IF(F42="","",F42-Hoje)</f>
        <v/>
      </c>
      <c r="H42" s="138" t="str">
        <f>IF(B42="","",IF(F42="","○ Sem registro",IF(G42&lt;0,"✖ Atrasada",IF(G42&lt;=7,"▲ Em breve","✔ Em dia"))))</f>
        <v/>
      </c>
      <c r="I42" s="129" t="n"/>
      <c r="J42" s="106" t="n"/>
      <c r="K42" s="129" t="n"/>
      <c r="L42" s="115" t="n"/>
      <c r="N42" t="str">
        <f>IF(F42="","",IF(G42&lt;=7,G42+ROW()/1000000,""))</f>
        <v/>
      </c>
      <c r="O42" t="str">
        <f>IF(N42="","","Rotina")</f>
        <v/>
      </c>
    </row>
    <row r="43">
      <c r="B43" s="129" t="n"/>
      <c r="C43" s="129" t="n"/>
      <c r="D43" s="106" t="n"/>
      <c r="E43" s="130" t="n"/>
      <c r="F43" s="137" t="str">
        <f>IF(OR(B43="",E43="",N(D43)=0),"",E43+D43)</f>
        <v/>
      </c>
      <c r="G43" s="134" t="str">
        <f>IF(F43="","",F43-Hoje)</f>
        <v/>
      </c>
      <c r="H43" s="138" t="str">
        <f>IF(B43="","",IF(F43="","○ Sem registro",IF(G43&lt;0,"✖ Atrasada",IF(G43&lt;=7,"▲ Em breve","✔ Em dia"))))</f>
        <v/>
      </c>
      <c r="I43" s="129" t="n"/>
      <c r="J43" s="106" t="n"/>
      <c r="K43" s="129" t="n"/>
      <c r="L43" s="115" t="n"/>
      <c r="N43" t="str">
        <f>IF(F43="","",IF(G43&lt;=7,G43+ROW()/1000000,""))</f>
        <v/>
      </c>
      <c r="O43" t="str">
        <f>IF(N43="","","Rotina")</f>
        <v/>
      </c>
    </row>
    <row r="44">
      <c r="B44" s="129" t="n"/>
      <c r="C44" s="129" t="n"/>
      <c r="D44" s="106" t="n"/>
      <c r="E44" s="130" t="n"/>
      <c r="F44" s="137" t="str">
        <f>IF(OR(B44="",E44="",N(D44)=0),"",E44+D44)</f>
        <v/>
      </c>
      <c r="G44" s="134" t="str">
        <f>IF(F44="","",F44-Hoje)</f>
        <v/>
      </c>
      <c r="H44" s="138" t="str">
        <f>IF(B44="","",IF(F44="","○ Sem registro",IF(G44&lt;0,"✖ Atrasada",IF(G44&lt;=7,"▲ Em breve","✔ Em dia"))))</f>
        <v/>
      </c>
      <c r="I44" s="129" t="n"/>
      <c r="J44" s="106" t="n"/>
      <c r="K44" s="129" t="n"/>
      <c r="L44" s="115" t="n"/>
      <c r="N44" t="str">
        <f>IF(F44="","",IF(G44&lt;=7,G44+ROW()/1000000,""))</f>
        <v/>
      </c>
      <c r="O44" t="str">
        <f>IF(N44="","","Rotina")</f>
        <v/>
      </c>
    </row>
    <row r="45">
      <c r="B45" s="129" t="n"/>
      <c r="C45" s="129" t="n"/>
      <c r="D45" s="106" t="n"/>
      <c r="E45" s="130" t="n"/>
      <c r="F45" s="137" t="str">
        <f>IF(OR(B45="",E45="",N(D45)=0),"",E45+D45)</f>
        <v/>
      </c>
      <c r="G45" s="134" t="str">
        <f>IF(F45="","",F45-Hoje)</f>
        <v/>
      </c>
      <c r="H45" s="138" t="str">
        <f>IF(B45="","",IF(F45="","○ Sem registro",IF(G45&lt;0,"✖ Atrasada",IF(G45&lt;=7,"▲ Em breve","✔ Em dia"))))</f>
        <v/>
      </c>
      <c r="I45" s="129" t="n"/>
      <c r="J45" s="106" t="n"/>
      <c r="K45" s="129" t="n"/>
      <c r="L45" s="115" t="n"/>
      <c r="N45" t="str">
        <f>IF(F45="","",IF(G45&lt;=7,G45+ROW()/1000000,""))</f>
        <v/>
      </c>
      <c r="O45" t="str">
        <f>IF(N45="","","Rotina")</f>
        <v/>
      </c>
    </row>
    <row r="46">
      <c r="B46" s="129" t="n"/>
      <c r="C46" s="129" t="n"/>
      <c r="D46" s="106" t="n"/>
      <c r="E46" s="130" t="n"/>
      <c r="F46" s="137" t="str">
        <f>IF(OR(B46="",E46="",N(D46)=0),"",E46+D46)</f>
        <v/>
      </c>
      <c r="G46" s="134" t="str">
        <f>IF(F46="","",F46-Hoje)</f>
        <v/>
      </c>
      <c r="H46" s="138" t="str">
        <f>IF(B46="","",IF(F46="","○ Sem registro",IF(G46&lt;0,"✖ Atrasada",IF(G46&lt;=7,"▲ Em breve","✔ Em dia"))))</f>
        <v/>
      </c>
      <c r="I46" s="129" t="n"/>
      <c r="J46" s="106" t="n"/>
      <c r="K46" s="129" t="n"/>
      <c r="L46" s="115" t="n"/>
      <c r="N46" t="str">
        <f>IF(F46="","",IF(G46&lt;=7,G46+ROW()/1000000,""))</f>
        <v/>
      </c>
      <c r="O46" t="str">
        <f>IF(N46="","","Rotina")</f>
        <v/>
      </c>
    </row>
    <row r="47">
      <c r="B47" s="129" t="n"/>
      <c r="C47" s="129" t="n"/>
      <c r="D47" s="106" t="n"/>
      <c r="E47" s="130" t="n"/>
      <c r="F47" s="137" t="str">
        <f>IF(OR(B47="",E47="",N(D47)=0),"",E47+D47)</f>
        <v/>
      </c>
      <c r="G47" s="134" t="str">
        <f>IF(F47="","",F47-Hoje)</f>
        <v/>
      </c>
      <c r="H47" s="138" t="str">
        <f>IF(B47="","",IF(F47="","○ Sem registro",IF(G47&lt;0,"✖ Atrasada",IF(G47&lt;=7,"▲ Em breve","✔ Em dia"))))</f>
        <v/>
      </c>
      <c r="I47" s="129" t="n"/>
      <c r="J47" s="106" t="n"/>
      <c r="K47" s="129" t="n"/>
      <c r="L47" s="115" t="n"/>
      <c r="N47" t="str">
        <f>IF(F47="","",IF(G47&lt;=7,G47+ROW()/1000000,""))</f>
        <v/>
      </c>
      <c r="O47" t="str">
        <f>IF(N47="","","Rotina")</f>
        <v/>
      </c>
    </row>
    <row r="48">
      <c r="B48" s="129" t="n"/>
      <c r="C48" s="129" t="n"/>
      <c r="D48" s="106" t="n"/>
      <c r="E48" s="130" t="n"/>
      <c r="F48" s="137" t="str">
        <f>IF(OR(B48="",E48="",N(D48)=0),"",E48+D48)</f>
        <v/>
      </c>
      <c r="G48" s="134" t="str">
        <f>IF(F48="","",F48-Hoje)</f>
        <v/>
      </c>
      <c r="H48" s="138" t="str">
        <f>IF(B48="","",IF(F48="","○ Sem registro",IF(G48&lt;0,"✖ Atrasada",IF(G48&lt;=7,"▲ Em breve","✔ Em dia"))))</f>
        <v/>
      </c>
      <c r="I48" s="129" t="n"/>
      <c r="J48" s="106" t="n"/>
      <c r="K48" s="129" t="n"/>
      <c r="L48" s="115" t="n"/>
      <c r="N48" t="str">
        <f>IF(F48="","",IF(G48&lt;=7,G48+ROW()/1000000,""))</f>
        <v/>
      </c>
      <c r="O48" t="str">
        <f>IF(N48="","","Rotina")</f>
        <v/>
      </c>
    </row>
    <row r="49">
      <c r="B49" s="129" t="n"/>
      <c r="C49" s="129" t="n"/>
      <c r="D49" s="106" t="n"/>
      <c r="E49" s="130" t="n"/>
      <c r="F49" s="137" t="str">
        <f>IF(OR(B49="",E49="",N(D49)=0),"",E49+D49)</f>
        <v/>
      </c>
      <c r="G49" s="134" t="str">
        <f>IF(F49="","",F49-Hoje)</f>
        <v/>
      </c>
      <c r="H49" s="138" t="str">
        <f>IF(B49="","",IF(F49="","○ Sem registro",IF(G49&lt;0,"✖ Atrasada",IF(G49&lt;=7,"▲ Em breve","✔ Em dia"))))</f>
        <v/>
      </c>
      <c r="I49" s="129" t="n"/>
      <c r="J49" s="106" t="n"/>
      <c r="K49" s="129" t="n"/>
      <c r="L49" s="115" t="n"/>
      <c r="N49" t="str">
        <f>IF(F49="","",IF(G49&lt;=7,G49+ROW()/1000000,""))</f>
        <v/>
      </c>
      <c r="O49" t="str">
        <f>IF(N49="","","Rotina")</f>
        <v/>
      </c>
    </row>
    <row r="50">
      <c r="B50" s="129" t="n"/>
      <c r="C50" s="129" t="n"/>
      <c r="D50" s="106" t="n"/>
      <c r="E50" s="130" t="n"/>
      <c r="F50" s="137" t="str">
        <f>IF(OR(B50="",E50="",N(D50)=0),"",E50+D50)</f>
        <v/>
      </c>
      <c r="G50" s="134" t="str">
        <f>IF(F50="","",F50-Hoje)</f>
        <v/>
      </c>
      <c r="H50" s="138" t="str">
        <f>IF(B50="","",IF(F50="","○ Sem registro",IF(G50&lt;0,"✖ Atrasada",IF(G50&lt;=7,"▲ Em breve","✔ Em dia"))))</f>
        <v/>
      </c>
      <c r="I50" s="129" t="n"/>
      <c r="J50" s="106" t="n"/>
      <c r="K50" s="129" t="n"/>
      <c r="L50" s="115" t="n"/>
      <c r="N50" t="str">
        <f>IF(F50="","",IF(G50&lt;=7,G50+ROW()/1000000,""))</f>
        <v/>
      </c>
      <c r="O50" t="str">
        <f>IF(N50="","","Rotina")</f>
        <v/>
      </c>
    </row>
    <row r="51">
      <c r="B51" s="129" t="n"/>
      <c r="C51" s="129" t="n"/>
      <c r="D51" s="106" t="n"/>
      <c r="E51" s="130" t="n"/>
      <c r="F51" s="137" t="str">
        <f>IF(OR(B51="",E51="",N(D51)=0),"",E51+D51)</f>
        <v/>
      </c>
      <c r="G51" s="134" t="str">
        <f>IF(F51="","",F51-Hoje)</f>
        <v/>
      </c>
      <c r="H51" s="138" t="str">
        <f>IF(B51="","",IF(F51="","○ Sem registro",IF(G51&lt;0,"✖ Atrasada",IF(G51&lt;=7,"▲ Em breve","✔ Em dia"))))</f>
        <v/>
      </c>
      <c r="I51" s="129" t="n"/>
      <c r="J51" s="106" t="n"/>
      <c r="K51" s="129" t="n"/>
      <c r="L51" s="115" t="n"/>
      <c r="N51" t="str">
        <f>IF(F51="","",IF(G51&lt;=7,G51+ROW()/1000000,""))</f>
        <v/>
      </c>
      <c r="O51" t="str">
        <f>IF(N51="","","Rotina")</f>
        <v/>
      </c>
    </row>
    <row r="52">
      <c r="B52" s="129" t="n"/>
      <c r="C52" s="129" t="n"/>
      <c r="D52" s="106" t="n"/>
      <c r="E52" s="130" t="n"/>
      <c r="F52" s="137" t="str">
        <f>IF(OR(B52="",E52="",N(D52)=0),"",E52+D52)</f>
        <v/>
      </c>
      <c r="G52" s="134" t="str">
        <f>IF(F52="","",F52-Hoje)</f>
        <v/>
      </c>
      <c r="H52" s="138" t="str">
        <f>IF(B52="","",IF(F52="","○ Sem registro",IF(G52&lt;0,"✖ Atrasada",IF(G52&lt;=7,"▲ Em breve","✔ Em dia"))))</f>
        <v/>
      </c>
      <c r="I52" s="129" t="n"/>
      <c r="J52" s="106" t="n"/>
      <c r="K52" s="129" t="n"/>
      <c r="L52" s="115" t="n"/>
      <c r="N52" t="str">
        <f>IF(F52="","",IF(G52&lt;=7,G52+ROW()/1000000,""))</f>
        <v/>
      </c>
      <c r="O52" t="str">
        <f>IF(N52="","","Rotina")</f>
        <v/>
      </c>
    </row>
    <row r="53">
      <c r="B53" s="129" t="n"/>
      <c r="C53" s="129" t="n"/>
      <c r="D53" s="106" t="n"/>
      <c r="E53" s="130" t="n"/>
      <c r="F53" s="137" t="str">
        <f>IF(OR(B53="",E53="",N(D53)=0),"",E53+D53)</f>
        <v/>
      </c>
      <c r="G53" s="134" t="str">
        <f>IF(F53="","",F53-Hoje)</f>
        <v/>
      </c>
      <c r="H53" s="138" t="str">
        <f>IF(B53="","",IF(F53="","○ Sem registro",IF(G53&lt;0,"✖ Atrasada",IF(G53&lt;=7,"▲ Em breve","✔ Em dia"))))</f>
        <v/>
      </c>
      <c r="I53" s="129" t="n"/>
      <c r="J53" s="106" t="n"/>
      <c r="K53" s="129" t="n"/>
      <c r="L53" s="115" t="n"/>
      <c r="N53" t="str">
        <f>IF(F53="","",IF(G53&lt;=7,G53+ROW()/1000000,""))</f>
        <v/>
      </c>
      <c r="O53" t="str">
        <f>IF(N53="","","Rotina")</f>
        <v/>
      </c>
    </row>
    <row r="54">
      <c r="B54" s="129" t="n"/>
      <c r="C54" s="129" t="n"/>
      <c r="D54" s="106" t="n"/>
      <c r="E54" s="130" t="n"/>
      <c r="F54" s="137" t="str">
        <f>IF(OR(B54="",E54="",N(D54)=0),"",E54+D54)</f>
        <v/>
      </c>
      <c r="G54" s="134" t="str">
        <f>IF(F54="","",F54-Hoje)</f>
        <v/>
      </c>
      <c r="H54" s="138" t="str">
        <f>IF(B54="","",IF(F54="","○ Sem registro",IF(G54&lt;0,"✖ Atrasada",IF(G54&lt;=7,"▲ Em breve","✔ Em dia"))))</f>
        <v/>
      </c>
      <c r="I54" s="129" t="n"/>
      <c r="J54" s="106" t="n"/>
      <c r="K54" s="129" t="n"/>
      <c r="L54" s="115" t="n"/>
      <c r="N54" t="str">
        <f>IF(F54="","",IF(G54&lt;=7,G54+ROW()/1000000,""))</f>
        <v/>
      </c>
      <c r="O54" t="str">
        <f>IF(N54="","","Rotina")</f>
        <v/>
      </c>
    </row>
    <row r="55">
      <c r="B55" s="129" t="n"/>
      <c r="C55" s="129" t="n"/>
      <c r="D55" s="106" t="n"/>
      <c r="E55" s="130" t="n"/>
      <c r="F55" s="137" t="str">
        <f>IF(OR(B55="",E55="",N(D55)=0),"",E55+D55)</f>
        <v/>
      </c>
      <c r="G55" s="134" t="str">
        <f>IF(F55="","",F55-Hoje)</f>
        <v/>
      </c>
      <c r="H55" s="138" t="str">
        <f>IF(B55="","",IF(F55="","○ Sem registro",IF(G55&lt;0,"✖ Atrasada",IF(G55&lt;=7,"▲ Em breve","✔ Em dia"))))</f>
        <v/>
      </c>
      <c r="I55" s="129" t="n"/>
      <c r="J55" s="106" t="n"/>
      <c r="K55" s="129" t="n"/>
      <c r="L55" s="115" t="n"/>
      <c r="N55" t="str">
        <f>IF(F55="","",IF(G55&lt;=7,G55+ROW()/1000000,""))</f>
        <v/>
      </c>
      <c r="O55" t="str">
        <f>IF(N55="","","Rotina")</f>
        <v/>
      </c>
    </row>
    <row r="56">
      <c r="B56" s="129" t="n"/>
      <c r="C56" s="129" t="n"/>
      <c r="D56" s="106" t="n"/>
      <c r="E56" s="130" t="n"/>
      <c r="F56" s="137" t="str">
        <f>IF(OR(B56="",E56="",N(D56)=0),"",E56+D56)</f>
        <v/>
      </c>
      <c r="G56" s="134" t="str">
        <f>IF(F56="","",F56-Hoje)</f>
        <v/>
      </c>
      <c r="H56" s="138" t="str">
        <f>IF(B56="","",IF(F56="","○ Sem registro",IF(G56&lt;0,"✖ Atrasada",IF(G56&lt;=7,"▲ Em breve","✔ Em dia"))))</f>
        <v/>
      </c>
      <c r="I56" s="129" t="n"/>
      <c r="J56" s="106" t="n"/>
      <c r="K56" s="129" t="n"/>
      <c r="L56" s="115" t="n"/>
      <c r="N56" t="str">
        <f>IF(F56="","",IF(G56&lt;=7,G56+ROW()/1000000,""))</f>
        <v/>
      </c>
      <c r="O56" t="str">
        <f>IF(N56="","","Rotina")</f>
        <v/>
      </c>
    </row>
    <row r="57">
      <c r="B57" s="129" t="n"/>
      <c r="C57" s="129" t="n"/>
      <c r="D57" s="106" t="n"/>
      <c r="E57" s="130" t="n"/>
      <c r="F57" s="137" t="str">
        <f>IF(OR(B57="",E57="",N(D57)=0),"",E57+D57)</f>
        <v/>
      </c>
      <c r="G57" s="134" t="str">
        <f>IF(F57="","",F57-Hoje)</f>
        <v/>
      </c>
      <c r="H57" s="138" t="str">
        <f>IF(B57="","",IF(F57="","○ Sem registro",IF(G57&lt;0,"✖ Atrasada",IF(G57&lt;=7,"▲ Em breve","✔ Em dia"))))</f>
        <v/>
      </c>
      <c r="I57" s="129" t="n"/>
      <c r="J57" s="106" t="n"/>
      <c r="K57" s="129" t="n"/>
      <c r="L57" s="115" t="n"/>
      <c r="N57" t="str">
        <f>IF(F57="","",IF(G57&lt;=7,G57+ROW()/1000000,""))</f>
        <v/>
      </c>
      <c r="O57" t="str">
        <f>IF(N57="","","Rotina")</f>
        <v/>
      </c>
    </row>
    <row r="58">
      <c r="B58" s="129" t="n"/>
      <c r="C58" s="129" t="n"/>
      <c r="D58" s="106" t="n"/>
      <c r="E58" s="130" t="n"/>
      <c r="F58" s="137" t="str">
        <f>IF(OR(B58="",E58="",N(D58)=0),"",E58+D58)</f>
        <v/>
      </c>
      <c r="G58" s="134" t="str">
        <f>IF(F58="","",F58-Hoje)</f>
        <v/>
      </c>
      <c r="H58" s="138" t="str">
        <f>IF(B58="","",IF(F58="","○ Sem registro",IF(G58&lt;0,"✖ Atrasada",IF(G58&lt;=7,"▲ Em breve","✔ Em dia"))))</f>
        <v/>
      </c>
      <c r="I58" s="129" t="n"/>
      <c r="J58" s="106" t="n"/>
      <c r="K58" s="129" t="n"/>
      <c r="L58" s="115" t="n"/>
      <c r="N58" t="str">
        <f>IF(F58="","",IF(G58&lt;=7,G58+ROW()/1000000,""))</f>
        <v/>
      </c>
      <c r="O58" t="str">
        <f>IF(N58="","","Rotina")</f>
        <v/>
      </c>
    </row>
    <row r="59">
      <c r="B59" s="129" t="n"/>
      <c r="C59" s="129" t="n"/>
      <c r="D59" s="106" t="n"/>
      <c r="E59" s="130" t="n"/>
      <c r="F59" s="137" t="str">
        <f>IF(OR(B59="",E59="",N(D59)=0),"",E59+D59)</f>
        <v/>
      </c>
      <c r="G59" s="134" t="str">
        <f>IF(F59="","",F59-Hoje)</f>
        <v/>
      </c>
      <c r="H59" s="138" t="str">
        <f>IF(B59="","",IF(F59="","○ Sem registro",IF(G59&lt;0,"✖ Atrasada",IF(G59&lt;=7,"▲ Em breve","✔ Em dia"))))</f>
        <v/>
      </c>
      <c r="I59" s="129" t="n"/>
      <c r="J59" s="106" t="n"/>
      <c r="K59" s="129" t="n"/>
      <c r="L59" s="115" t="n"/>
      <c r="N59" t="str">
        <f>IF(F59="","",IF(G59&lt;=7,G59+ROW()/1000000,""))</f>
        <v/>
      </c>
      <c r="O59" t="str">
        <f>IF(N59="","","Rotina")</f>
        <v/>
      </c>
    </row>
    <row r="60">
      <c r="B60" s="129" t="n"/>
      <c r="C60" s="129" t="n"/>
      <c r="D60" s="106" t="n"/>
      <c r="E60" s="130" t="n"/>
      <c r="F60" s="137" t="str">
        <f>IF(OR(B60="",E60="",N(D60)=0),"",E60+D60)</f>
        <v/>
      </c>
      <c r="G60" s="134" t="str">
        <f>IF(F60="","",F60-Hoje)</f>
        <v/>
      </c>
      <c r="H60" s="138" t="str">
        <f>IF(B60="","",IF(F60="","○ Sem registro",IF(G60&lt;0,"✖ Atrasada",IF(G60&lt;=7,"▲ Em breve","✔ Em dia"))))</f>
        <v/>
      </c>
      <c r="I60" s="129" t="n"/>
      <c r="J60" s="106" t="n"/>
      <c r="K60" s="129" t="n"/>
      <c r="L60" s="115" t="n"/>
      <c r="N60" t="str">
        <f>IF(F60="","",IF(G60&lt;=7,G60+ROW()/1000000,""))</f>
        <v/>
      </c>
      <c r="O60" t="str">
        <f>IF(N60="","","Rotina")</f>
        <v/>
      </c>
    </row>
    <row r="61">
      <c r="B61" s="129" t="n"/>
      <c r="C61" s="129" t="n"/>
      <c r="D61" s="106" t="n"/>
      <c r="E61" s="130" t="n"/>
      <c r="F61" s="137" t="str">
        <f>IF(OR(B61="",E61="",N(D61)=0),"",E61+D61)</f>
        <v/>
      </c>
      <c r="G61" s="134" t="str">
        <f>IF(F61="","",F61-Hoje)</f>
        <v/>
      </c>
      <c r="H61" s="138" t="str">
        <f>IF(B61="","",IF(F61="","○ Sem registro",IF(G61&lt;0,"✖ Atrasada",IF(G61&lt;=7,"▲ Em breve","✔ Em dia"))))</f>
        <v/>
      </c>
      <c r="I61" s="129" t="n"/>
      <c r="J61" s="106" t="n"/>
      <c r="K61" s="129" t="n"/>
      <c r="L61" s="115" t="n"/>
      <c r="N61" t="str">
        <f>IF(F61="","",IF(G61&lt;=7,G61+ROW()/1000000,""))</f>
        <v/>
      </c>
      <c r="O61" t="str">
        <f>IF(N61="","","Rotina")</f>
        <v/>
      </c>
    </row>
    <row r="62">
      <c r="B62" s="129" t="n"/>
      <c r="C62" s="129" t="n"/>
      <c r="D62" s="106" t="n"/>
      <c r="E62" s="130" t="n"/>
      <c r="F62" s="137" t="str">
        <f>IF(OR(B62="",E62="",N(D62)=0),"",E62+D62)</f>
        <v/>
      </c>
      <c r="G62" s="134" t="str">
        <f>IF(F62="","",F62-Hoje)</f>
        <v/>
      </c>
      <c r="H62" s="138" t="str">
        <f>IF(B62="","",IF(F62="","○ Sem registro",IF(G62&lt;0,"✖ Atrasada",IF(G62&lt;=7,"▲ Em breve","✔ Em dia"))))</f>
        <v/>
      </c>
      <c r="I62" s="129" t="n"/>
      <c r="J62" s="106" t="n"/>
      <c r="K62" s="129" t="n"/>
      <c r="L62" s="115" t="n"/>
      <c r="N62" t="str">
        <f>IF(F62="","",IF(G62&lt;=7,G62+ROW()/1000000,""))</f>
        <v/>
      </c>
      <c r="O62" t="str">
        <f>IF(N62="","","Rotina")</f>
        <v/>
      </c>
    </row>
    <row r="63">
      <c r="B63" s="129" t="n"/>
      <c r="C63" s="129" t="n"/>
      <c r="D63" s="106" t="n"/>
      <c r="E63" s="130" t="n"/>
      <c r="F63" s="137" t="str">
        <f>IF(OR(B63="",E63="",N(D63)=0),"",E63+D63)</f>
        <v/>
      </c>
      <c r="G63" s="134" t="str">
        <f>IF(F63="","",F63-Hoje)</f>
        <v/>
      </c>
      <c r="H63" s="138" t="str">
        <f>IF(B63="","",IF(F63="","○ Sem registro",IF(G63&lt;0,"✖ Atrasada",IF(G63&lt;=7,"▲ Em breve","✔ Em dia"))))</f>
        <v/>
      </c>
      <c r="I63" s="129" t="n"/>
      <c r="J63" s="106" t="n"/>
      <c r="K63" s="129" t="n"/>
      <c r="L63" s="115" t="n"/>
      <c r="N63" t="str">
        <f>IF(F63="","",IF(G63&lt;=7,G63+ROW()/1000000,""))</f>
        <v/>
      </c>
      <c r="O63" t="str">
        <f>IF(N63="","","Rotina")</f>
        <v/>
      </c>
    </row>
    <row r="64">
      <c r="B64" s="129" t="n"/>
      <c r="C64" s="129" t="n"/>
      <c r="D64" s="106" t="n"/>
      <c r="E64" s="130" t="n"/>
      <c r="F64" s="137" t="str">
        <f>IF(OR(B64="",E64="",N(D64)=0),"",E64+D64)</f>
        <v/>
      </c>
      <c r="G64" s="134" t="str">
        <f>IF(F64="","",F64-Hoje)</f>
        <v/>
      </c>
      <c r="H64" s="138" t="str">
        <f>IF(B64="","",IF(F64="","○ Sem registro",IF(G64&lt;0,"✖ Atrasada",IF(G64&lt;=7,"▲ Em breve","✔ Em dia"))))</f>
        <v/>
      </c>
      <c r="I64" s="129" t="n"/>
      <c r="J64" s="106" t="n"/>
      <c r="K64" s="129" t="n"/>
      <c r="L64" s="115" t="n"/>
      <c r="N64" t="str">
        <f>IF(F64="","",IF(G64&lt;=7,G64+ROW()/1000000,""))</f>
        <v/>
      </c>
      <c r="O64" t="str">
        <f>IF(N64="","","Rotina")</f>
        <v/>
      </c>
    </row>
    <row r="65">
      <c r="B65" s="129" t="n"/>
      <c r="C65" s="129" t="n"/>
      <c r="D65" s="106" t="n"/>
      <c r="E65" s="130" t="n"/>
      <c r="F65" s="137" t="str">
        <f>IF(OR(B65="",E65="",N(D65)=0),"",E65+D65)</f>
        <v/>
      </c>
      <c r="G65" s="134" t="str">
        <f>IF(F65="","",F65-Hoje)</f>
        <v/>
      </c>
      <c r="H65" s="138" t="str">
        <f>IF(B65="","",IF(F65="","○ Sem registro",IF(G65&lt;0,"✖ Atrasada",IF(G65&lt;=7,"▲ Em breve","✔ Em dia"))))</f>
        <v/>
      </c>
      <c r="I65" s="129" t="n"/>
      <c r="J65" s="106" t="n"/>
      <c r="K65" s="129" t="n"/>
      <c r="L65" s="115" t="n"/>
      <c r="N65" t="str">
        <f>IF(F65="","",IF(G65&lt;=7,G65+ROW()/1000000,""))</f>
        <v/>
      </c>
      <c r="O65" t="str">
        <f>IF(N65="","","Rotina")</f>
        <v/>
      </c>
    </row>
    <row r="66">
      <c r="B66" s="129" t="n"/>
      <c r="C66" s="129" t="n"/>
      <c r="D66" s="106" t="n"/>
      <c r="E66" s="130" t="n"/>
      <c r="F66" s="137" t="str">
        <f>IF(OR(B66="",E66="",N(D66)=0),"",E66+D66)</f>
        <v/>
      </c>
      <c r="G66" s="134" t="str">
        <f>IF(F66="","",F66-Hoje)</f>
        <v/>
      </c>
      <c r="H66" s="138" t="str">
        <f>IF(B66="","",IF(F66="","○ Sem registro",IF(G66&lt;0,"✖ Atrasada",IF(G66&lt;=7,"▲ Em breve","✔ Em dia"))))</f>
        <v/>
      </c>
      <c r="I66" s="129" t="n"/>
      <c r="J66" s="106" t="n"/>
      <c r="K66" s="129" t="n"/>
      <c r="L66" s="115" t="n"/>
      <c r="N66" t="str">
        <f>IF(F66="","",IF(G66&lt;=7,G66+ROW()/1000000,""))</f>
        <v/>
      </c>
      <c r="O66" t="str">
        <f>IF(N66="","","Rotina")</f>
        <v/>
      </c>
    </row>
    <row r="67">
      <c r="B67" s="129" t="n"/>
      <c r="C67" s="129" t="n"/>
      <c r="D67" s="106" t="n"/>
      <c r="E67" s="130" t="n"/>
      <c r="F67" s="137" t="str">
        <f>IF(OR(B67="",E67="",N(D67)=0),"",E67+D67)</f>
        <v/>
      </c>
      <c r="G67" s="134" t="str">
        <f>IF(F67="","",F67-Hoje)</f>
        <v/>
      </c>
      <c r="H67" s="138" t="str">
        <f>IF(B67="","",IF(F67="","○ Sem registro",IF(G67&lt;0,"✖ Atrasada",IF(G67&lt;=7,"▲ Em breve","✔ Em dia"))))</f>
        <v/>
      </c>
      <c r="I67" s="129" t="n"/>
      <c r="J67" s="106" t="n"/>
      <c r="K67" s="129" t="n"/>
      <c r="L67" s="115" t="n"/>
      <c r="N67" t="str">
        <f>IF(F67="","",IF(G67&lt;=7,G67+ROW()/1000000,""))</f>
        <v/>
      </c>
      <c r="O67" t="str">
        <f>IF(N67="","","Rotina")</f>
        <v/>
      </c>
    </row>
    <row r="68">
      <c r="B68" s="129" t="n"/>
      <c r="C68" s="129" t="n"/>
      <c r="D68" s="106" t="n"/>
      <c r="E68" s="130" t="n"/>
      <c r="F68" s="137" t="str">
        <f>IF(OR(B68="",E68="",N(D68)=0),"",E68+D68)</f>
        <v/>
      </c>
      <c r="G68" s="134" t="str">
        <f>IF(F68="","",F68-Hoje)</f>
        <v/>
      </c>
      <c r="H68" s="138" t="str">
        <f>IF(B68="","",IF(F68="","○ Sem registro",IF(G68&lt;0,"✖ Atrasada",IF(G68&lt;=7,"▲ Em breve","✔ Em dia"))))</f>
        <v/>
      </c>
      <c r="I68" s="129" t="n"/>
      <c r="J68" s="106" t="n"/>
      <c r="K68" s="129" t="n"/>
      <c r="L68" s="115" t="n"/>
      <c r="N68" t="str">
        <f>IF(F68="","",IF(G68&lt;=7,G68+ROW()/1000000,""))</f>
        <v/>
      </c>
      <c r="O68" t="str">
        <f>IF(N68="","","Rotina")</f>
        <v/>
      </c>
    </row>
    <row r="69">
      <c r="B69" s="129" t="n"/>
      <c r="C69" s="129" t="n"/>
      <c r="D69" s="106" t="n"/>
      <c r="E69" s="130" t="n"/>
      <c r="F69" s="137" t="str">
        <f>IF(OR(B69="",E69="",N(D69)=0),"",E69+D69)</f>
        <v/>
      </c>
      <c r="G69" s="134" t="str">
        <f>IF(F69="","",F69-Hoje)</f>
        <v/>
      </c>
      <c r="H69" s="138" t="str">
        <f>IF(B69="","",IF(F69="","○ Sem registro",IF(G69&lt;0,"✖ Atrasada",IF(G69&lt;=7,"▲ Em breve","✔ Em dia"))))</f>
        <v/>
      </c>
      <c r="I69" s="129" t="n"/>
      <c r="J69" s="106" t="n"/>
      <c r="K69" s="129" t="n"/>
      <c r="L69" s="115" t="n"/>
      <c r="N69" t="str">
        <f>IF(F69="","",IF(G69&lt;=7,G69+ROW()/1000000,""))</f>
        <v/>
      </c>
      <c r="O69" t="str">
        <f>IF(N69="","","Rotina")</f>
        <v/>
      </c>
    </row>
    <row r="70">
      <c r="B70" s="129" t="n"/>
      <c r="C70" s="129" t="n"/>
      <c r="D70" s="106" t="n"/>
      <c r="E70" s="130" t="n"/>
      <c r="F70" s="137" t="str">
        <f>IF(OR(B70="",E70="",N(D70)=0),"",E70+D70)</f>
        <v/>
      </c>
      <c r="G70" s="134" t="str">
        <f>IF(F70="","",F70-Hoje)</f>
        <v/>
      </c>
      <c r="H70" s="138" t="str">
        <f>IF(B70="","",IF(F70="","○ Sem registro",IF(G70&lt;0,"✖ Atrasada",IF(G70&lt;=7,"▲ Em breve","✔ Em dia"))))</f>
        <v/>
      </c>
      <c r="I70" s="129" t="n"/>
      <c r="J70" s="106" t="n"/>
      <c r="K70" s="129" t="n"/>
      <c r="L70" s="115" t="n"/>
      <c r="N70" t="str">
        <f>IF(F70="","",IF(G70&lt;=7,G70+ROW()/1000000,""))</f>
        <v/>
      </c>
      <c r="O70" t="str">
        <f>IF(N70="","","Rotina")</f>
        <v/>
      </c>
    </row>
    <row r="71">
      <c r="B71" s="129" t="n"/>
      <c r="C71" s="129" t="n"/>
      <c r="D71" s="106" t="n"/>
      <c r="E71" s="130" t="n"/>
      <c r="F71" s="137" t="str">
        <f>IF(OR(B71="",E71="",N(D71)=0),"",E71+D71)</f>
        <v/>
      </c>
      <c r="G71" s="134" t="str">
        <f>IF(F71="","",F71-Hoje)</f>
        <v/>
      </c>
      <c r="H71" s="138" t="str">
        <f>IF(B71="","",IF(F71="","○ Sem registro",IF(G71&lt;0,"✖ Atrasada",IF(G71&lt;=7,"▲ Em breve","✔ Em dia"))))</f>
        <v/>
      </c>
      <c r="I71" s="129" t="n"/>
      <c r="J71" s="106" t="n"/>
      <c r="K71" s="129" t="n"/>
      <c r="L71" s="115" t="n"/>
      <c r="N71" t="str">
        <f>IF(F71="","",IF(G71&lt;=7,G71+ROW()/1000000,""))</f>
        <v/>
      </c>
      <c r="O71" t="str">
        <f>IF(N71="","","Rotina")</f>
        <v/>
      </c>
    </row>
    <row r="72">
      <c r="B72" s="129" t="n"/>
      <c r="C72" s="129" t="n"/>
      <c r="D72" s="106" t="n"/>
      <c r="E72" s="130" t="n"/>
      <c r="F72" s="137" t="str">
        <f>IF(OR(B72="",E72="",N(D72)=0),"",E72+D72)</f>
        <v/>
      </c>
      <c r="G72" s="134" t="str">
        <f>IF(F72="","",F72-Hoje)</f>
        <v/>
      </c>
      <c r="H72" s="138" t="str">
        <f>IF(B72="","",IF(F72="","○ Sem registro",IF(G72&lt;0,"✖ Atrasada",IF(G72&lt;=7,"▲ Em breve","✔ Em dia"))))</f>
        <v/>
      </c>
      <c r="I72" s="129" t="n"/>
      <c r="J72" s="106" t="n"/>
      <c r="K72" s="129" t="n"/>
      <c r="L72" s="115" t="n"/>
      <c r="N72" t="str">
        <f>IF(F72="","",IF(G72&lt;=7,G72+ROW()/1000000,""))</f>
        <v/>
      </c>
      <c r="O72" t="str">
        <f>IF(N72="","","Rotina")</f>
        <v/>
      </c>
    </row>
    <row r="73">
      <c r="B73" s="129" t="n"/>
      <c r="C73" s="129" t="n"/>
      <c r="D73" s="106" t="n"/>
      <c r="E73" s="130" t="n"/>
      <c r="F73" s="137" t="str">
        <f>IF(OR(B73="",E73="",N(D73)=0),"",E73+D73)</f>
        <v/>
      </c>
      <c r="G73" s="134" t="str">
        <f>IF(F73="","",F73-Hoje)</f>
        <v/>
      </c>
      <c r="H73" s="138" t="str">
        <f>IF(B73="","",IF(F73="","○ Sem registro",IF(G73&lt;0,"✖ Atrasada",IF(G73&lt;=7,"▲ Em breve","✔ Em dia"))))</f>
        <v/>
      </c>
      <c r="I73" s="129" t="n"/>
      <c r="J73" s="106" t="n"/>
      <c r="K73" s="129" t="n"/>
      <c r="L73" s="115" t="n"/>
      <c r="N73" t="str">
        <f>IF(F73="","",IF(G73&lt;=7,G73+ROW()/1000000,""))</f>
        <v/>
      </c>
      <c r="O73" t="str">
        <f>IF(N73="","","Rotina")</f>
        <v/>
      </c>
    </row>
    <row r="75" ht="22" customHeight="1">
      <c r="B75" s="222" t="inlineStr">
        <is>
          <t>ASSINATURAS &amp; CONTRATOS</t>
        </is>
      </c>
      <c r="C75" s="223" t="n"/>
      <c r="D75" s="223" t="n"/>
      <c r="E75" s="223" t="n"/>
      <c r="F75" s="223" t="n"/>
      <c r="G75" s="223" t="n"/>
      <c r="H75" s="223" t="n"/>
      <c r="I75" s="223" t="n"/>
      <c r="J75" s="223" t="n"/>
      <c r="K75" s="223" t="n"/>
      <c r="L75" s="223" t="n"/>
    </row>
    <row r="76" ht="30" customHeight="1">
      <c r="B76" s="103" t="inlineStr">
        <is>
          <t>Serviço</t>
        </is>
      </c>
      <c r="C76" s="103" t="inlineStr">
        <is>
          <t>Categoria</t>
        </is>
      </c>
      <c r="D76" s="103" t="inlineStr">
        <is>
          <t>Valor (€)</t>
        </is>
      </c>
      <c r="E76" s="103" t="inlineStr">
        <is>
          <t>Periodicidade</t>
        </is>
      </c>
      <c r="F76" s="104" t="inlineStr">
        <is>
          <t>Custo mensal</t>
        </is>
      </c>
      <c r="G76" s="104" t="inlineStr">
        <is>
          <t>Custo anual</t>
        </is>
      </c>
      <c r="H76" s="103" t="inlineStr">
        <is>
          <t>Próxima renovação</t>
        </is>
      </c>
      <c r="I76" s="104" t="inlineStr">
        <is>
          <t>Dias p/ renovar</t>
        </is>
      </c>
      <c r="J76" s="103" t="inlineStr">
        <is>
          <t>Uso real</t>
        </is>
      </c>
      <c r="K76" s="104" t="inlineStr">
        <is>
          <t>Sugestão</t>
        </is>
      </c>
      <c r="L76" s="103" t="inlineStr">
        <is>
          <t>Notas</t>
        </is>
      </c>
    </row>
    <row r="77">
      <c r="B77" s="129" t="n"/>
      <c r="C77" s="129" t="n"/>
      <c r="D77" s="145" t="n"/>
      <c r="E77" s="129" t="n"/>
      <c r="F77" s="224" t="str">
        <f>IF(OR(B77="",D77=""),"",D77/IFERROR(INDEX('Config'!$AJ$6:$AJ$40,MATCH(E77,'Config'!$AI$6:$AI$40,0)),1))</f>
        <v/>
      </c>
      <c r="G77" s="224" t="str">
        <f>IF(F77="","",F77*12)</f>
        <v/>
      </c>
      <c r="H77" s="130" t="n"/>
      <c r="I77" s="134" t="str">
        <f>IF(OR(B77="",H77=""),"",H77-Hoje)</f>
        <v/>
      </c>
      <c r="J77" s="129" t="n"/>
      <c r="K77" s="138" t="str">
        <f>IF(B77="","",IF(J77="Baixo","✖ Avaliar cancelamento",IF(AND(I77&lt;&gt;"",N(I77)&lt;=15),"▲ Renova em breve","✔ Mantém")))</f>
        <v/>
      </c>
      <c r="L77" s="129" t="n"/>
      <c r="N77" t="str">
        <f>IF(I77="","",IF(I77&lt;=15,I77+ROW()/1000000,""))</f>
        <v/>
      </c>
      <c r="O77" t="str">
        <f>IF(N77="","","Assinatura")</f>
        <v/>
      </c>
    </row>
    <row r="78">
      <c r="B78" s="129" t="n"/>
      <c r="C78" s="129" t="n"/>
      <c r="D78" s="145" t="n"/>
      <c r="E78" s="129" t="n"/>
      <c r="F78" s="224" t="str">
        <f>IF(OR(B78="",D78=""),"",D78/IFERROR(INDEX('Config'!$AJ$6:$AJ$40,MATCH(E78,'Config'!$AI$6:$AI$40,0)),1))</f>
        <v/>
      </c>
      <c r="G78" s="224" t="str">
        <f>IF(F78="","",F78*12)</f>
        <v/>
      </c>
      <c r="H78" s="130" t="n"/>
      <c r="I78" s="134" t="str">
        <f>IF(OR(B78="",H78=""),"",H78-Hoje)</f>
        <v/>
      </c>
      <c r="J78" s="129" t="n"/>
      <c r="K78" s="138" t="str">
        <f>IF(B78="","",IF(J78="Baixo","✖ Avaliar cancelamento",IF(AND(I78&lt;&gt;"",N(I78)&lt;=15),"▲ Renova em breve","✔ Mantém")))</f>
        <v/>
      </c>
      <c r="L78" s="129" t="n"/>
      <c r="N78" t="str">
        <f>IF(I78="","",IF(I78&lt;=15,I78+ROW()/1000000,""))</f>
        <v/>
      </c>
      <c r="O78" t="str">
        <f>IF(N78="","","Assinatura")</f>
        <v/>
      </c>
    </row>
    <row r="79">
      <c r="B79" s="129" t="n"/>
      <c r="C79" s="129" t="n"/>
      <c r="D79" s="145" t="n"/>
      <c r="E79" s="129" t="n"/>
      <c r="F79" s="224" t="str">
        <f>IF(OR(B79="",D79=""),"",D79/IFERROR(INDEX('Config'!$AJ$6:$AJ$40,MATCH(E79,'Config'!$AI$6:$AI$40,0)),1))</f>
        <v/>
      </c>
      <c r="G79" s="224" t="str">
        <f>IF(F79="","",F79*12)</f>
        <v/>
      </c>
      <c r="H79" s="130" t="n"/>
      <c r="I79" s="134" t="str">
        <f>IF(OR(B79="",H79=""),"",H79-Hoje)</f>
        <v/>
      </c>
      <c r="J79" s="129" t="n"/>
      <c r="K79" s="138" t="str">
        <f>IF(B79="","",IF(J79="Baixo","✖ Avaliar cancelamento",IF(AND(I79&lt;&gt;"",N(I79)&lt;=15),"▲ Renova em breve","✔ Mantém")))</f>
        <v/>
      </c>
      <c r="L79" s="129" t="n"/>
      <c r="N79" t="str">
        <f>IF(I79="","",IF(I79&lt;=15,I79+ROW()/1000000,""))</f>
        <v/>
      </c>
      <c r="O79" t="str">
        <f>IF(N79="","","Assinatura")</f>
        <v/>
      </c>
    </row>
    <row r="80">
      <c r="B80" s="129" t="n"/>
      <c r="C80" s="129" t="n"/>
      <c r="D80" s="145" t="n"/>
      <c r="E80" s="129" t="n"/>
      <c r="F80" s="224" t="str">
        <f>IF(OR(B80="",D80=""),"",D80/IFERROR(INDEX('Config'!$AJ$6:$AJ$40,MATCH(E80,'Config'!$AI$6:$AI$40,0)),1))</f>
        <v/>
      </c>
      <c r="G80" s="224" t="str">
        <f>IF(F80="","",F80*12)</f>
        <v/>
      </c>
      <c r="H80" s="130" t="n"/>
      <c r="I80" s="134" t="str">
        <f>IF(OR(B80="",H80=""),"",H80-Hoje)</f>
        <v/>
      </c>
      <c r="J80" s="129" t="n"/>
      <c r="K80" s="138" t="str">
        <f>IF(B80="","",IF(J80="Baixo","✖ Avaliar cancelamento",IF(AND(I80&lt;&gt;"",N(I80)&lt;=15),"▲ Renova em breve","✔ Mantém")))</f>
        <v/>
      </c>
      <c r="L80" s="129" t="n"/>
      <c r="N80" t="str">
        <f>IF(I80="","",IF(I80&lt;=15,I80+ROW()/1000000,""))</f>
        <v/>
      </c>
      <c r="O80" t="str">
        <f>IF(N80="","","Assinatura")</f>
        <v/>
      </c>
    </row>
    <row r="81">
      <c r="B81" s="129" t="n"/>
      <c r="C81" s="129" t="n"/>
      <c r="D81" s="145" t="n"/>
      <c r="E81" s="129" t="n"/>
      <c r="F81" s="224" t="str">
        <f>IF(OR(B81="",D81=""),"",D81/IFERROR(INDEX('Config'!$AJ$6:$AJ$40,MATCH(E81,'Config'!$AI$6:$AI$40,0)),1))</f>
        <v/>
      </c>
      <c r="G81" s="224" t="str">
        <f>IF(F81="","",F81*12)</f>
        <v/>
      </c>
      <c r="H81" s="130" t="n"/>
      <c r="I81" s="134" t="str">
        <f>IF(OR(B81="",H81=""),"",H81-Hoje)</f>
        <v/>
      </c>
      <c r="J81" s="129" t="n"/>
      <c r="K81" s="138" t="str">
        <f>IF(B81="","",IF(J81="Baixo","✖ Avaliar cancelamento",IF(AND(I81&lt;&gt;"",N(I81)&lt;=15),"▲ Renova em breve","✔ Mantém")))</f>
        <v/>
      </c>
      <c r="L81" s="129" t="n"/>
      <c r="N81" t="str">
        <f>IF(I81="","",IF(I81&lt;=15,I81+ROW()/1000000,""))</f>
        <v/>
      </c>
      <c r="O81" t="str">
        <f>IF(N81="","","Assinatura")</f>
        <v/>
      </c>
    </row>
    <row r="82">
      <c r="B82" s="129" t="n"/>
      <c r="C82" s="129" t="n"/>
      <c r="D82" s="145" t="n"/>
      <c r="E82" s="129" t="n"/>
      <c r="F82" s="224" t="str">
        <f>IF(OR(B82="",D82=""),"",D82/IFERROR(INDEX('Config'!$AJ$6:$AJ$40,MATCH(E82,'Config'!$AI$6:$AI$40,0)),1))</f>
        <v/>
      </c>
      <c r="G82" s="224" t="str">
        <f>IF(F82="","",F82*12)</f>
        <v/>
      </c>
      <c r="H82" s="130" t="n"/>
      <c r="I82" s="134" t="str">
        <f>IF(OR(B82="",H82=""),"",H82-Hoje)</f>
        <v/>
      </c>
      <c r="J82" s="129" t="n"/>
      <c r="K82" s="138" t="str">
        <f>IF(B82="","",IF(J82="Baixo","✖ Avaliar cancelamento",IF(AND(I82&lt;&gt;"",N(I82)&lt;=15),"▲ Renova em breve","✔ Mantém")))</f>
        <v/>
      </c>
      <c r="L82" s="129" t="n"/>
      <c r="N82" t="str">
        <f>IF(I82="","",IF(I82&lt;=15,I82+ROW()/1000000,""))</f>
        <v/>
      </c>
      <c r="O82" t="str">
        <f>IF(N82="","","Assinatura")</f>
        <v/>
      </c>
    </row>
    <row r="83">
      <c r="B83" s="129" t="n"/>
      <c r="C83" s="129" t="n"/>
      <c r="D83" s="145" t="n"/>
      <c r="E83" s="129" t="n"/>
      <c r="F83" s="224" t="str">
        <f>IF(OR(B83="",D83=""),"",D83/IFERROR(INDEX('Config'!$AJ$6:$AJ$40,MATCH(E83,'Config'!$AI$6:$AI$40,0)),1))</f>
        <v/>
      </c>
      <c r="G83" s="224" t="str">
        <f>IF(F83="","",F83*12)</f>
        <v/>
      </c>
      <c r="H83" s="130" t="n"/>
      <c r="I83" s="134" t="str">
        <f>IF(OR(B83="",H83=""),"",H83-Hoje)</f>
        <v/>
      </c>
      <c r="J83" s="129" t="n"/>
      <c r="K83" s="138" t="str">
        <f>IF(B83="","",IF(J83="Baixo","✖ Avaliar cancelamento",IF(AND(I83&lt;&gt;"",N(I83)&lt;=15),"▲ Renova em breve","✔ Mantém")))</f>
        <v/>
      </c>
      <c r="L83" s="129" t="n"/>
      <c r="N83" t="str">
        <f>IF(I83="","",IF(I83&lt;=15,I83+ROW()/1000000,""))</f>
        <v/>
      </c>
      <c r="O83" t="str">
        <f>IF(N83="","","Assinatura")</f>
        <v/>
      </c>
    </row>
    <row r="84">
      <c r="B84" s="129" t="n"/>
      <c r="C84" s="129" t="n"/>
      <c r="D84" s="145" t="n"/>
      <c r="E84" s="129" t="n"/>
      <c r="F84" s="224" t="str">
        <f>IF(OR(B84="",D84=""),"",D84/IFERROR(INDEX('Config'!$AJ$6:$AJ$40,MATCH(E84,'Config'!$AI$6:$AI$40,0)),1))</f>
        <v/>
      </c>
      <c r="G84" s="224" t="str">
        <f>IF(F84="","",F84*12)</f>
        <v/>
      </c>
      <c r="H84" s="130" t="n"/>
      <c r="I84" s="134" t="str">
        <f>IF(OR(B84="",H84=""),"",H84-Hoje)</f>
        <v/>
      </c>
      <c r="J84" s="129" t="n"/>
      <c r="K84" s="138" t="str">
        <f>IF(B84="","",IF(J84="Baixo","✖ Avaliar cancelamento",IF(AND(I84&lt;&gt;"",N(I84)&lt;=15),"▲ Renova em breve","✔ Mantém")))</f>
        <v/>
      </c>
      <c r="L84" s="129" t="n"/>
      <c r="N84" t="str">
        <f>IF(I84="","",IF(I84&lt;=15,I84+ROW()/1000000,""))</f>
        <v/>
      </c>
      <c r="O84" t="str">
        <f>IF(N84="","","Assinatura")</f>
        <v/>
      </c>
    </row>
    <row r="85">
      <c r="B85" s="129" t="n"/>
      <c r="C85" s="129" t="n"/>
      <c r="D85" s="145" t="n"/>
      <c r="E85" s="129" t="n"/>
      <c r="F85" s="224" t="str">
        <f>IF(OR(B85="",D85=""),"",D85/IFERROR(INDEX('Config'!$AJ$6:$AJ$40,MATCH(E85,'Config'!$AI$6:$AI$40,0)),1))</f>
        <v/>
      </c>
      <c r="G85" s="224" t="str">
        <f>IF(F85="","",F85*12)</f>
        <v/>
      </c>
      <c r="H85" s="130" t="n"/>
      <c r="I85" s="134" t="str">
        <f>IF(OR(B85="",H85=""),"",H85-Hoje)</f>
        <v/>
      </c>
      <c r="J85" s="129" t="n"/>
      <c r="K85" s="138" t="str">
        <f>IF(B85="","",IF(J85="Baixo","✖ Avaliar cancelamento",IF(AND(I85&lt;&gt;"",N(I85)&lt;=15),"▲ Renova em breve","✔ Mantém")))</f>
        <v/>
      </c>
      <c r="L85" s="129" t="n"/>
      <c r="N85" t="str">
        <f>IF(I85="","",IF(I85&lt;=15,I85+ROW()/1000000,""))</f>
        <v/>
      </c>
      <c r="O85" t="str">
        <f>IF(N85="","","Assinatura")</f>
        <v/>
      </c>
    </row>
    <row r="86">
      <c r="B86" s="129" t="n"/>
      <c r="C86" s="129" t="n"/>
      <c r="D86" s="145" t="n"/>
      <c r="E86" s="129" t="n"/>
      <c r="F86" s="224" t="str">
        <f>IF(OR(B86="",D86=""),"",D86/IFERROR(INDEX('Config'!$AJ$6:$AJ$40,MATCH(E86,'Config'!$AI$6:$AI$40,0)),1))</f>
        <v/>
      </c>
      <c r="G86" s="224" t="str">
        <f>IF(F86="","",F86*12)</f>
        <v/>
      </c>
      <c r="H86" s="130" t="n"/>
      <c r="I86" s="134" t="str">
        <f>IF(OR(B86="",H86=""),"",H86-Hoje)</f>
        <v/>
      </c>
      <c r="J86" s="129" t="n"/>
      <c r="K86" s="138" t="str">
        <f>IF(B86="","",IF(J86="Baixo","✖ Avaliar cancelamento",IF(AND(I86&lt;&gt;"",N(I86)&lt;=15),"▲ Renova em breve","✔ Mantém")))</f>
        <v/>
      </c>
      <c r="L86" s="129" t="n"/>
      <c r="N86" t="str">
        <f>IF(I86="","",IF(I86&lt;=15,I86+ROW()/1000000,""))</f>
        <v/>
      </c>
      <c r="O86" t="str">
        <f>IF(N86="","","Assinatura")</f>
        <v/>
      </c>
    </row>
    <row r="87">
      <c r="B87" s="129" t="n"/>
      <c r="C87" s="129" t="n"/>
      <c r="D87" s="145" t="n"/>
      <c r="E87" s="129" t="n"/>
      <c r="F87" s="224" t="str">
        <f>IF(OR(B87="",D87=""),"",D87/IFERROR(INDEX('Config'!$AJ$6:$AJ$40,MATCH(E87,'Config'!$AI$6:$AI$40,0)),1))</f>
        <v/>
      </c>
      <c r="G87" s="224" t="str">
        <f>IF(F87="","",F87*12)</f>
        <v/>
      </c>
      <c r="H87" s="130" t="n"/>
      <c r="I87" s="134" t="str">
        <f>IF(OR(B87="",H87=""),"",H87-Hoje)</f>
        <v/>
      </c>
      <c r="J87" s="129" t="n"/>
      <c r="K87" s="138" t="str">
        <f>IF(B87="","",IF(J87="Baixo","✖ Avaliar cancelamento",IF(AND(I87&lt;&gt;"",N(I87)&lt;=15),"▲ Renova em breve","✔ Mantém")))</f>
        <v/>
      </c>
      <c r="L87" s="129" t="n"/>
      <c r="N87" t="str">
        <f>IF(I87="","",IF(I87&lt;=15,I87+ROW()/1000000,""))</f>
        <v/>
      </c>
      <c r="O87" t="str">
        <f>IF(N87="","","Assinatura")</f>
        <v/>
      </c>
    </row>
    <row r="88">
      <c r="B88" s="129" t="n"/>
      <c r="C88" s="129" t="n"/>
      <c r="D88" s="145" t="n"/>
      <c r="E88" s="129" t="n"/>
      <c r="F88" s="224" t="str">
        <f>IF(OR(B88="",D88=""),"",D88/IFERROR(INDEX('Config'!$AJ$6:$AJ$40,MATCH(E88,'Config'!$AI$6:$AI$40,0)),1))</f>
        <v/>
      </c>
      <c r="G88" s="224" t="str">
        <f>IF(F88="","",F88*12)</f>
        <v/>
      </c>
      <c r="H88" s="130" t="n"/>
      <c r="I88" s="134" t="str">
        <f>IF(OR(B88="",H88=""),"",H88-Hoje)</f>
        <v/>
      </c>
      <c r="J88" s="129" t="n"/>
      <c r="K88" s="138" t="str">
        <f>IF(B88="","",IF(J88="Baixo","✖ Avaliar cancelamento",IF(AND(I88&lt;&gt;"",N(I88)&lt;=15),"▲ Renova em breve","✔ Mantém")))</f>
        <v/>
      </c>
      <c r="L88" s="129" t="n"/>
      <c r="N88" t="str">
        <f>IF(I88="","",IF(I88&lt;=15,I88+ROW()/1000000,""))</f>
        <v/>
      </c>
      <c r="O88" t="str">
        <f>IF(N88="","","Assinatura")</f>
        <v/>
      </c>
    </row>
    <row r="89">
      <c r="B89" s="129" t="n"/>
      <c r="C89" s="129" t="n"/>
      <c r="D89" s="145" t="n"/>
      <c r="E89" s="129" t="n"/>
      <c r="F89" s="224" t="str">
        <f>IF(OR(B89="",D89=""),"",D89/IFERROR(INDEX('Config'!$AJ$6:$AJ$40,MATCH(E89,'Config'!$AI$6:$AI$40,0)),1))</f>
        <v/>
      </c>
      <c r="G89" s="224" t="str">
        <f>IF(F89="","",F89*12)</f>
        <v/>
      </c>
      <c r="H89" s="130" t="n"/>
      <c r="I89" s="134" t="str">
        <f>IF(OR(B89="",H89=""),"",H89-Hoje)</f>
        <v/>
      </c>
      <c r="J89" s="129" t="n"/>
      <c r="K89" s="138" t="str">
        <f>IF(B89="","",IF(J89="Baixo","✖ Avaliar cancelamento",IF(AND(I89&lt;&gt;"",N(I89)&lt;=15),"▲ Renova em breve","✔ Mantém")))</f>
        <v/>
      </c>
      <c r="L89" s="129" t="n"/>
      <c r="N89" t="str">
        <f>IF(I89="","",IF(I89&lt;=15,I89+ROW()/1000000,""))</f>
        <v/>
      </c>
      <c r="O89" t="str">
        <f>IF(N89="","","Assinatura")</f>
        <v/>
      </c>
    </row>
    <row r="90">
      <c r="B90" s="129" t="n"/>
      <c r="C90" s="129" t="n"/>
      <c r="D90" s="145" t="n"/>
      <c r="E90" s="129" t="n"/>
      <c r="F90" s="224" t="str">
        <f>IF(OR(B90="",D90=""),"",D90/IFERROR(INDEX('Config'!$AJ$6:$AJ$40,MATCH(E90,'Config'!$AI$6:$AI$40,0)),1))</f>
        <v/>
      </c>
      <c r="G90" s="224" t="str">
        <f>IF(F90="","",F90*12)</f>
        <v/>
      </c>
      <c r="H90" s="130" t="n"/>
      <c r="I90" s="134" t="str">
        <f>IF(OR(B90="",H90=""),"",H90-Hoje)</f>
        <v/>
      </c>
      <c r="J90" s="129" t="n"/>
      <c r="K90" s="138" t="str">
        <f>IF(B90="","",IF(J90="Baixo","✖ Avaliar cancelamento",IF(AND(I90&lt;&gt;"",N(I90)&lt;=15),"▲ Renova em breve","✔ Mantém")))</f>
        <v/>
      </c>
      <c r="L90" s="129" t="n"/>
      <c r="N90" t="str">
        <f>IF(I90="","",IF(I90&lt;=15,I90+ROW()/1000000,""))</f>
        <v/>
      </c>
      <c r="O90" t="str">
        <f>IF(N90="","","Assinatura")</f>
        <v/>
      </c>
    </row>
    <row r="91">
      <c r="B91" s="129" t="n"/>
      <c r="C91" s="129" t="n"/>
      <c r="D91" s="145" t="n"/>
      <c r="E91" s="129" t="n"/>
      <c r="F91" s="224" t="str">
        <f>IF(OR(B91="",D91=""),"",D91/IFERROR(INDEX('Config'!$AJ$6:$AJ$40,MATCH(E91,'Config'!$AI$6:$AI$40,0)),1))</f>
        <v/>
      </c>
      <c r="G91" s="224" t="str">
        <f>IF(F91="","",F91*12)</f>
        <v/>
      </c>
      <c r="H91" s="130" t="n"/>
      <c r="I91" s="134" t="str">
        <f>IF(OR(B91="",H91=""),"",H91-Hoje)</f>
        <v/>
      </c>
      <c r="J91" s="129" t="n"/>
      <c r="K91" s="138" t="str">
        <f>IF(B91="","",IF(J91="Baixo","✖ Avaliar cancelamento",IF(AND(I91&lt;&gt;"",N(I91)&lt;=15),"▲ Renova em breve","✔ Mantém")))</f>
        <v/>
      </c>
      <c r="L91" s="129" t="n"/>
      <c r="N91" t="str">
        <f>IF(I91="","",IF(I91&lt;=15,I91+ROW()/1000000,""))</f>
        <v/>
      </c>
      <c r="O91" t="str">
        <f>IF(N91="","","Assinatura")</f>
        <v/>
      </c>
    </row>
    <row r="92">
      <c r="B92" s="129" t="n"/>
      <c r="C92" s="129" t="n"/>
      <c r="D92" s="145" t="n"/>
      <c r="E92" s="129" t="n"/>
      <c r="F92" s="224" t="str">
        <f>IF(OR(B92="",D92=""),"",D92/IFERROR(INDEX('Config'!$AJ$6:$AJ$40,MATCH(E92,'Config'!$AI$6:$AI$40,0)),1))</f>
        <v/>
      </c>
      <c r="G92" s="224" t="str">
        <f>IF(F92="","",F92*12)</f>
        <v/>
      </c>
      <c r="H92" s="130" t="n"/>
      <c r="I92" s="134" t="str">
        <f>IF(OR(B92="",H92=""),"",H92-Hoje)</f>
        <v/>
      </c>
      <c r="J92" s="129" t="n"/>
      <c r="K92" s="138" t="str">
        <f>IF(B92="","",IF(J92="Baixo","✖ Avaliar cancelamento",IF(AND(I92&lt;&gt;"",N(I92)&lt;=15),"▲ Renova em breve","✔ Mantém")))</f>
        <v/>
      </c>
      <c r="L92" s="129" t="n"/>
      <c r="N92" t="str">
        <f>IF(I92="","",IF(I92&lt;=15,I92+ROW()/1000000,""))</f>
        <v/>
      </c>
      <c r="O92" t="str">
        <f>IF(N92="","","Assinatura")</f>
        <v/>
      </c>
    </row>
    <row r="93">
      <c r="B93" s="129" t="n"/>
      <c r="C93" s="129" t="n"/>
      <c r="D93" s="145" t="n"/>
      <c r="E93" s="129" t="n"/>
      <c r="F93" s="224" t="str">
        <f>IF(OR(B93="",D93=""),"",D93/IFERROR(INDEX('Config'!$AJ$6:$AJ$40,MATCH(E93,'Config'!$AI$6:$AI$40,0)),1))</f>
        <v/>
      </c>
      <c r="G93" s="224" t="str">
        <f>IF(F93="","",F93*12)</f>
        <v/>
      </c>
      <c r="H93" s="130" t="n"/>
      <c r="I93" s="134" t="str">
        <f>IF(OR(B93="",H93=""),"",H93-Hoje)</f>
        <v/>
      </c>
      <c r="J93" s="129" t="n"/>
      <c r="K93" s="138" t="str">
        <f>IF(B93="","",IF(J93="Baixo","✖ Avaliar cancelamento",IF(AND(I93&lt;&gt;"",N(I93)&lt;=15),"▲ Renova em breve","✔ Mantém")))</f>
        <v/>
      </c>
      <c r="L93" s="129" t="n"/>
      <c r="N93" t="str">
        <f>IF(I93="","",IF(I93&lt;=15,I93+ROW()/1000000,""))</f>
        <v/>
      </c>
      <c r="O93" t="str">
        <f>IF(N93="","","Assinatura")</f>
        <v/>
      </c>
    </row>
    <row r="94">
      <c r="B94" s="129" t="n"/>
      <c r="C94" s="129" t="n"/>
      <c r="D94" s="145" t="n"/>
      <c r="E94" s="129" t="n"/>
      <c r="F94" s="224" t="str">
        <f>IF(OR(B94="",D94=""),"",D94/IFERROR(INDEX('Config'!$AJ$6:$AJ$40,MATCH(E94,'Config'!$AI$6:$AI$40,0)),1))</f>
        <v/>
      </c>
      <c r="G94" s="224" t="str">
        <f>IF(F94="","",F94*12)</f>
        <v/>
      </c>
      <c r="H94" s="130" t="n"/>
      <c r="I94" s="134" t="str">
        <f>IF(OR(B94="",H94=""),"",H94-Hoje)</f>
        <v/>
      </c>
      <c r="J94" s="129" t="n"/>
      <c r="K94" s="138" t="str">
        <f>IF(B94="","",IF(J94="Baixo","✖ Avaliar cancelamento",IF(AND(I94&lt;&gt;"",N(I94)&lt;=15),"▲ Renova em breve","✔ Mantém")))</f>
        <v/>
      </c>
      <c r="L94" s="129" t="n"/>
      <c r="N94" t="str">
        <f>IF(I94="","",IF(I94&lt;=15,I94+ROW()/1000000,""))</f>
        <v/>
      </c>
      <c r="O94" t="str">
        <f>IF(N94="","","Assinatura")</f>
        <v/>
      </c>
    </row>
    <row r="95">
      <c r="B95" s="129" t="n"/>
      <c r="C95" s="129" t="n"/>
      <c r="D95" s="145" t="n"/>
      <c r="E95" s="129" t="n"/>
      <c r="F95" s="224" t="str">
        <f>IF(OR(B95="",D95=""),"",D95/IFERROR(INDEX('Config'!$AJ$6:$AJ$40,MATCH(E95,'Config'!$AI$6:$AI$40,0)),1))</f>
        <v/>
      </c>
      <c r="G95" s="224" t="str">
        <f>IF(F95="","",F95*12)</f>
        <v/>
      </c>
      <c r="H95" s="130" t="n"/>
      <c r="I95" s="134" t="str">
        <f>IF(OR(B95="",H95=""),"",H95-Hoje)</f>
        <v/>
      </c>
      <c r="J95" s="129" t="n"/>
      <c r="K95" s="138" t="str">
        <f>IF(B95="","",IF(J95="Baixo","✖ Avaliar cancelamento",IF(AND(I95&lt;&gt;"",N(I95)&lt;=15),"▲ Renova em breve","✔ Mantém")))</f>
        <v/>
      </c>
      <c r="L95" s="129" t="n"/>
      <c r="N95" t="str">
        <f>IF(I95="","",IF(I95&lt;=15,I95+ROW()/1000000,""))</f>
        <v/>
      </c>
      <c r="O95" t="str">
        <f>IF(N95="","","Assinatura")</f>
        <v/>
      </c>
    </row>
    <row r="96">
      <c r="B96" s="129" t="n"/>
      <c r="C96" s="129" t="n"/>
      <c r="D96" s="145" t="n"/>
      <c r="E96" s="129" t="n"/>
      <c r="F96" s="224" t="str">
        <f>IF(OR(B96="",D96=""),"",D96/IFERROR(INDEX('Config'!$AJ$6:$AJ$40,MATCH(E96,'Config'!$AI$6:$AI$40,0)),1))</f>
        <v/>
      </c>
      <c r="G96" s="224" t="str">
        <f>IF(F96="","",F96*12)</f>
        <v/>
      </c>
      <c r="H96" s="130" t="n"/>
      <c r="I96" s="134" t="str">
        <f>IF(OR(B96="",H96=""),"",H96-Hoje)</f>
        <v/>
      </c>
      <c r="J96" s="129" t="n"/>
      <c r="K96" s="138" t="str">
        <f>IF(B96="","",IF(J96="Baixo","✖ Avaliar cancelamento",IF(AND(I96&lt;&gt;"",N(I96)&lt;=15),"▲ Renova em breve","✔ Mantém")))</f>
        <v/>
      </c>
      <c r="L96" s="129" t="n"/>
      <c r="N96" t="str">
        <f>IF(I96="","",IF(I96&lt;=15,I96+ROW()/1000000,""))</f>
        <v/>
      </c>
      <c r="O96" t="str">
        <f>IF(N96="","","Assinatura")</f>
        <v/>
      </c>
    </row>
    <row r="97">
      <c r="B97" s="129" t="n"/>
      <c r="C97" s="129" t="n"/>
      <c r="D97" s="145" t="n"/>
      <c r="E97" s="129" t="n"/>
      <c r="F97" s="224" t="str">
        <f>IF(OR(B97="",D97=""),"",D97/IFERROR(INDEX('Config'!$AJ$6:$AJ$40,MATCH(E97,'Config'!$AI$6:$AI$40,0)),1))</f>
        <v/>
      </c>
      <c r="G97" s="224" t="str">
        <f>IF(F97="","",F97*12)</f>
        <v/>
      </c>
      <c r="H97" s="130" t="n"/>
      <c r="I97" s="134" t="str">
        <f>IF(OR(B97="",H97=""),"",H97-Hoje)</f>
        <v/>
      </c>
      <c r="J97" s="129" t="n"/>
      <c r="K97" s="138" t="str">
        <f>IF(B97="","",IF(J97="Baixo","✖ Avaliar cancelamento",IF(AND(I97&lt;&gt;"",N(I97)&lt;=15),"▲ Renova em breve","✔ Mantém")))</f>
        <v/>
      </c>
      <c r="L97" s="129" t="n"/>
      <c r="N97" t="str">
        <f>IF(I97="","",IF(I97&lt;=15,I97+ROW()/1000000,""))</f>
        <v/>
      </c>
      <c r="O97" t="str">
        <f>IF(N97="","","Assinatura")</f>
        <v/>
      </c>
    </row>
    <row r="98">
      <c r="B98" s="129" t="n"/>
      <c r="C98" s="129" t="n"/>
      <c r="D98" s="145" t="n"/>
      <c r="E98" s="129" t="n"/>
      <c r="F98" s="224" t="str">
        <f>IF(OR(B98="",D98=""),"",D98/IFERROR(INDEX('Config'!$AJ$6:$AJ$40,MATCH(E98,'Config'!$AI$6:$AI$40,0)),1))</f>
        <v/>
      </c>
      <c r="G98" s="224" t="str">
        <f>IF(F98="","",F98*12)</f>
        <v/>
      </c>
      <c r="H98" s="130" t="n"/>
      <c r="I98" s="134" t="str">
        <f>IF(OR(B98="",H98=""),"",H98-Hoje)</f>
        <v/>
      </c>
      <c r="J98" s="129" t="n"/>
      <c r="K98" s="138" t="str">
        <f>IF(B98="","",IF(J98="Baixo","✖ Avaliar cancelamento",IF(AND(I98&lt;&gt;"",N(I98)&lt;=15),"▲ Renova em breve","✔ Mantém")))</f>
        <v/>
      </c>
      <c r="L98" s="129" t="n"/>
      <c r="N98" t="str">
        <f>IF(I98="","",IF(I98&lt;=15,I98+ROW()/1000000,""))</f>
        <v/>
      </c>
      <c r="O98" t="str">
        <f>IF(N98="","","Assinatura")</f>
        <v/>
      </c>
    </row>
    <row r="99">
      <c r="B99" s="129" t="n"/>
      <c r="C99" s="129" t="n"/>
      <c r="D99" s="145" t="n"/>
      <c r="E99" s="129" t="n"/>
      <c r="F99" s="224" t="str">
        <f>IF(OR(B99="",D99=""),"",D99/IFERROR(INDEX('Config'!$AJ$6:$AJ$40,MATCH(E99,'Config'!$AI$6:$AI$40,0)),1))</f>
        <v/>
      </c>
      <c r="G99" s="224" t="str">
        <f>IF(F99="","",F99*12)</f>
        <v/>
      </c>
      <c r="H99" s="130" t="n"/>
      <c r="I99" s="134" t="str">
        <f>IF(OR(B99="",H99=""),"",H99-Hoje)</f>
        <v/>
      </c>
      <c r="J99" s="129" t="n"/>
      <c r="K99" s="138" t="str">
        <f>IF(B99="","",IF(J99="Baixo","✖ Avaliar cancelamento",IF(AND(I99&lt;&gt;"",N(I99)&lt;=15),"▲ Renova em breve","✔ Mantém")))</f>
        <v/>
      </c>
      <c r="L99" s="129" t="n"/>
      <c r="N99" t="str">
        <f>IF(I99="","",IF(I99&lt;=15,I99+ROW()/1000000,""))</f>
        <v/>
      </c>
      <c r="O99" t="str">
        <f>IF(N99="","","Assinatura")</f>
        <v/>
      </c>
    </row>
    <row r="100">
      <c r="B100" s="129" t="n"/>
      <c r="C100" s="129" t="n"/>
      <c r="D100" s="145" t="n"/>
      <c r="E100" s="129" t="n"/>
      <c r="F100" s="224" t="str">
        <f>IF(OR(B100="",D100=""),"",D100/IFERROR(INDEX('Config'!$AJ$6:$AJ$40,MATCH(E100,'Config'!$AI$6:$AI$40,0)),1))</f>
        <v/>
      </c>
      <c r="G100" s="224" t="str">
        <f>IF(F100="","",F100*12)</f>
        <v/>
      </c>
      <c r="H100" s="130" t="n"/>
      <c r="I100" s="134" t="str">
        <f>IF(OR(B100="",H100=""),"",H100-Hoje)</f>
        <v/>
      </c>
      <c r="J100" s="129" t="n"/>
      <c r="K100" s="138" t="str">
        <f>IF(B100="","",IF(J100="Baixo","✖ Avaliar cancelamento",IF(AND(I100&lt;&gt;"",N(I100)&lt;=15),"▲ Renova em breve","✔ Mantém")))</f>
        <v/>
      </c>
      <c r="L100" s="129" t="n"/>
      <c r="N100" t="str">
        <f>IF(I100="","",IF(I100&lt;=15,I100+ROW()/1000000,""))</f>
        <v/>
      </c>
      <c r="O100" t="str">
        <f>IF(N100="","","Assinatura")</f>
        <v/>
      </c>
    </row>
    <row r="101">
      <c r="B101" s="129" t="n"/>
      <c r="C101" s="129" t="n"/>
      <c r="D101" s="145" t="n"/>
      <c r="E101" s="129" t="n"/>
      <c r="F101" s="224" t="str">
        <f>IF(OR(B101="",D101=""),"",D101/IFERROR(INDEX('Config'!$AJ$6:$AJ$40,MATCH(E101,'Config'!$AI$6:$AI$40,0)),1))</f>
        <v/>
      </c>
      <c r="G101" s="224" t="str">
        <f>IF(F101="","",F101*12)</f>
        <v/>
      </c>
      <c r="H101" s="130" t="n"/>
      <c r="I101" s="134" t="str">
        <f>IF(OR(B101="",H101=""),"",H101-Hoje)</f>
        <v/>
      </c>
      <c r="J101" s="129" t="n"/>
      <c r="K101" s="138" t="str">
        <f>IF(B101="","",IF(J101="Baixo","✖ Avaliar cancelamento",IF(AND(I101&lt;&gt;"",N(I101)&lt;=15),"▲ Renova em breve","✔ Mantém")))</f>
        <v/>
      </c>
      <c r="L101" s="129" t="n"/>
      <c r="N101" t="str">
        <f>IF(I101="","",IF(I101&lt;=15,I101+ROW()/1000000,""))</f>
        <v/>
      </c>
      <c r="O101" t="str">
        <f>IF(N101="","","Assinatura")</f>
        <v/>
      </c>
    </row>
  </sheetData>
  <mergeCells count="77">
    <mergeCell ref="K49:L49"/>
    <mergeCell ref="C6:D6"/>
    <mergeCell ref="J27:L27"/>
    <mergeCell ref="J35:L35"/>
    <mergeCell ref="J11:L11"/>
    <mergeCell ref="J25:L25"/>
    <mergeCell ref="K50:L50"/>
    <mergeCell ref="K58:L58"/>
    <mergeCell ref="K52:L52"/>
    <mergeCell ref="K67:L67"/>
    <mergeCell ref="K42:L42"/>
    <mergeCell ref="J29:L29"/>
    <mergeCell ref="K53:L53"/>
    <mergeCell ref="J13:L13"/>
    <mergeCell ref="K69:L69"/>
    <mergeCell ref="J15:L15"/>
    <mergeCell ref="J24:L24"/>
    <mergeCell ref="I6:J6"/>
    <mergeCell ref="C5:D5"/>
    <mergeCell ref="E5:F5"/>
    <mergeCell ref="J26:L26"/>
    <mergeCell ref="K55:L55"/>
    <mergeCell ref="K64:L64"/>
    <mergeCell ref="J16:L16"/>
    <mergeCell ref="K51:L51"/>
    <mergeCell ref="G7:H7"/>
    <mergeCell ref="I7:J7"/>
    <mergeCell ref="K63:L63"/>
    <mergeCell ref="K72:L72"/>
    <mergeCell ref="K41:L41"/>
    <mergeCell ref="K56:L56"/>
    <mergeCell ref="J33:L33"/>
    <mergeCell ref="K43:L43"/>
    <mergeCell ref="J14:L14"/>
    <mergeCell ref="J28:L28"/>
    <mergeCell ref="K66:L66"/>
    <mergeCell ref="K6:L6"/>
    <mergeCell ref="J30:L30"/>
    <mergeCell ref="K68:L68"/>
    <mergeCell ref="K5:L5"/>
    <mergeCell ref="K45:L45"/>
    <mergeCell ref="K54:L54"/>
    <mergeCell ref="K60:L60"/>
    <mergeCell ref="J32:L32"/>
    <mergeCell ref="K47:L47"/>
    <mergeCell ref="K44:L44"/>
    <mergeCell ref="K46:L46"/>
    <mergeCell ref="K40:L40"/>
    <mergeCell ref="E6:F6"/>
    <mergeCell ref="J18:L18"/>
    <mergeCell ref="K71:L71"/>
    <mergeCell ref="J17:L17"/>
    <mergeCell ref="K7:L7"/>
    <mergeCell ref="C7:D7"/>
    <mergeCell ref="J10:L10"/>
    <mergeCell ref="K73:L73"/>
    <mergeCell ref="E7:F7"/>
    <mergeCell ref="J19:L19"/>
    <mergeCell ref="K65:L65"/>
    <mergeCell ref="K57:L57"/>
    <mergeCell ref="J34:L34"/>
    <mergeCell ref="J20:L20"/>
    <mergeCell ref="J22:L22"/>
    <mergeCell ref="J31:L31"/>
    <mergeCell ref="G6:H6"/>
    <mergeCell ref="J12:L12"/>
    <mergeCell ref="J21:L21"/>
    <mergeCell ref="K59:L59"/>
    <mergeCell ref="G5:H5"/>
    <mergeCell ref="J23:L23"/>
    <mergeCell ref="I5:J5"/>
    <mergeCell ref="K61:L61"/>
    <mergeCell ref="K39:L39"/>
    <mergeCell ref="K70:L70"/>
    <mergeCell ref="K48:L48"/>
    <mergeCell ref="K38:L38"/>
    <mergeCell ref="K62:L62"/>
  </mergeCells>
  <conditionalFormatting sqref="B7:L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1:H35">
    <cfRule type="expression" priority="7" dxfId="5">
      <formula>LEFT(H11,1)="✔"</formula>
    </cfRule>
    <cfRule type="expression" priority="8" dxfId="6">
      <formula>LEFT(H11,1)="▲"</formula>
    </cfRule>
    <cfRule type="expression" priority="9" dxfId="7">
      <formula>LEFT(H11,1)="✖"</formula>
    </cfRule>
    <cfRule type="expression" priority="10" dxfId="8">
      <formula>LEFT(H11,1)="○"</formula>
    </cfRule>
    <cfRule type="expression" priority="11" dxfId="8">
      <formula>LEFT(H11,1)="‖"</formula>
    </cfRule>
    <cfRule type="expression" priority="12" dxfId="8">
      <formula>LEFT(H11,1)="–"</formula>
    </cfRule>
  </conditionalFormatting>
  <conditionalFormatting sqref="H39:H73">
    <cfRule type="expression" priority="13" dxfId="5">
      <formula>LEFT(H39,1)="✔"</formula>
    </cfRule>
    <cfRule type="expression" priority="14" dxfId="6">
      <formula>LEFT(H39,1)="▲"</formula>
    </cfRule>
    <cfRule type="expression" priority="15" dxfId="7">
      <formula>LEFT(H39,1)="✖"</formula>
    </cfRule>
    <cfRule type="expression" priority="16" dxfId="8">
      <formula>LEFT(H39,1)="○"</formula>
    </cfRule>
    <cfRule type="expression" priority="17" dxfId="8">
      <formula>LEFT(H39,1)="‖"</formula>
    </cfRule>
    <cfRule type="expression" priority="18" dxfId="8">
      <formula>LEFT(H39,1)="–"</formula>
    </cfRule>
  </conditionalFormatting>
  <conditionalFormatting sqref="K77:K101">
    <cfRule type="expression" priority="19" dxfId="5">
      <formula>LEFT(K77,1)="✔"</formula>
    </cfRule>
    <cfRule type="expression" priority="20" dxfId="6">
      <formula>LEFT(K77,1)="▲"</formula>
    </cfRule>
    <cfRule type="expression" priority="21" dxfId="7">
      <formula>LEFT(K77,1)="✖"</formula>
    </cfRule>
    <cfRule type="expression" priority="22" dxfId="8">
      <formula>LEFT(K77,1)="○"</formula>
    </cfRule>
    <cfRule type="expression" priority="23" dxfId="8">
      <formula>LEFT(K77,1)="‖"</formula>
    </cfRule>
    <cfRule type="expression" priority="24" dxfId="8">
      <formula>LEFT(K77,1)="–"</formula>
    </cfRule>
  </conditionalFormatting>
  <dataValidations count="9">
    <dataValidation sqref="E11:F35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39:C73" showDropDown="0" showInputMessage="0" showErrorMessage="1" allowBlank="1" errorTitle="Valor fora da lista" error="Escolha um item da lista (as listas ficam na aba Config)." type="list" errorStyle="stop">
      <formula1>lst_CatManut</formula1>
    </dataValidation>
    <dataValidation sqref="D39:D73" showDropDown="0" showInputMessage="1" showErrorMessage="1" allowBlank="1" errorTitle="Valor inválido" error="Use um número entre 1 e 3650." promptTitle="" prompt="7 = semanal · 30 = mensal · 90 = trimestral · 365 = anual" type="whole" operator="between">
      <formula1>1</formula1>
      <formula2>3650</formula2>
    </dataValidation>
    <dataValidation sqref="E39:E73" showDropDown="0" showInputMessage="1" showErrorMessage="1" allowBlank="1" errorTitle="Data inválida" error="Digite uma data (ex.: 15/03/2026). Atalho: Ctrl+; insere a data de hoje." prompt="Quando fez pela última vez — atualize ao fazer de novo" type="date" operator="between">
      <formula1>36526</formula1>
      <formula2>73051</formula2>
    </dataValidation>
    <dataValidation sqref="C77:C101" showDropDown="0" showInputMessage="0" showErrorMessage="1" allowBlank="1" errorTitle="Valor fora da lista" error="Escolha um item da lista (as listas ficam na aba Config)." type="list" errorStyle="warning">
      <formula1>lst_CatDesp</formula1>
    </dataValidation>
    <dataValidation sqref="D77:D101" showDropDown="0" showInputMessage="0" showErrorMessage="1" allowBlank="1" errorTitle="Valor inválido" error="Use um número entre 0 e 1000000." type="decimal" operator="between">
      <formula1>0</formula1>
      <formula2>1000000</formula2>
    </dataValidation>
    <dataValidation sqref="E77:E101" showDropDown="0" showInputMessage="0" showErrorMessage="1" allowBlank="1" errorTitle="Valor fora da lista" error="Escolha um item da lista (as listas ficam na aba Config)." type="list" errorStyle="stop">
      <formula1>lst_Periodo</formula1>
    </dataValidation>
    <dataValidation sqref="H77:H101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J77:J101" showDropDown="0" showInputMessage="1" showErrorMessage="1" allowBlank="1" errorTitle="Valor fora da lista" error="Escolha um item da lista (as listas ficam na aba Config)." prompt="Seja honesto: quanto você realmente usa?" type="list" errorStyle="stop">
      <formula1>lst_Uso</formula1>
    </dataValidation>
  </dataValidations>
  <hyperlinks>
    <hyperlink ref="L1" location="'Dashboard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98781"/>
    <outlinePr summaryBelow="1" summaryRight="1"/>
    <pageSetUpPr/>
  </sheetPr>
  <dimension ref="A1:H69"/>
  <sheetViews>
    <sheetView showGridLines="0" tabSelected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0" customWidth="1" min="3" max="3"/>
    <col width="30" customWidth="1" min="4" max="4"/>
    <col width="30" customWidth="1" min="5" max="5"/>
    <col width="22" customWidth="1" min="6" max="6"/>
    <col width="14" customWidth="1" min="7" max="7"/>
    <col width="14" customWidth="1" min="8" max="8"/>
  </cols>
  <sheetData>
    <row r="1" ht="34" customHeight="1">
      <c r="A1" s="225" t="n"/>
      <c r="B1" s="97" t="inlineStr">
        <is>
          <t>Guia · como usar o sistema</t>
        </is>
      </c>
      <c r="C1" s="1" t="n"/>
      <c r="D1" s="1" t="n"/>
      <c r="E1" s="1" t="n"/>
      <c r="F1" s="1" t="n"/>
      <c r="G1" s="1" t="n"/>
      <c r="H1" s="98" t="inlineStr">
        <is>
          <t>◀ Dashboard</t>
        </is>
      </c>
    </row>
    <row r="2" ht="18" customHeight="1">
      <c r="A2" s="225" t="n"/>
      <c r="B2" s="99" t="inlineStr">
        <is>
          <t>Leia uma vez. Depois, o ritmo é: 2 minutos por dia, 20 por semana, 30 por mês.</t>
        </is>
      </c>
    </row>
    <row r="3" ht="16" customHeight="1">
      <c r="A3" s="225" t="n"/>
    </row>
    <row r="4" ht="8" customHeight="1"/>
    <row r="5" ht="22" customHeight="1">
      <c r="B5" s="226" t="inlineStr">
        <is>
          <t>COMECE AQUI · 10 minutos</t>
        </is>
      </c>
      <c r="C5" s="227" t="n"/>
      <c r="D5" s="227" t="n"/>
      <c r="E5" s="227" t="n"/>
      <c r="F5" s="227" t="n"/>
      <c r="G5" s="227" t="n"/>
      <c r="H5" s="227" t="n"/>
    </row>
    <row r="6" ht="16" customHeight="1">
      <c r="B6" s="228" t="inlineStr">
        <is>
          <t>1. Config: escreva seu nome, confira o ano e ajuste suas metas (poupança, sono, treinos, estudo, lazer…).</t>
        </is>
      </c>
    </row>
    <row r="7" ht="16" customHeight="1">
      <c r="B7" s="228" t="inlineStr">
        <is>
          <t>2. Metas: escreva sua visão de 5 anos e 3 a 7 metas mensuráveis, cada uma ligada a uma área da vida.</t>
        </is>
      </c>
    </row>
    <row r="8" ht="16" customHeight="1">
      <c r="B8" s="228" t="inlineStr">
        <is>
          <t>3. Hábitos: dê nome a até 10 hábitos (linha azul), escolha a área e a meta de dias por semana.</t>
        </is>
      </c>
    </row>
    <row r="9" ht="16" customHeight="1">
      <c r="B9" s="228" t="inlineStr">
        <is>
          <t>4. Orçamento: defina quanto pretende gastar por categoria (coluna 'Orçamento / mês').</t>
        </is>
      </c>
    </row>
    <row r="10" ht="16" customHeight="1">
      <c r="B10" s="228" t="inlineStr">
        <is>
          <t>5. Relações: cadastre as pessoas importantes e de quantos em quantos dias quer falar com cada uma.</t>
        </is>
      </c>
    </row>
    <row r="11" ht="16" customHeight="1">
      <c r="B11" s="228" t="inlineStr">
        <is>
          <t>6. Casa: cadastre documentos com validade, rotinas recorrentes e assinaturas.</t>
        </is>
      </c>
    </row>
    <row r="12" ht="16" customHeight="1">
      <c r="B12" s="228" t="inlineStr">
        <is>
          <t>7. Roda da Vida: dê sua primeira nota (0 a 10) para cada área. Pronto: o Dashboard já tem um ponto de partida.</t>
        </is>
      </c>
    </row>
    <row r="14" ht="22" customHeight="1">
      <c r="B14" s="226" t="inlineStr">
        <is>
          <t>RITMO DE USO</t>
        </is>
      </c>
      <c r="C14" s="227" t="n"/>
      <c r="D14" s="227" t="n"/>
      <c r="E14" s="227" t="n"/>
      <c r="F14" s="227" t="n"/>
      <c r="G14" s="227" t="n"/>
      <c r="H14" s="227" t="n"/>
    </row>
    <row r="15">
      <c r="B15" s="229" t="inlineStr">
        <is>
          <t>Quando</t>
        </is>
      </c>
      <c r="C15" s="229" t="inlineStr">
        <is>
          <t>O que fazer</t>
        </is>
      </c>
      <c r="E15" s="229" t="inlineStr">
        <is>
          <t>Onde</t>
        </is>
      </c>
    </row>
    <row r="16" ht="26" customHeight="1">
      <c r="B16" s="230" t="inlineStr">
        <is>
          <t>Todo dia · 2 min</t>
        </is>
      </c>
      <c r="C16" s="113" t="inlineStr">
        <is>
          <t>Preencher a linha de hoje: sono, humor, energia, estresse, treino e uma nota curta. Marcar x nos hábitos cumpridos.</t>
        </is>
      </c>
      <c r="D16" s="115" t="n"/>
      <c r="E16" s="113" t="inlineStr">
        <is>
          <t>Saúde · Hábitos (use o link 'Ir para a linha de hoje')</t>
        </is>
      </c>
      <c r="F16" s="114" t="n"/>
      <c r="G16" s="114" t="n"/>
      <c r="H16" s="115" t="n"/>
    </row>
    <row r="17" ht="26" customHeight="1">
      <c r="B17" s="230" t="inlineStr">
        <is>
          <t>Ao gastar ou receber</t>
        </is>
      </c>
      <c r="C17" s="113" t="inlineStr">
        <is>
          <t>Lançar a transação (ou acumule e lance 1× por semana a partir do extrato).</t>
        </is>
      </c>
      <c r="D17" s="115" t="n"/>
      <c r="E17" s="113" t="inlineStr">
        <is>
          <t>Finanças</t>
        </is>
      </c>
      <c r="F17" s="114" t="n"/>
      <c r="G17" s="114" t="n"/>
      <c r="H17" s="115" t="n"/>
    </row>
    <row r="18" ht="26" customHeight="1">
      <c r="B18" s="230" t="inlineStr">
        <is>
          <t>Toda semana · 20 min</t>
        </is>
      </c>
      <c r="C18" s="113" t="inlineStr">
        <is>
          <t>Revisar tarefas e prazos, escrever as 3 prioridades da semana no Dashboard, registrar contatos, horas de estudo e lazer.</t>
        </is>
      </c>
      <c r="D18" s="115" t="n"/>
      <c r="E18" s="113" t="inlineStr">
        <is>
          <t>Dashboard · Tarefas · Relações · Aprendizado · Lazer</t>
        </is>
      </c>
      <c r="F18" s="114" t="n"/>
      <c r="G18" s="114" t="n"/>
      <c r="H18" s="115" t="n"/>
    </row>
    <row r="19" ht="39" customHeight="1">
      <c r="B19" s="230" t="inlineStr">
        <is>
          <t>Fim do mês · 30 min</t>
        </is>
      </c>
      <c r="C19" s="113" t="inlineStr">
        <is>
          <t>Atualizar saldos do patrimônio, dar nota para cada área, escrever a revisão mensal (vitórias, o que não funcionou, aprendizado, foco do próximo mês) e atualizar o valor atual das metas.</t>
        </is>
      </c>
      <c r="D19" s="115" t="n"/>
      <c r="E19" s="113" t="inlineStr">
        <is>
          <t>Orçamento · Roda da Vida · Metas</t>
        </is>
      </c>
      <c r="F19" s="114" t="n"/>
      <c r="G19" s="114" t="n"/>
      <c r="H19" s="115" t="n"/>
    </row>
    <row r="20" ht="26" customHeight="1">
      <c r="B20" s="230" t="inlineStr">
        <is>
          <t>Fim do ano</t>
        </is>
      </c>
      <c r="C20" s="113" t="inlineStr">
        <is>
          <t>Duplicar o arquivo, apagar os dados, mudar o ano em Config e começar o ano seguinte.</t>
        </is>
      </c>
      <c r="D20" s="115" t="n"/>
      <c r="E20" s="113" t="inlineStr">
        <is>
          <t>Arquivo · Config</t>
        </is>
      </c>
      <c r="F20" s="114" t="n"/>
      <c r="G20" s="114" t="n"/>
      <c r="H20" s="115" t="n"/>
    </row>
    <row r="22" ht="22" customHeight="1">
      <c r="B22" s="226" t="inlineStr">
        <is>
          <t>MAPA DAS ABAS</t>
        </is>
      </c>
      <c r="C22" s="227" t="n"/>
      <c r="D22" s="227" t="n"/>
      <c r="E22" s="227" t="n"/>
      <c r="F22" s="227" t="n"/>
      <c r="G22" s="227" t="n"/>
      <c r="H22" s="227" t="n"/>
    </row>
    <row r="23">
      <c r="B23" s="229" t="inlineStr">
        <is>
          <t>Aba</t>
        </is>
      </c>
      <c r="C23" s="229" t="inlineStr">
        <is>
          <t>Para que serve</t>
        </is>
      </c>
      <c r="E23" s="229" t="inlineStr">
        <is>
          <t>O que alimenta no Dashboard</t>
        </is>
      </c>
    </row>
    <row r="24" ht="26" customHeight="1">
      <c r="B24" s="230" t="inlineStr">
        <is>
          <t>Dashboard</t>
        </is>
      </c>
      <c r="C24" s="113" t="inlineStr">
        <is>
          <t>Tudo de uma vez: 16 indicadores, placar das 11 áreas, alertas, reflexão e gráficos. Escolha o mês no topo.</t>
        </is>
      </c>
      <c r="D24" s="115" t="n"/>
      <c r="E24" s="113" t="inlineStr">
        <is>
          <t>—</t>
        </is>
      </c>
      <c r="F24" s="114" t="n"/>
      <c r="G24" s="114" t="n"/>
      <c r="H24" s="115" t="n"/>
    </row>
    <row r="25" ht="18" customHeight="1">
      <c r="B25" s="230" t="inlineStr">
        <is>
          <t>Roda da Vida</t>
        </is>
      </c>
      <c r="C25" s="113" t="inlineStr">
        <is>
          <t>Nota mensal (0–10) por área + revisão mensal qualitativa.</t>
        </is>
      </c>
      <c r="D25" s="115" t="n"/>
      <c r="E25" s="113" t="inlineStr">
        <is>
          <t>Percepção, tendência, foco do mês, vitórias</t>
        </is>
      </c>
      <c r="F25" s="114" t="n"/>
      <c r="G25" s="114" t="n"/>
      <c r="H25" s="115" t="n"/>
    </row>
    <row r="26" ht="26" customHeight="1">
      <c r="B26" s="230" t="inlineStr">
        <is>
          <t>Metas</t>
        </is>
      </c>
      <c r="C26" s="113" t="inlineStr">
        <is>
          <t>Visão, propósito e metas com início, prazo e valores. Calcula progresso, ritmo esperado e horizonte (curto/médio/longo).</t>
        </is>
      </c>
      <c r="D26" s="115" t="n"/>
      <c r="E26" s="113" t="inlineStr">
        <is>
          <t>Metas no ritmo, lista de metas, gráfico progresso × esperado</t>
        </is>
      </c>
      <c r="F26" s="114" t="n"/>
      <c r="G26" s="114" t="n"/>
      <c r="H26" s="115" t="n"/>
    </row>
    <row r="27" ht="26" customHeight="1">
      <c r="B27" s="230" t="inlineStr">
        <is>
          <t>Tarefas</t>
        </is>
      </c>
      <c r="C27" s="113" t="inlineStr">
        <is>
          <t>Projetos (inclui banco de ideias) e tarefas com prioridade, prazo e alerta automático (matriz de Eisenhower).</t>
        </is>
      </c>
      <c r="D27" s="115" t="n"/>
      <c r="E27" s="113" t="inlineStr">
        <is>
          <t>Tarefas atrasadas, lista de próximas</t>
        </is>
      </c>
      <c r="F27" s="114" t="n"/>
      <c r="G27" s="114" t="n"/>
      <c r="H27" s="115" t="n"/>
    </row>
    <row r="28" ht="26" customHeight="1">
      <c r="B28" s="230" t="inlineStr">
        <is>
          <t>Finanças</t>
        </is>
      </c>
      <c r="C28" s="113" t="inlineStr">
        <is>
          <t>Lançamentos de receitas, despesas e aportes com categoria e forma de pagamento.</t>
        </is>
      </c>
      <c r="D28" s="115" t="n"/>
      <c r="E28" s="113" t="inlineStr">
        <is>
          <t>Resultado, taxa de poupança, despesas por categoria</t>
        </is>
      </c>
      <c r="F28" s="114" t="n"/>
      <c r="G28" s="114" t="n"/>
      <c r="H28" s="115" t="n"/>
    </row>
    <row r="29" ht="26" customHeight="1">
      <c r="B29" s="230" t="inlineStr">
        <is>
          <t>Orçamento</t>
        </is>
      </c>
      <c r="C29" s="113" t="inlineStr">
        <is>
          <t>Planejado × realizado por categoria e por mês, patrimônio mensal e distribuição 50/30/20.</t>
        </is>
      </c>
      <c r="D29" s="115" t="n"/>
      <c r="E29" s="113" t="inlineStr">
        <is>
          <t>Patrimônio, reserva de emergência, gráficos anuais</t>
        </is>
      </c>
      <c r="F29" s="114" t="n"/>
      <c r="G29" s="114" t="n"/>
      <c r="H29" s="115" t="n"/>
    </row>
    <row r="30" ht="26" customHeight="1">
      <c r="B30" s="230" t="inlineStr">
        <is>
          <t>Saúde</t>
        </is>
      </c>
      <c r="C30" s="113" t="inlineStr">
        <is>
          <t>Registro diário (sono, humor, energia, estresse, treino, passos, peso) + consultas e exames.</t>
        </is>
      </c>
      <c r="D30" s="115" t="n"/>
      <c r="E30" s="113" t="inlineStr">
        <is>
          <t>Sono, treinos, humor, faixa de humor de 28 dias</t>
        </is>
      </c>
      <c r="F30" s="114" t="n"/>
      <c r="G30" s="114" t="n"/>
      <c r="H30" s="115" t="n"/>
    </row>
    <row r="31" ht="26" customHeight="1">
      <c r="B31" s="230" t="inlineStr">
        <is>
          <t>Hábitos</t>
        </is>
      </c>
      <c r="C31" s="113" t="inlineStr">
        <is>
          <t>Grade anual de hábitos com meta semanal, sequência atual e melhor sequência.</t>
        </is>
      </c>
      <c r="D31" s="115" t="n"/>
      <c r="E31" s="113" t="inlineStr">
        <is>
          <t>Consistência, faixa de 28 dias, gráficos</t>
        </is>
      </c>
      <c r="F31" s="114" t="n"/>
      <c r="G31" s="114" t="n"/>
      <c r="H31" s="115" t="n"/>
    </row>
    <row r="32" ht="26" customHeight="1">
      <c r="B32" s="230" t="inlineStr">
        <is>
          <t>Carreira</t>
        </is>
      </c>
      <c r="C32" s="113" t="inlineStr">
        <is>
          <t>Situação atual, competências (atual × alvo), candidaturas e diário de conquistas.</t>
        </is>
      </c>
      <c r="D32" s="115" t="n"/>
      <c r="E32" s="113" t="inlineStr">
        <is>
          <t>Placar de carreira</t>
        </is>
      </c>
      <c r="F32" s="114" t="n"/>
      <c r="G32" s="114" t="n"/>
      <c r="H32" s="115" t="n"/>
    </row>
    <row r="33" ht="26" customHeight="1">
      <c r="B33" s="230" t="inlineStr">
        <is>
          <t>Relações</t>
        </is>
      </c>
      <c r="C33" s="113" t="inlineStr">
        <is>
          <t>Pessoas importantes com frequência desejada de contato, aniversários e registro de contatos.</t>
        </is>
      </c>
      <c r="D33" s="115" t="n"/>
      <c r="E33" s="113" t="inlineStr">
        <is>
          <t>Contatos em dia, contatos a fazer, aniversários</t>
        </is>
      </c>
      <c r="F33" s="114" t="n"/>
      <c r="G33" s="114" t="n"/>
      <c r="H33" s="115" t="n"/>
    </row>
    <row r="34" ht="18" customHeight="1">
      <c r="B34" s="230" t="inlineStr">
        <is>
          <t>Aprendizado</t>
        </is>
      </c>
      <c r="C34" s="113" t="inlineStr">
        <is>
          <t>Livros, cursos, idiomas e sessões de estudo.</t>
        </is>
      </c>
      <c r="D34" s="115" t="n"/>
      <c r="E34" s="113" t="inlineStr">
        <is>
          <t>Horas de estudo, livros no ano, 'aprendendo agora'</t>
        </is>
      </c>
      <c r="F34" s="114" t="n"/>
      <c r="G34" s="114" t="n"/>
      <c r="H34" s="115" t="n"/>
    </row>
    <row r="35" ht="18" customHeight="1">
      <c r="B35" s="230" t="inlineStr">
        <is>
          <t>Lazer</t>
        </is>
      </c>
      <c r="C35" s="113" t="inlineStr">
        <is>
          <t>Registro de lazer (tempo, custo, satisfação) e lista de sonhos.</t>
        </is>
      </c>
      <c r="D35" s="115" t="n"/>
      <c r="E35" s="113" t="inlineStr">
        <is>
          <t>Horas de lazer, satisfação</t>
        </is>
      </c>
      <c r="F35" s="114" t="n"/>
      <c r="G35" s="114" t="n"/>
      <c r="H35" s="115" t="n"/>
    </row>
    <row r="36" ht="18" customHeight="1">
      <c r="B36" s="230" t="inlineStr">
        <is>
          <t>Casa</t>
        </is>
      </c>
      <c r="C36" s="113" t="inlineStr">
        <is>
          <t>Documentos com validade, rotinas recorrentes e assinaturas.</t>
        </is>
      </c>
      <c r="D36" s="115" t="n"/>
      <c r="E36" s="113" t="inlineStr">
        <is>
          <t>Vencimentos, alertas de casa</t>
        </is>
      </c>
      <c r="F36" s="114" t="n"/>
      <c r="G36" s="114" t="n"/>
      <c r="H36" s="115" t="n"/>
    </row>
    <row r="37" ht="18" customHeight="1">
      <c r="B37" s="230" t="inlineStr">
        <is>
          <t>Config</t>
        </is>
      </c>
      <c r="C37" s="113" t="inlineStr">
        <is>
          <t>Seus parâmetros, metas e todas as listas dos menus.</t>
        </is>
      </c>
      <c r="D37" s="115" t="n"/>
      <c r="E37" s="113" t="inlineStr">
        <is>
          <t>Tudo</t>
        </is>
      </c>
      <c r="F37" s="114" t="n"/>
      <c r="G37" s="114" t="n"/>
      <c r="H37" s="115" t="n"/>
    </row>
    <row r="38" ht="18" customHeight="1">
      <c r="B38" s="230" t="inlineStr">
        <is>
          <t>Cálculos</t>
        </is>
      </c>
      <c r="C38" s="113" t="inlineStr">
        <is>
          <t>Motor transparente: mostra como cada número do Dashboard é calculado.</t>
        </is>
      </c>
      <c r="D38" s="115" t="n"/>
      <c r="E38" s="113" t="inlineStr">
        <is>
          <t>Tudo</t>
        </is>
      </c>
      <c r="F38" s="114" t="n"/>
      <c r="G38" s="114" t="n"/>
      <c r="H38" s="115" t="n"/>
    </row>
    <row r="40" ht="22" customHeight="1">
      <c r="B40" s="226" t="inlineStr">
        <is>
          <t>LEGENDA</t>
        </is>
      </c>
      <c r="C40" s="227" t="n"/>
      <c r="D40" s="227" t="n"/>
      <c r="E40" s="227" t="n"/>
      <c r="F40" s="227" t="n"/>
      <c r="G40" s="227" t="n"/>
      <c r="H40" s="227" t="n"/>
    </row>
    <row r="41">
      <c r="B41" s="148" t="inlineStr">
        <is>
          <t>Branco</t>
        </is>
      </c>
      <c r="C41" s="231" t="inlineStr">
        <is>
          <t>Célula para você preencher.</t>
        </is>
      </c>
    </row>
    <row r="42">
      <c r="B42" s="105" t="inlineStr">
        <is>
          <t>Cinza</t>
        </is>
      </c>
      <c r="C42" s="231" t="inlineStr">
        <is>
          <t>Cálculo automático. Não digite por cima.</t>
        </is>
      </c>
    </row>
    <row r="43">
      <c r="B43" s="232" t="inlineStr">
        <is>
          <t>Azul-claro</t>
        </is>
      </c>
      <c r="C43" s="231" t="inlineStr">
        <is>
          <t>Cabeçalho editável (nomes dos hábitos).</t>
        </is>
      </c>
    </row>
    <row r="44">
      <c r="B44" s="233" t="inlineStr">
        <is>
          <t>Amarelo-claro</t>
        </is>
      </c>
      <c r="C44" s="231" t="inlineStr">
        <is>
          <t>Linha de hoje / mês de referência.</t>
        </is>
      </c>
    </row>
    <row r="45">
      <c r="B45" s="234" t="inlineStr">
        <is>
          <t>✔</t>
        </is>
      </c>
      <c r="C45" s="231" t="inlineStr">
        <is>
          <t>ok / no alvo / em dia</t>
        </is>
      </c>
    </row>
    <row r="46">
      <c r="B46" s="235" t="inlineStr">
        <is>
          <t>▲</t>
        </is>
      </c>
      <c r="C46" s="231" t="inlineStr">
        <is>
          <t>atenção / vence em breve / abaixo do ritmo</t>
        </is>
      </c>
    </row>
    <row r="47">
      <c r="B47" s="236" t="inlineStr">
        <is>
          <t>✖</t>
        </is>
      </c>
      <c r="C47" s="231" t="inlineStr">
        <is>
          <t>crítico / atrasado / vencido</t>
        </is>
      </c>
    </row>
    <row r="48">
      <c r="B48" s="237" t="inlineStr">
        <is>
          <t>○</t>
        </is>
      </c>
      <c r="C48" s="231" t="inlineStr">
        <is>
          <t>sem dados ou neutro</t>
        </is>
      </c>
    </row>
    <row r="49">
      <c r="B49" s="238" t="inlineStr">
        <is>
          <t>↑ ↓ →</t>
        </is>
      </c>
      <c r="C49" s="231" t="inlineStr">
        <is>
          <t>tendência da nota da área em relação ao mês anterior</t>
        </is>
      </c>
    </row>
    <row r="50" ht="26" customHeight="1">
      <c r="B50" s="239" t="inlineStr">
        <is>
          <t>Cores das abas: azul = planejamento (Roda, Metas, Tarefas) · verde-água = dinheiro · laranja = corpo e rotina · violeta = crescimento (Carreira, Aprendizado) · rosa = pessoas e lazer · amarelo = casa · cinza = sistema.</t>
        </is>
      </c>
    </row>
    <row r="52" ht="22" customHeight="1">
      <c r="B52" s="226" t="inlineStr">
        <is>
          <t>COMO O 'ÍNDICE DE VIDA' É CALCULADO</t>
        </is>
      </c>
      <c r="C52" s="227" t="n"/>
      <c r="D52" s="227" t="n"/>
      <c r="E52" s="227" t="n"/>
      <c r="F52" s="227" t="n"/>
      <c r="G52" s="227" t="n"/>
      <c r="H52" s="227" t="n"/>
    </row>
    <row r="53" ht="30" customHeight="1">
      <c r="B53" s="228" t="inlineStr">
        <is>
          <t>Cada uma das 11 áreas recebe um placar 'Dados' de 0 a 10 = média dos componentes disponíveis, cada um de 0 a 1: (a) % das metas da área no ritmo, (b) % da meta dos hábitos ligados à área e (c) até 3 métricas próprias (ex.: Finanças = taxa de poupança vs. meta, reserva vs. meta, categorias dentro do orçamento).</t>
        </is>
      </c>
    </row>
    <row r="54" ht="30" customHeight="1">
      <c r="B54" s="228" t="inlineStr">
        <is>
          <t>Componente sem dados é ignorado — nunca conta como zero. O Índice de vida (0–100) é a média dos placares × 10.</t>
        </is>
      </c>
    </row>
    <row r="55" ht="30" customHeight="1">
      <c r="B55" s="228" t="inlineStr">
        <is>
          <t>A 'Percepção' é a sua nota na Roda da Vida. Comparar os dois é o ponto: se você se sente pior do que os dados mostram (ou melhor), há algo que vale examinar. A aba Cálculos mostra cada componente, área por área.</t>
        </is>
      </c>
    </row>
    <row r="57" ht="22" customHeight="1">
      <c r="B57" s="226" t="inlineStr">
        <is>
          <t>ESPAÇO E PERSONALIZAÇÃO</t>
        </is>
      </c>
      <c r="C57" s="227" t="n"/>
      <c r="D57" s="227" t="n"/>
      <c r="E57" s="227" t="n"/>
      <c r="F57" s="227" t="n"/>
      <c r="G57" s="227" t="n"/>
      <c r="H57" s="227" t="n"/>
    </row>
    <row r="58">
      <c r="B58" s="229" t="inlineStr">
        <is>
          <t>Tabela</t>
        </is>
      </c>
      <c r="C58" s="229" t="inlineStr">
        <is>
          <t>Capacidade pronta</t>
        </is>
      </c>
      <c r="E58" s="229" t="inlineStr">
        <is>
          <t>Como ampliar</t>
        </is>
      </c>
    </row>
    <row r="59" ht="26" customHeight="1">
      <c r="B59" s="230" t="inlineStr">
        <is>
          <t>Finanças</t>
        </is>
      </c>
      <c r="C59" s="113" t="inlineStr">
        <is>
          <t>1.500 lançamentos</t>
        </is>
      </c>
      <c r="D59" s="115" t="n"/>
      <c r="E59" s="113" t="inlineStr">
        <is>
          <t>Insira linhas ANTES da última linha da tabela e copie as fórmulas das colunas cinza.</t>
        </is>
      </c>
      <c r="F59" s="114" t="n"/>
      <c r="G59" s="114" t="n"/>
      <c r="H59" s="115" t="n"/>
    </row>
    <row r="60" ht="18" customHeight="1">
      <c r="B60" s="230" t="inlineStr">
        <is>
          <t>Tarefas · Projetos</t>
        </is>
      </c>
      <c r="C60" s="113" t="inlineStr">
        <is>
          <t>300 tarefas · 20 projetos</t>
        </is>
      </c>
      <c r="D60" s="115" t="n"/>
      <c r="E60" s="113" t="inlineStr">
        <is>
          <t>Idem. Apague tarefas concluídas antigas se quiser enxugar.</t>
        </is>
      </c>
      <c r="F60" s="114" t="n"/>
      <c r="G60" s="114" t="n"/>
      <c r="H60" s="115" t="n"/>
    </row>
    <row r="61" ht="18" customHeight="1">
      <c r="B61" s="230" t="inlineStr">
        <is>
          <t>Metas</t>
        </is>
      </c>
      <c r="C61" s="113" t="inlineStr">
        <is>
          <t>60 metas</t>
        </is>
      </c>
      <c r="D61" s="115" t="n"/>
      <c r="E61" s="113" t="inlineStr">
        <is>
          <t>Idem.</t>
        </is>
      </c>
      <c r="F61" s="114" t="n"/>
      <c r="G61" s="114" t="n"/>
      <c r="H61" s="115" t="n"/>
    </row>
    <row r="62" ht="18" customHeight="1">
      <c r="B62" s="230" t="inlineStr">
        <is>
          <t>Relações</t>
        </is>
      </c>
      <c r="C62" s="113" t="inlineStr">
        <is>
          <t>60 pessoas · 600 contatos</t>
        </is>
      </c>
      <c r="D62" s="115" t="n"/>
      <c r="E62" s="113" t="inlineStr">
        <is>
          <t>Idem.</t>
        </is>
      </c>
      <c r="F62" s="114" t="n"/>
      <c r="G62" s="114" t="n"/>
      <c r="H62" s="115" t="n"/>
    </row>
    <row r="63" ht="18" customHeight="1">
      <c r="B63" s="230" t="inlineStr">
        <is>
          <t>Aprendizado · Lazer</t>
        </is>
      </c>
      <c r="C63" s="113" t="inlineStr">
        <is>
          <t>80 itens · 500 sessões · 400 atividades · 50 sonhos</t>
        </is>
      </c>
      <c r="D63" s="115" t="n"/>
      <c r="E63" s="113" t="inlineStr">
        <is>
          <t>Idem.</t>
        </is>
      </c>
      <c r="F63" s="114" t="n"/>
      <c r="G63" s="114" t="n"/>
      <c r="H63" s="115" t="n"/>
    </row>
    <row r="64" ht="18" customHeight="1">
      <c r="B64" s="230" t="inlineStr">
        <is>
          <t>Casa</t>
        </is>
      </c>
      <c r="C64" s="113" t="inlineStr">
        <is>
          <t>25 documentos · 35 rotinas · 25 assinaturas</t>
        </is>
      </c>
      <c r="D64" s="115" t="n"/>
      <c r="E64" s="113" t="inlineStr">
        <is>
          <t>Idem.</t>
        </is>
      </c>
      <c r="F64" s="114" t="n"/>
      <c r="G64" s="114" t="n"/>
      <c r="H64" s="115" t="n"/>
    </row>
    <row r="65" ht="18" customHeight="1">
      <c r="B65" s="230" t="inlineStr">
        <is>
          <t>Saúde · Hábitos</t>
        </is>
      </c>
      <c r="C65" s="113" t="inlineStr">
        <is>
          <t>1 linha por dia do ano · 10 hábitos</t>
        </is>
      </c>
      <c r="D65" s="115" t="n"/>
      <c r="E65" s="113" t="inlineStr">
        <is>
          <t>Datas são geradas a partir do ano em Config.</t>
        </is>
      </c>
      <c r="F65" s="114" t="n"/>
      <c r="G65" s="114" t="n"/>
      <c r="H65" s="115" t="n"/>
    </row>
    <row r="66" ht="26" customHeight="1">
      <c r="B66" s="230" t="inlineStr">
        <is>
          <t>Listas dos menus</t>
        </is>
      </c>
      <c r="C66" s="113" t="inlineStr">
        <is>
          <t>até 35 itens por lista</t>
        </is>
      </c>
      <c r="D66" s="115" t="n"/>
      <c r="E66" s="113" t="inlineStr">
        <is>
          <t>Escreva novos itens embaixo da lista na aba Config, sem deixar linhas vazias no meio.</t>
        </is>
      </c>
      <c r="F66" s="114" t="n"/>
      <c r="G66" s="114" t="n"/>
      <c r="H66" s="115" t="n"/>
    </row>
    <row r="68" ht="16" customHeight="1">
      <c r="B68" s="239" t="inlineStr">
        <is>
          <t>Moeda: os valores usam o formato €. Para outra moeda, selecione as colunas de valor e troque o formato de número.</t>
        </is>
      </c>
    </row>
    <row r="69" ht="16" customHeight="1">
      <c r="B69" s="239" t="inlineStr">
        <is>
          <t>Fórmulas compatíveis com Excel 2010 ou mais recente (Windows/Mac), Excel na web e LibreOffice. Não há macros.</t>
        </is>
      </c>
    </row>
  </sheetData>
  <mergeCells count="84">
    <mergeCell ref="C62:D62"/>
    <mergeCell ref="E61:H61"/>
    <mergeCell ref="C15:D15"/>
    <mergeCell ref="B55:H55"/>
    <mergeCell ref="E32:H32"/>
    <mergeCell ref="C64:D64"/>
    <mergeCell ref="E37:H37"/>
    <mergeCell ref="C46:H46"/>
    <mergeCell ref="C63:D63"/>
    <mergeCell ref="E62:H62"/>
    <mergeCell ref="C48:H48"/>
    <mergeCell ref="E24:H24"/>
    <mergeCell ref="E64:H64"/>
    <mergeCell ref="C27:D27"/>
    <mergeCell ref="C36:D36"/>
    <mergeCell ref="B11:H11"/>
    <mergeCell ref="E63:H63"/>
    <mergeCell ref="C17:D17"/>
    <mergeCell ref="E65:H65"/>
    <mergeCell ref="E34:H34"/>
    <mergeCell ref="B53:H53"/>
    <mergeCell ref="C19:D19"/>
    <mergeCell ref="C28:D28"/>
    <mergeCell ref="E27:H27"/>
    <mergeCell ref="E36:H36"/>
    <mergeCell ref="C41:H41"/>
    <mergeCell ref="C30:D30"/>
    <mergeCell ref="B6:H6"/>
    <mergeCell ref="C43:H43"/>
    <mergeCell ref="B54:H54"/>
    <mergeCell ref="B7:H7"/>
    <mergeCell ref="E23:H23"/>
    <mergeCell ref="C60:D60"/>
    <mergeCell ref="E38:H38"/>
    <mergeCell ref="B8:H8"/>
    <mergeCell ref="C66:D66"/>
    <mergeCell ref="B10:H10"/>
    <mergeCell ref="C18:D18"/>
    <mergeCell ref="C34:D34"/>
    <mergeCell ref="E26:H26"/>
    <mergeCell ref="B9:H9"/>
    <mergeCell ref="B68:H68"/>
    <mergeCell ref="C58:D58"/>
    <mergeCell ref="E16:H16"/>
    <mergeCell ref="E25:H25"/>
    <mergeCell ref="E66:H66"/>
    <mergeCell ref="C20:D20"/>
    <mergeCell ref="E18:H18"/>
    <mergeCell ref="C29:D29"/>
    <mergeCell ref="C65:D65"/>
    <mergeCell ref="C31:D31"/>
    <mergeCell ref="C59:D59"/>
    <mergeCell ref="E20:H20"/>
    <mergeCell ref="E29:H29"/>
    <mergeCell ref="C61:D61"/>
    <mergeCell ref="C23:D23"/>
    <mergeCell ref="C32:D32"/>
    <mergeCell ref="C38:D38"/>
    <mergeCell ref="E31:H31"/>
    <mergeCell ref="C45:H45"/>
    <mergeCell ref="E15:H15"/>
    <mergeCell ref="C47:H47"/>
    <mergeCell ref="C24:D24"/>
    <mergeCell ref="C44:H44"/>
    <mergeCell ref="C33:D33"/>
    <mergeCell ref="C26:D26"/>
    <mergeCell ref="C35:D35"/>
    <mergeCell ref="B50:H50"/>
    <mergeCell ref="C16:D16"/>
    <mergeCell ref="C25:D25"/>
    <mergeCell ref="E58:H58"/>
    <mergeCell ref="E33:H33"/>
    <mergeCell ref="E17:H17"/>
    <mergeCell ref="E35:H35"/>
    <mergeCell ref="B12:H12"/>
    <mergeCell ref="C49:H49"/>
    <mergeCell ref="E19:H19"/>
    <mergeCell ref="E28:H28"/>
    <mergeCell ref="E60:H60"/>
    <mergeCell ref="C42:H42"/>
    <mergeCell ref="C37:D37"/>
    <mergeCell ref="E30:H30"/>
    <mergeCell ref="B69:H69"/>
    <mergeCell ref="E59:H59"/>
  </mergeCells>
  <hyperlinks>
    <hyperlink ref="H1" location="'Dashboard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98781"/>
    <outlinePr summaryBelow="1" summaryRight="1"/>
    <pageSetUpPr/>
  </sheetPr>
  <dimension ref="A1:AN40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46" customWidth="1" min="2" max="2"/>
    <col width="16" customWidth="1" min="3" max="3"/>
    <col width="60" customWidth="1" min="4" max="4"/>
    <col width="3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</cols>
  <sheetData>
    <row r="1" ht="34" customHeight="1">
      <c r="A1" s="225" t="n"/>
      <c r="B1" s="97" t="inlineStr">
        <is>
          <t>Configurações &amp; listas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98" t="inlineStr">
        <is>
          <t>◀ Dashboard</t>
        </is>
      </c>
    </row>
    <row r="2" ht="18" customHeight="1">
      <c r="A2" s="225" t="n"/>
      <c r="B2" s="99" t="inlineStr">
        <is>
          <t>Ajuste seus parâmetros e metas. As listas alimentam os menus suspensos de todas as abas.</t>
        </is>
      </c>
    </row>
    <row r="3" ht="16" customHeight="1">
      <c r="A3" s="225" t="n"/>
    </row>
    <row r="4" ht="8" customHeight="1">
      <c r="F4" s="111" t="inlineStr">
        <is>
          <t>Listas: edite ou acrescente itens embaixo de cada título (sem deixar linhas vazias no meio). As 11 áreas da vida podem ser renomeadas, mas mantenha a quantidade e a ordem.</t>
        </is>
      </c>
    </row>
    <row r="5" ht="30" customHeight="1">
      <c r="B5" s="226" t="inlineStr">
        <is>
          <t>PARÂMETROS E METAS PESSOAIS</t>
        </is>
      </c>
      <c r="C5" s="227" t="n"/>
      <c r="D5" s="227" t="n"/>
      <c r="F5" s="240" t="inlineStr">
        <is>
          <t>Áreas da vida</t>
        </is>
      </c>
      <c r="G5" s="240" t="inlineStr">
        <is>
          <t>Meses</t>
        </is>
      </c>
      <c r="H5" s="240" t="inlineStr">
        <is>
          <t>Seleção de mês</t>
        </is>
      </c>
      <c r="I5" s="240" t="inlineStr">
        <is>
          <t>Categorias de despesa</t>
        </is>
      </c>
      <c r="J5" s="240" t="inlineStr">
        <is>
          <t>Grupo da despesa</t>
        </is>
      </c>
      <c r="K5" s="240" t="inlineStr">
        <is>
          <t>Categorias de receita</t>
        </is>
      </c>
      <c r="L5" s="240" t="inlineStr">
        <is>
          <t>Destinos de aporte</t>
        </is>
      </c>
      <c r="M5" s="240" t="inlineStr">
        <is>
          <t>Contas / formas de pagamento</t>
        </is>
      </c>
      <c r="N5" s="240" t="inlineStr">
        <is>
          <t>Tipo de lançamento</t>
        </is>
      </c>
      <c r="O5" s="240" t="inlineStr">
        <is>
          <t>Fixo / variável</t>
        </is>
      </c>
      <c r="P5" s="240" t="inlineStr">
        <is>
          <t>Status de tarefa</t>
        </is>
      </c>
      <c r="Q5" s="240" t="inlineStr">
        <is>
          <t>Prioridade</t>
        </is>
      </c>
      <c r="R5" s="240" t="inlineStr">
        <is>
          <t>Status de projeto</t>
        </is>
      </c>
      <c r="S5" s="240" t="inlineStr">
        <is>
          <t>Status de meta</t>
        </is>
      </c>
      <c r="T5" s="240" t="inlineStr">
        <is>
          <t>Tipos de treino</t>
        </is>
      </c>
      <c r="U5" s="240" t="inlineStr">
        <is>
          <t>Tipo de consulta</t>
        </is>
      </c>
      <c r="V5" s="240" t="inlineStr">
        <is>
          <t>Status de consulta</t>
        </is>
      </c>
      <c r="W5" s="240" t="inlineStr">
        <is>
          <t>Tipo de relação</t>
        </is>
      </c>
      <c r="X5" s="240" t="inlineStr">
        <is>
          <t>Círculo</t>
        </is>
      </c>
      <c r="Y5" s="240" t="inlineStr">
        <is>
          <t>Tipo de interação</t>
        </is>
      </c>
      <c r="Z5" s="240" t="inlineStr">
        <is>
          <t>Tipo de aprendizado</t>
        </is>
      </c>
      <c r="AA5" s="240" t="inlineStr">
        <is>
          <t>Status de aprendizado</t>
        </is>
      </c>
      <c r="AB5" s="240" t="inlineStr">
        <is>
          <t>Atividade de estudo</t>
        </is>
      </c>
      <c r="AC5" s="240" t="inlineStr">
        <is>
          <t>Categoria de lazer</t>
        </is>
      </c>
      <c r="AD5" s="240" t="inlineStr">
        <is>
          <t>Status de sonho</t>
        </is>
      </c>
      <c r="AE5" s="240" t="inlineStr">
        <is>
          <t>Etapa da candidatura</t>
        </is>
      </c>
      <c r="AF5" s="240" t="inlineStr">
        <is>
          <t>Tipo de marco</t>
        </is>
      </c>
      <c r="AG5" s="240" t="inlineStr">
        <is>
          <t>Categoria de competência</t>
        </is>
      </c>
      <c r="AH5" s="240" t="inlineStr">
        <is>
          <t>Categoria de rotina</t>
        </is>
      </c>
      <c r="AI5" s="240" t="inlineStr">
        <is>
          <t>Periodicidade</t>
        </is>
      </c>
      <c r="AJ5" s="240" t="inlineStr">
        <is>
          <t>Meses por período</t>
        </is>
      </c>
      <c r="AK5" s="240" t="inlineStr">
        <is>
          <t>Uso</t>
        </is>
      </c>
      <c r="AL5" s="240" t="inlineStr">
        <is>
          <t>Sim / não</t>
        </is>
      </c>
    </row>
    <row r="6">
      <c r="B6" s="241" t="inlineStr">
        <is>
          <t>Seu nome</t>
        </is>
      </c>
      <c r="C6" s="242" t="inlineStr"/>
      <c r="D6" s="243" t="inlineStr">
        <is>
          <t>Aparece no topo do Dashboard.</t>
        </is>
      </c>
      <c r="F6" s="244" t="inlineStr">
        <is>
          <t>Saúde física</t>
        </is>
      </c>
      <c r="G6" s="244" t="inlineStr">
        <is>
          <t>Janeiro</t>
        </is>
      </c>
      <c r="H6" s="244" t="inlineStr">
        <is>
          <t>Mês atual</t>
        </is>
      </c>
      <c r="I6" s="244" t="inlineStr">
        <is>
          <t>Moradia</t>
        </is>
      </c>
      <c r="J6" s="244" t="inlineStr">
        <is>
          <t>Essencial</t>
        </is>
      </c>
      <c r="K6" s="244" t="inlineStr">
        <is>
          <t>Salário</t>
        </is>
      </c>
      <c r="L6" s="244" t="inlineStr">
        <is>
          <t>Reserva de emergência</t>
        </is>
      </c>
      <c r="M6" s="244" t="inlineStr">
        <is>
          <t>Conta corrente</t>
        </is>
      </c>
      <c r="N6" s="244" t="inlineStr">
        <is>
          <t>Receita</t>
        </is>
      </c>
      <c r="O6" s="244" t="inlineStr">
        <is>
          <t>Fixo</t>
        </is>
      </c>
      <c r="P6" s="244" t="inlineStr">
        <is>
          <t>A fazer</t>
        </is>
      </c>
      <c r="Q6" s="244" t="inlineStr">
        <is>
          <t>Alta</t>
        </is>
      </c>
      <c r="R6" s="244" t="inlineStr">
        <is>
          <t>Ideia</t>
        </is>
      </c>
      <c r="S6" s="244" t="inlineStr">
        <is>
          <t>Ativa</t>
        </is>
      </c>
      <c r="T6" s="244" t="inlineStr">
        <is>
          <t>Musculação</t>
        </is>
      </c>
      <c r="U6" s="244" t="inlineStr">
        <is>
          <t>Check-up</t>
        </is>
      </c>
      <c r="V6" s="244" t="inlineStr">
        <is>
          <t>A agendar</t>
        </is>
      </c>
      <c r="W6" s="244" t="inlineStr">
        <is>
          <t>Família</t>
        </is>
      </c>
      <c r="X6" s="244" t="inlineStr">
        <is>
          <t>Íntimo</t>
        </is>
      </c>
      <c r="Y6" s="244" t="inlineStr">
        <is>
          <t>Encontro</t>
        </is>
      </c>
      <c r="Z6" s="244" t="inlineStr">
        <is>
          <t>Livro</t>
        </is>
      </c>
      <c r="AA6" s="244" t="inlineStr">
        <is>
          <t>Quero fazer</t>
        </is>
      </c>
      <c r="AB6" s="244" t="inlineStr">
        <is>
          <t>Leitura</t>
        </is>
      </c>
      <c r="AC6" s="244" t="inlineStr">
        <is>
          <t>Hobby criativo</t>
        </is>
      </c>
      <c r="AD6" s="244" t="inlineStr">
        <is>
          <t>Sonho</t>
        </is>
      </c>
      <c r="AE6" s="244" t="inlineStr">
        <is>
          <t>Interesse</t>
        </is>
      </c>
      <c r="AF6" s="244" t="inlineStr">
        <is>
          <t>Conquista</t>
        </is>
      </c>
      <c r="AG6" s="244" t="inlineStr">
        <is>
          <t>Técnica</t>
        </is>
      </c>
      <c r="AH6" s="244" t="inlineStr">
        <is>
          <t>Limpeza</t>
        </is>
      </c>
      <c r="AI6" s="244" t="inlineStr">
        <is>
          <t>Mensal</t>
        </is>
      </c>
      <c r="AJ6" s="244" t="n">
        <v>1</v>
      </c>
      <c r="AK6" s="244" t="inlineStr">
        <is>
          <t>Alto</t>
        </is>
      </c>
      <c r="AL6" s="244" t="inlineStr">
        <is>
          <t>Sim</t>
        </is>
      </c>
    </row>
    <row r="7" ht="26" customHeight="1">
      <c r="B7" s="241" t="inlineStr">
        <is>
          <t>Ano deste arquivo</t>
        </is>
      </c>
      <c r="C7" s="245" t="n">
        <v>2026</v>
      </c>
      <c r="D7" s="243" t="inlineStr">
        <is>
          <t>Um arquivo por ano. Mudar o ano reposiciona as datas das abas Saúde e Hábitos: faça isso só ao iniciar um arquivo novo e vazio.</t>
        </is>
      </c>
      <c r="F7" s="244" t="inlineStr">
        <is>
          <t>Saúde mental</t>
        </is>
      </c>
      <c r="G7" s="244" t="inlineStr">
        <is>
          <t>Fevereiro</t>
        </is>
      </c>
      <c r="H7" s="244" t="inlineStr">
        <is>
          <t>Janeiro</t>
        </is>
      </c>
      <c r="I7" s="244" t="inlineStr">
        <is>
          <t>Contas da casa</t>
        </is>
      </c>
      <c r="J7" s="244" t="inlineStr">
        <is>
          <t>Essencial</t>
        </is>
      </c>
      <c r="K7" s="244" t="inlineStr">
        <is>
          <t>Renda extra / freelance</t>
        </is>
      </c>
      <c r="L7" s="244" t="inlineStr">
        <is>
          <t>Investimentos</t>
        </is>
      </c>
      <c r="M7" s="244" t="inlineStr">
        <is>
          <t>Cartão de crédito</t>
        </is>
      </c>
      <c r="N7" s="244" t="inlineStr">
        <is>
          <t>Despesa</t>
        </is>
      </c>
      <c r="O7" s="244" t="inlineStr">
        <is>
          <t>Variável</t>
        </is>
      </c>
      <c r="P7" s="244" t="inlineStr">
        <is>
          <t>Em andamento</t>
        </is>
      </c>
      <c r="Q7" s="244" t="inlineStr">
        <is>
          <t>Média</t>
        </is>
      </c>
      <c r="R7" s="244" t="inlineStr">
        <is>
          <t>Planejado</t>
        </is>
      </c>
      <c r="S7" s="244" t="inlineStr">
        <is>
          <t>Pausada</t>
        </is>
      </c>
      <c r="T7" s="244" t="inlineStr">
        <is>
          <t>Corrida</t>
        </is>
      </c>
      <c r="U7" s="244" t="inlineStr">
        <is>
          <t>Exame</t>
        </is>
      </c>
      <c r="V7" s="244" t="inlineStr">
        <is>
          <t>Agendado</t>
        </is>
      </c>
      <c r="W7" s="244" t="inlineStr">
        <is>
          <t>Parceria</t>
        </is>
      </c>
      <c r="X7" s="244" t="inlineStr">
        <is>
          <t>Próximo</t>
        </is>
      </c>
      <c r="Y7" s="244" t="inlineStr">
        <is>
          <t>Ligação</t>
        </is>
      </c>
      <c r="Z7" s="244" t="inlineStr">
        <is>
          <t>Curso</t>
        </is>
      </c>
      <c r="AA7" s="244" t="inlineStr">
        <is>
          <t>Em andamento</t>
        </is>
      </c>
      <c r="AB7" s="244" t="inlineStr">
        <is>
          <t>Aula</t>
        </is>
      </c>
      <c r="AC7" s="244" t="inlineStr">
        <is>
          <t>Esporte / ar livre</t>
        </is>
      </c>
      <c r="AD7" s="244" t="inlineStr">
        <is>
          <t>Planejando</t>
        </is>
      </c>
      <c r="AE7" s="244" t="inlineStr">
        <is>
          <t>Aplicado</t>
        </is>
      </c>
      <c r="AF7" s="244" t="inlineStr">
        <is>
          <t>Entrega relevante</t>
        </is>
      </c>
      <c r="AG7" s="244" t="inlineStr">
        <is>
          <t>Ferramenta</t>
        </is>
      </c>
      <c r="AH7" s="244" t="inlineStr">
        <is>
          <t>Manutenção</t>
        </is>
      </c>
      <c r="AI7" s="244" t="inlineStr">
        <is>
          <t>Bimestral</t>
        </is>
      </c>
      <c r="AJ7" s="244" t="n">
        <v>2</v>
      </c>
      <c r="AK7" s="244" t="inlineStr">
        <is>
          <t>Médio</t>
        </is>
      </c>
      <c r="AL7" s="244" t="inlineStr">
        <is>
          <t>Não</t>
        </is>
      </c>
    </row>
    <row r="8">
      <c r="B8" s="241" t="inlineStr">
        <is>
          <t>Moeda</t>
        </is>
      </c>
      <c r="C8" s="242" t="inlineStr">
        <is>
          <t>€ (EUR)</t>
        </is>
      </c>
      <c r="D8" s="243" t="inlineStr">
        <is>
          <t>Informativo. Os valores usam o formato €; para trocar, altere o formato numérico das colunas de valor.</t>
        </is>
      </c>
      <c r="F8" s="244" t="inlineStr">
        <is>
          <t>Finanças</t>
        </is>
      </c>
      <c r="G8" s="244" t="inlineStr">
        <is>
          <t>Março</t>
        </is>
      </c>
      <c r="H8" s="244" t="inlineStr">
        <is>
          <t>Fevereiro</t>
        </is>
      </c>
      <c r="I8" s="244" t="inlineStr">
        <is>
          <t>Mercado</t>
        </is>
      </c>
      <c r="J8" s="244" t="inlineStr">
        <is>
          <t>Essencial</t>
        </is>
      </c>
      <c r="K8" s="244" t="inlineStr">
        <is>
          <t>Benefícios</t>
        </is>
      </c>
      <c r="L8" s="244" t="inlineStr">
        <is>
          <t>Previdência</t>
        </is>
      </c>
      <c r="M8" s="244" t="inlineStr">
        <is>
          <t>Cartão de débito</t>
        </is>
      </c>
      <c r="N8" s="244" t="inlineStr">
        <is>
          <t>Aporte</t>
        </is>
      </c>
      <c r="O8" s="244" t="n"/>
      <c r="P8" s="244" t="inlineStr">
        <is>
          <t>Aguardando</t>
        </is>
      </c>
      <c r="Q8" s="244" t="inlineStr">
        <is>
          <t>Baixa</t>
        </is>
      </c>
      <c r="R8" s="244" t="inlineStr">
        <is>
          <t>Em andamento</t>
        </is>
      </c>
      <c r="S8" s="244" t="inlineStr">
        <is>
          <t>Concluída</t>
        </is>
      </c>
      <c r="T8" s="244" t="inlineStr">
        <is>
          <t>Caminhada</t>
        </is>
      </c>
      <c r="U8" s="244" t="inlineStr">
        <is>
          <t>Dentista</t>
        </is>
      </c>
      <c r="V8" s="244" t="inlineStr">
        <is>
          <t>Realizado</t>
        </is>
      </c>
      <c r="W8" s="244" t="inlineStr">
        <is>
          <t>Amizade</t>
        </is>
      </c>
      <c r="X8" s="244" t="inlineStr">
        <is>
          <t>Social</t>
        </is>
      </c>
      <c r="Y8" s="244" t="inlineStr">
        <is>
          <t>Videochamada</t>
        </is>
      </c>
      <c r="Z8" s="244" t="inlineStr">
        <is>
          <t>Idioma</t>
        </is>
      </c>
      <c r="AA8" s="244" t="inlineStr">
        <is>
          <t>Pausado</t>
        </is>
      </c>
      <c r="AB8" s="244" t="inlineStr">
        <is>
          <t>Prática</t>
        </is>
      </c>
      <c r="AC8" s="244" t="inlineStr">
        <is>
          <t>Cultura</t>
        </is>
      </c>
      <c r="AD8" s="244" t="inlineStr">
        <is>
          <t>Agendado</t>
        </is>
      </c>
      <c r="AE8" s="244" t="inlineStr">
        <is>
          <t>Entrevista</t>
        </is>
      </c>
      <c r="AF8" s="244" t="inlineStr">
        <is>
          <t>Feedback recebido</t>
        </is>
      </c>
      <c r="AG8" s="244" t="inlineStr">
        <is>
          <t>Idioma</t>
        </is>
      </c>
      <c r="AH8" s="244" t="inlineStr">
        <is>
          <t>Digital / backup</t>
        </is>
      </c>
      <c r="AI8" s="244" t="inlineStr">
        <is>
          <t>Trimestral</t>
        </is>
      </c>
      <c r="AJ8" s="244" t="n">
        <v>3</v>
      </c>
      <c r="AK8" s="244" t="inlineStr">
        <is>
          <t>Baixo</t>
        </is>
      </c>
      <c r="AL8" s="244" t="n"/>
    </row>
    <row r="9">
      <c r="B9" s="241" t="inlineStr">
        <is>
          <t>Meta: taxa de poupança</t>
        </is>
      </c>
      <c r="C9" s="246" t="n">
        <v>0.2</v>
      </c>
      <c r="D9" s="243" t="inlineStr">
        <is>
          <t>Parte da receita que sobra (receitas − despesas) ÷ receitas.</t>
        </is>
      </c>
      <c r="F9" s="244" t="inlineStr">
        <is>
          <t>Carreira</t>
        </is>
      </c>
      <c r="G9" s="244" t="inlineStr">
        <is>
          <t>Abril</t>
        </is>
      </c>
      <c r="H9" s="244" t="inlineStr">
        <is>
          <t>Março</t>
        </is>
      </c>
      <c r="I9" s="244" t="inlineStr">
        <is>
          <t>Transporte</t>
        </is>
      </c>
      <c r="J9" s="244" t="inlineStr">
        <is>
          <t>Essencial</t>
        </is>
      </c>
      <c r="K9" s="244" t="inlineStr">
        <is>
          <t>Rendimentos</t>
        </is>
      </c>
      <c r="L9" s="244" t="inlineStr">
        <is>
          <t>Objetivo específico</t>
        </is>
      </c>
      <c r="M9" s="244" t="inlineStr">
        <is>
          <t>PIX / transferência</t>
        </is>
      </c>
      <c r="N9" s="244" t="n"/>
      <c r="O9" s="244" t="n"/>
      <c r="P9" s="244" t="inlineStr">
        <is>
          <t>Concluída</t>
        </is>
      </c>
      <c r="Q9" s="244" t="n"/>
      <c r="R9" s="244" t="inlineStr">
        <is>
          <t>Pausado</t>
        </is>
      </c>
      <c r="S9" s="244" t="inlineStr">
        <is>
          <t>Abandonada</t>
        </is>
      </c>
      <c r="T9" s="244" t="inlineStr">
        <is>
          <t>Bicicleta</t>
        </is>
      </c>
      <c r="U9" s="244" t="inlineStr">
        <is>
          <t>Especialista</t>
        </is>
      </c>
      <c r="V9" s="244" t="n"/>
      <c r="W9" s="244" t="inlineStr">
        <is>
          <t>Trabalho</t>
        </is>
      </c>
      <c r="X9" s="244" t="n"/>
      <c r="Y9" s="244" t="inlineStr">
        <is>
          <t>Mensagem</t>
        </is>
      </c>
      <c r="Z9" s="244" t="inlineStr">
        <is>
          <t>Certificação</t>
        </is>
      </c>
      <c r="AA9" s="244" t="inlineStr">
        <is>
          <t>Concluído</t>
        </is>
      </c>
      <c r="AB9" s="244" t="inlineStr">
        <is>
          <t>Exercícios</t>
        </is>
      </c>
      <c r="AC9" s="244" t="inlineStr">
        <is>
          <t>Passeio</t>
        </is>
      </c>
      <c r="AD9" s="244" t="inlineStr">
        <is>
          <t>Realizado</t>
        </is>
      </c>
      <c r="AE9" s="244" t="inlineStr">
        <is>
          <t>Teste / case</t>
        </is>
      </c>
      <c r="AF9" s="244" t="inlineStr">
        <is>
          <t>Certificação</t>
        </is>
      </c>
      <c r="AG9" s="244" t="inlineStr">
        <is>
          <t>Comportamental</t>
        </is>
      </c>
      <c r="AH9" s="244" t="inlineStr">
        <is>
          <t>Finanças / admin</t>
        </is>
      </c>
      <c r="AI9" s="244" t="inlineStr">
        <is>
          <t>Semestral</t>
        </is>
      </c>
      <c r="AJ9" s="244" t="n">
        <v>6</v>
      </c>
      <c r="AK9" s="244" t="n"/>
      <c r="AL9" s="244" t="n"/>
    </row>
    <row r="10">
      <c r="B10" s="241" t="inlineStr">
        <is>
          <t>Meta: reserva de emergência (meses)</t>
        </is>
      </c>
      <c r="C10" s="245" t="n">
        <v>6</v>
      </c>
      <c r="D10" s="243" t="inlineStr">
        <is>
          <t>Quantos meses de despesas a reserva deve cobrir.</t>
        </is>
      </c>
      <c r="F10" s="244" t="inlineStr">
        <is>
          <t>Aprendizado</t>
        </is>
      </c>
      <c r="G10" s="244" t="inlineStr">
        <is>
          <t>Maio</t>
        </is>
      </c>
      <c r="H10" s="244" t="inlineStr">
        <is>
          <t>Abril</t>
        </is>
      </c>
      <c r="I10" s="244" t="inlineStr">
        <is>
          <t>Saúde &amp; bem-estar</t>
        </is>
      </c>
      <c r="J10" s="244" t="inlineStr">
        <is>
          <t>Essencial</t>
        </is>
      </c>
      <c r="K10" s="244" t="inlineStr">
        <is>
          <t>Reembolsos</t>
        </is>
      </c>
      <c r="L10" s="244" t="n"/>
      <c r="M10" s="244" t="inlineStr">
        <is>
          <t>Dinheiro</t>
        </is>
      </c>
      <c r="N10" s="244" t="n"/>
      <c r="O10" s="244" t="n"/>
      <c r="P10" s="244" t="inlineStr">
        <is>
          <t>Cancelada</t>
        </is>
      </c>
      <c r="Q10" s="244" t="n"/>
      <c r="R10" s="244" t="inlineStr">
        <is>
          <t>Concluído</t>
        </is>
      </c>
      <c r="S10" s="244" t="n"/>
      <c r="T10" s="244" t="inlineStr">
        <is>
          <t>Natação</t>
        </is>
      </c>
      <c r="U10" s="244" t="inlineStr">
        <is>
          <t>Vacina</t>
        </is>
      </c>
      <c r="V10" s="244" t="n"/>
      <c r="W10" s="244" t="inlineStr">
        <is>
          <t>Mentoria</t>
        </is>
      </c>
      <c r="X10" s="244" t="n"/>
      <c r="Y10" s="244" t="inlineStr">
        <is>
          <t>Evento / grupo</t>
        </is>
      </c>
      <c r="Z10" s="244" t="inlineStr">
        <is>
          <t>Podcast / vídeo</t>
        </is>
      </c>
      <c r="AA10" s="244" t="inlineStr">
        <is>
          <t>Abandonado</t>
        </is>
      </c>
      <c r="AB10" s="244" t="inlineStr">
        <is>
          <t>Revisão</t>
        </is>
      </c>
      <c r="AC10" s="244" t="inlineStr">
        <is>
          <t>Viagem</t>
        </is>
      </c>
      <c r="AD10" s="244" t="n"/>
      <c r="AE10" s="244" t="inlineStr">
        <is>
          <t>Proposta</t>
        </is>
      </c>
      <c r="AF10" s="244" t="inlineStr">
        <is>
          <t>Reconhecimento</t>
        </is>
      </c>
      <c r="AG10" s="244" t="inlineStr">
        <is>
          <t>Gestão</t>
        </is>
      </c>
      <c r="AH10" s="244" t="inlineStr">
        <is>
          <t>Veículo</t>
        </is>
      </c>
      <c r="AI10" s="244" t="inlineStr">
        <is>
          <t>Anual</t>
        </is>
      </c>
      <c r="AJ10" s="244" t="n">
        <v>12</v>
      </c>
      <c r="AK10" s="244" t="n"/>
      <c r="AL10" s="244" t="n"/>
    </row>
    <row r="11">
      <c r="B11" s="241" t="inlineStr">
        <is>
          <t>Meta: horas de sono por noite</t>
        </is>
      </c>
      <c r="C11" s="247" t="n">
        <v>7.5</v>
      </c>
      <c r="D11" s="243" t="inlineStr"/>
      <c r="F11" s="244" t="inlineStr">
        <is>
          <t>Família</t>
        </is>
      </c>
      <c r="G11" s="244" t="inlineStr">
        <is>
          <t>Junho</t>
        </is>
      </c>
      <c r="H11" s="244" t="inlineStr">
        <is>
          <t>Maio</t>
        </is>
      </c>
      <c r="I11" s="244" t="inlineStr">
        <is>
          <t>Dívidas &amp; financiamentos</t>
        </is>
      </c>
      <c r="J11" s="244" t="inlineStr">
        <is>
          <t>Essencial</t>
        </is>
      </c>
      <c r="K11" s="244" t="inlineStr">
        <is>
          <t>Presentes recebidos</t>
        </is>
      </c>
      <c r="L11" s="244" t="n"/>
      <c r="M11" s="244" t="inlineStr">
        <is>
          <t>Vale-refeição</t>
        </is>
      </c>
      <c r="N11" s="244" t="n"/>
      <c r="O11" s="244" t="n"/>
      <c r="P11" s="244" t="n"/>
      <c r="Q11" s="244" t="n"/>
      <c r="R11" s="244" t="n"/>
      <c r="S11" s="244" t="n"/>
      <c r="T11" s="244" t="inlineStr">
        <is>
          <t>Yoga / alongamento</t>
        </is>
      </c>
      <c r="U11" s="244" t="inlineStr">
        <is>
          <t>Terapia</t>
        </is>
      </c>
      <c r="V11" s="244" t="n"/>
      <c r="W11" s="244" t="inlineStr">
        <is>
          <t>Comunidade</t>
        </is>
      </c>
      <c r="X11" s="244" t="n"/>
      <c r="Y11" s="244" t="inlineStr">
        <is>
          <t>Ajuda / favor</t>
        </is>
      </c>
      <c r="Z11" s="244" t="inlineStr">
        <is>
          <t>Artigo</t>
        </is>
      </c>
      <c r="AA11" s="244" t="n"/>
      <c r="AB11" s="244" t="inlineStr">
        <is>
          <t>Conversação</t>
        </is>
      </c>
      <c r="AC11" s="244" t="inlineStr">
        <is>
          <t>Social</t>
        </is>
      </c>
      <c r="AD11" s="244" t="n"/>
      <c r="AE11" s="244" t="inlineStr">
        <is>
          <t>Aceito</t>
        </is>
      </c>
      <c r="AF11" s="244" t="inlineStr">
        <is>
          <t>Promoção / aumento</t>
        </is>
      </c>
      <c r="AG11" s="244" t="n"/>
      <c r="AH11" s="244" t="inlineStr">
        <is>
          <t>Plantas</t>
        </is>
      </c>
      <c r="AI11" s="244" t="n"/>
      <c r="AJ11" s="244" t="n"/>
      <c r="AK11" s="244" t="n"/>
      <c r="AL11" s="244" t="n"/>
    </row>
    <row r="12">
      <c r="B12" s="241" t="inlineStr">
        <is>
          <t>Meta: treinos por semana</t>
        </is>
      </c>
      <c r="C12" s="245" t="n">
        <v>4</v>
      </c>
      <c r="D12" s="243" t="inlineStr"/>
      <c r="F12" s="244" t="inlineStr">
        <is>
          <t>Amor &amp; parceria</t>
        </is>
      </c>
      <c r="G12" s="244" t="inlineStr">
        <is>
          <t>Julho</t>
        </is>
      </c>
      <c r="H12" s="244" t="inlineStr">
        <is>
          <t>Junho</t>
        </is>
      </c>
      <c r="I12" s="244" t="inlineStr">
        <is>
          <t>Impostos &amp; taxas</t>
        </is>
      </c>
      <c r="J12" s="244" t="inlineStr">
        <is>
          <t>Essencial</t>
        </is>
      </c>
      <c r="K12" s="244" t="inlineStr">
        <is>
          <t>Outras receitas</t>
        </is>
      </c>
      <c r="L12" s="244" t="n"/>
      <c r="M12" s="244" t="n"/>
      <c r="N12" s="244" t="n"/>
      <c r="O12" s="244" t="n"/>
      <c r="P12" s="244" t="n"/>
      <c r="Q12" s="244" t="n"/>
      <c r="R12" s="244" t="n"/>
      <c r="S12" s="244" t="n"/>
      <c r="T12" s="244" t="inlineStr">
        <is>
          <t>Esporte coletivo</t>
        </is>
      </c>
      <c r="U12" s="244" t="inlineStr">
        <is>
          <t>Outro</t>
        </is>
      </c>
      <c r="V12" s="244" t="n"/>
      <c r="W12" s="244" t="n"/>
      <c r="X12" s="244" t="n"/>
      <c r="Y12" s="244" t="n"/>
      <c r="Z12" s="244" t="inlineStr">
        <is>
          <t>Workshop</t>
        </is>
      </c>
      <c r="AA12" s="244" t="n"/>
      <c r="AB12" s="244" t="n"/>
      <c r="AC12" s="244" t="inlineStr">
        <is>
          <t>Descanso</t>
        </is>
      </c>
      <c r="AD12" s="244" t="n"/>
      <c r="AE12" s="244" t="inlineStr">
        <is>
          <t>Recusado</t>
        </is>
      </c>
      <c r="AF12" s="244" t="inlineStr">
        <is>
          <t>Networking</t>
        </is>
      </c>
      <c r="AG12" s="244" t="n"/>
      <c r="AH12" s="244" t="inlineStr">
        <is>
          <t>Outro</t>
        </is>
      </c>
      <c r="AI12" s="244" t="n"/>
      <c r="AJ12" s="244" t="n"/>
      <c r="AK12" s="244" t="n"/>
      <c r="AL12" s="244" t="n"/>
    </row>
    <row r="13">
      <c r="B13" s="241" t="inlineStr">
        <is>
          <t>Meta: passos por dia</t>
        </is>
      </c>
      <c r="C13" s="248" t="n">
        <v>8000</v>
      </c>
      <c r="D13" s="243" t="inlineStr"/>
      <c r="F13" s="244" t="inlineStr">
        <is>
          <t>Amizades &amp; social</t>
        </is>
      </c>
      <c r="G13" s="244" t="inlineStr">
        <is>
          <t>Agosto</t>
        </is>
      </c>
      <c r="H13" s="244" t="inlineStr">
        <is>
          <t>Julho</t>
        </is>
      </c>
      <c r="I13" s="244" t="inlineStr">
        <is>
          <t>Família &amp; ajudas</t>
        </is>
      </c>
      <c r="J13" s="244" t="inlineStr">
        <is>
          <t>Essencial</t>
        </is>
      </c>
      <c r="K13" s="244" t="n"/>
      <c r="L13" s="244" t="n"/>
      <c r="M13" s="244" t="n"/>
      <c r="N13" s="244" t="n"/>
      <c r="O13" s="244" t="n"/>
      <c r="P13" s="244" t="n"/>
      <c r="Q13" s="244" t="n"/>
      <c r="R13" s="244" t="n"/>
      <c r="S13" s="244" t="n"/>
      <c r="T13" s="244" t="inlineStr">
        <is>
          <t>Funcional / HIIT</t>
        </is>
      </c>
      <c r="U13" s="244" t="n"/>
      <c r="V13" s="244" t="n"/>
      <c r="W13" s="244" t="n"/>
      <c r="X13" s="244" t="n"/>
      <c r="Y13" s="244" t="n"/>
      <c r="Z13" s="244" t="inlineStr">
        <is>
          <t>Mentoria</t>
        </is>
      </c>
      <c r="AA13" s="244" t="n"/>
      <c r="AB13" s="244" t="n"/>
      <c r="AC13" s="244" t="inlineStr">
        <is>
          <t>Jogos</t>
        </is>
      </c>
      <c r="AD13" s="244" t="n"/>
      <c r="AE13" s="244" t="inlineStr">
        <is>
          <t>Desisti</t>
        </is>
      </c>
      <c r="AF13" s="244" t="inlineStr">
        <is>
          <t>Palestra / conteúdo</t>
        </is>
      </c>
      <c r="AG13" s="244" t="n"/>
      <c r="AH13" s="244" t="n"/>
      <c r="AI13" s="244" t="n"/>
      <c r="AJ13" s="244" t="n"/>
      <c r="AK13" s="244" t="n"/>
      <c r="AL13" s="244" t="n"/>
    </row>
    <row r="14">
      <c r="B14" s="241" t="inlineStr">
        <is>
          <t>Peso alvo (kg)</t>
        </is>
      </c>
      <c r="C14" s="247" t="n"/>
      <c r="D14" s="243" t="inlineStr">
        <is>
          <t>Opcional.</t>
        </is>
      </c>
      <c r="F14" s="244" t="inlineStr">
        <is>
          <t>Lazer &amp; criatividade</t>
        </is>
      </c>
      <c r="G14" s="244" t="inlineStr">
        <is>
          <t>Setembro</t>
        </is>
      </c>
      <c r="H14" s="244" t="inlineStr">
        <is>
          <t>Agosto</t>
        </is>
      </c>
      <c r="I14" s="244" t="inlineStr">
        <is>
          <t>Restaurantes &amp; cafés</t>
        </is>
      </c>
      <c r="J14" s="244" t="inlineStr">
        <is>
          <t>Estilo de vida</t>
        </is>
      </c>
      <c r="K14" s="244" t="n"/>
      <c r="L14" s="244" t="n"/>
      <c r="M14" s="244" t="n"/>
      <c r="N14" s="244" t="n"/>
      <c r="O14" s="244" t="n"/>
      <c r="P14" s="244" t="n"/>
      <c r="Q14" s="244" t="n"/>
      <c r="R14" s="244" t="n"/>
      <c r="S14" s="244" t="n"/>
      <c r="T14" s="244" t="inlineStr">
        <is>
          <t>Outro</t>
        </is>
      </c>
      <c r="U14" s="244" t="n"/>
      <c r="V14" s="244" t="n"/>
      <c r="W14" s="244" t="n"/>
      <c r="X14" s="244" t="n"/>
      <c r="Y14" s="244" t="n"/>
      <c r="Z14" s="244" t="n"/>
      <c r="AA14" s="244" t="n"/>
      <c r="AB14" s="244" t="n"/>
      <c r="AC14" s="244" t="inlineStr">
        <is>
          <t>Música</t>
        </is>
      </c>
      <c r="AD14" s="244" t="n"/>
      <c r="AE14" s="244" t="n"/>
      <c r="AF14" s="244" t="n"/>
      <c r="AG14" s="244" t="n"/>
      <c r="AH14" s="244" t="n"/>
      <c r="AI14" s="244" t="n"/>
      <c r="AJ14" s="244" t="n"/>
      <c r="AK14" s="244" t="n"/>
      <c r="AL14" s="244" t="n"/>
    </row>
    <row r="15">
      <c r="B15" s="241" t="inlineStr">
        <is>
          <t>Meta: horas de estudo por mês</t>
        </is>
      </c>
      <c r="C15" s="245" t="n">
        <v>24</v>
      </c>
      <c r="D15" s="243" t="inlineStr"/>
      <c r="F15" s="244" t="inlineStr">
        <is>
          <t>Propósito &amp; espiritualidade</t>
        </is>
      </c>
      <c r="G15" s="244" t="inlineStr">
        <is>
          <t>Outubro</t>
        </is>
      </c>
      <c r="H15" s="244" t="inlineStr">
        <is>
          <t>Setembro</t>
        </is>
      </c>
      <c r="I15" s="244" t="inlineStr">
        <is>
          <t>Assinaturas</t>
        </is>
      </c>
      <c r="J15" s="244" t="inlineStr">
        <is>
          <t>Estilo de vida</t>
        </is>
      </c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</row>
    <row r="16">
      <c r="B16" s="241" t="inlineStr">
        <is>
          <t>Meta: livros no ano</t>
        </is>
      </c>
      <c r="C16" s="245" t="n">
        <v>12</v>
      </c>
      <c r="D16" s="243" t="inlineStr"/>
      <c r="F16" s="244" t="inlineStr">
        <is>
          <t>Casa &amp; organização</t>
        </is>
      </c>
      <c r="G16" s="244" t="inlineStr">
        <is>
          <t>Novembro</t>
        </is>
      </c>
      <c r="H16" s="244" t="inlineStr">
        <is>
          <t>Outubro</t>
        </is>
      </c>
      <c r="I16" s="244" t="inlineStr">
        <is>
          <t>Cuidados pessoais</t>
        </is>
      </c>
      <c r="J16" s="244" t="inlineStr">
        <is>
          <t>Estilo de vida</t>
        </is>
      </c>
      <c r="K16" s="244" t="n"/>
      <c r="L16" s="244" t="n"/>
      <c r="M16" s="244" t="n"/>
      <c r="N16" s="244" t="n"/>
      <c r="O16" s="244" t="n"/>
      <c r="P16" s="244" t="n"/>
      <c r="Q16" s="244" t="n"/>
      <c r="R16" s="244" t="n"/>
      <c r="S16" s="244" t="n"/>
      <c r="T16" s="244" t="n"/>
      <c r="U16" s="244" t="n"/>
      <c r="V16" s="244" t="n"/>
      <c r="W16" s="244" t="n"/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n"/>
      <c r="AL16" s="244" t="n"/>
    </row>
    <row r="17">
      <c r="B17" s="241" t="inlineStr">
        <is>
          <t>Meta: horas de lazer por semana</t>
        </is>
      </c>
      <c r="C17" s="245" t="n">
        <v>6</v>
      </c>
      <c r="D17" s="243" t="inlineStr">
        <is>
          <t>Lazer de verdade: tempo sem obrigação.</t>
        </is>
      </c>
      <c r="F17" s="244" t="n"/>
      <c r="G17" s="244" t="inlineStr">
        <is>
          <t>Dezembro</t>
        </is>
      </c>
      <c r="H17" s="244" t="inlineStr">
        <is>
          <t>Novembro</t>
        </is>
      </c>
      <c r="I17" s="244" t="inlineStr">
        <is>
          <t>Lazer &amp; passeios</t>
        </is>
      </c>
      <c r="J17" s="244" t="inlineStr">
        <is>
          <t>Estilo de vida</t>
        </is>
      </c>
      <c r="K17" s="244" t="n"/>
      <c r="L17" s="244" t="n"/>
      <c r="M17" s="244" t="n"/>
      <c r="N17" s="244" t="n"/>
      <c r="O17" s="244" t="n"/>
      <c r="P17" s="244" t="n"/>
      <c r="Q17" s="244" t="n"/>
      <c r="R17" s="244" t="n"/>
      <c r="S17" s="244" t="n"/>
      <c r="T17" s="244" t="n"/>
      <c r="U17" s="244" t="n"/>
      <c r="V17" s="244" t="n"/>
      <c r="W17" s="244" t="n"/>
      <c r="X17" s="244" t="n"/>
      <c r="Y17" s="244" t="n"/>
      <c r="Z17" s="244" t="n"/>
      <c r="AA17" s="244" t="n"/>
      <c r="AB17" s="244" t="n"/>
      <c r="AC17" s="244" t="n"/>
      <c r="AD17" s="244" t="n"/>
      <c r="AE17" s="244" t="n"/>
      <c r="AF17" s="244" t="n"/>
      <c r="AG17" s="244" t="n"/>
      <c r="AH17" s="244" t="n"/>
      <c r="AI17" s="244" t="n"/>
      <c r="AJ17" s="244" t="n"/>
      <c r="AK17" s="244" t="n"/>
      <c r="AL17" s="244" t="n"/>
    </row>
    <row r="18">
      <c r="B18" s="241" t="inlineStr">
        <is>
          <t>Avisar documentos com quantos dias de antecedência</t>
        </is>
      </c>
      <c r="C18" s="245" t="n">
        <v>90</v>
      </c>
      <c r="D18" s="243" t="inlineStr"/>
      <c r="F18" s="244" t="n"/>
      <c r="G18" s="244" t="n"/>
      <c r="H18" s="244" t="inlineStr">
        <is>
          <t>Dezembro</t>
        </is>
      </c>
      <c r="I18" s="244" t="inlineStr">
        <is>
          <t>Viagens</t>
        </is>
      </c>
      <c r="J18" s="244" t="inlineStr">
        <is>
          <t>Estilo de vida</t>
        </is>
      </c>
      <c r="K18" s="244" t="n"/>
      <c r="L18" s="244" t="n"/>
      <c r="M18" s="244" t="n"/>
      <c r="N18" s="244" t="n"/>
      <c r="O18" s="244" t="n"/>
      <c r="P18" s="244" t="n"/>
      <c r="Q18" s="244" t="n"/>
      <c r="R18" s="244" t="n"/>
      <c r="S18" s="244" t="n"/>
      <c r="T18" s="244" t="n"/>
      <c r="U18" s="244" t="n"/>
      <c r="V18" s="244" t="n"/>
      <c r="W18" s="244" t="n"/>
      <c r="X18" s="244" t="n"/>
      <c r="Y18" s="244" t="n"/>
      <c r="Z18" s="244" t="n"/>
      <c r="AA18" s="244" t="n"/>
      <c r="AB18" s="244" t="n"/>
      <c r="AC18" s="244" t="n"/>
      <c r="AD18" s="244" t="n"/>
      <c r="AE18" s="244" t="n"/>
      <c r="AF18" s="244" t="n"/>
      <c r="AG18" s="244" t="n"/>
      <c r="AH18" s="244" t="n"/>
      <c r="AI18" s="244" t="n"/>
      <c r="AJ18" s="244" t="n"/>
      <c r="AK18" s="244" t="n"/>
      <c r="AL18" s="244" t="n"/>
    </row>
    <row r="19">
      <c r="B19" s="241" t="inlineStr">
        <is>
          <t>Avisar aniversários com quantos dias de antecedência</t>
        </is>
      </c>
      <c r="C19" s="245" t="n">
        <v>30</v>
      </c>
      <c r="D19" s="243" t="inlineStr"/>
      <c r="F19" s="244" t="n"/>
      <c r="G19" s="244" t="n"/>
      <c r="H19" s="244" t="n"/>
      <c r="I19" s="244" t="inlineStr">
        <is>
          <t>Roupas</t>
        </is>
      </c>
      <c r="J19" s="244" t="inlineStr">
        <is>
          <t>Estilo de vida</t>
        </is>
      </c>
      <c r="K19" s="244" t="n"/>
      <c r="L19" s="244" t="n"/>
      <c r="M19" s="244" t="n"/>
      <c r="N19" s="244" t="n"/>
      <c r="O19" s="244" t="n"/>
      <c r="P19" s="244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4" t="n"/>
      <c r="Z19" s="244" t="n"/>
      <c r="AA19" s="244" t="n"/>
      <c r="AB19" s="244" t="n"/>
      <c r="AC19" s="244" t="n"/>
      <c r="AD19" s="244" t="n"/>
      <c r="AE19" s="244" t="n"/>
      <c r="AF19" s="244" t="n"/>
      <c r="AG19" s="244" t="n"/>
      <c r="AH19" s="244" t="n"/>
      <c r="AI19" s="244" t="n"/>
      <c r="AJ19" s="244" t="n"/>
      <c r="AK19" s="244" t="n"/>
      <c r="AL19" s="244" t="n"/>
    </row>
    <row r="20">
      <c r="B20" s="241" t="inlineStr">
        <is>
          <t>Follow-up de candidatura após (dias)</t>
        </is>
      </c>
      <c r="C20" s="245" t="n">
        <v>10</v>
      </c>
      <c r="D20" s="243" t="inlineStr"/>
      <c r="F20" s="244" t="n"/>
      <c r="G20" s="244" t="n"/>
      <c r="H20" s="244" t="n"/>
      <c r="I20" s="244" t="inlineStr">
        <is>
          <t>Casa &amp; utensílios</t>
        </is>
      </c>
      <c r="J20" s="244" t="inlineStr">
        <is>
          <t>Estilo de vida</t>
        </is>
      </c>
      <c r="K20" s="244" t="n"/>
      <c r="L20" s="244" t="n"/>
      <c r="M20" s="244" t="n"/>
      <c r="N20" s="244" t="n"/>
      <c r="O20" s="244" t="n"/>
      <c r="P20" s="244" t="n"/>
      <c r="Q20" s="244" t="n"/>
      <c r="R20" s="244" t="n"/>
      <c r="S20" s="244" t="n"/>
      <c r="T20" s="244" t="n"/>
      <c r="U20" s="244" t="n"/>
      <c r="V20" s="244" t="n"/>
      <c r="W20" s="244" t="n"/>
      <c r="X20" s="244" t="n"/>
      <c r="Y20" s="244" t="n"/>
      <c r="Z20" s="244" t="n"/>
      <c r="AA20" s="244" t="n"/>
      <c r="AB20" s="244" t="n"/>
      <c r="AC20" s="244" t="n"/>
      <c r="AD20" s="244" t="n"/>
      <c r="AE20" s="244" t="n"/>
      <c r="AF20" s="244" t="n"/>
      <c r="AG20" s="244" t="n"/>
      <c r="AH20" s="244" t="n"/>
      <c r="AI20" s="244" t="n"/>
      <c r="AJ20" s="244" t="n"/>
      <c r="AK20" s="244" t="n"/>
      <c r="AL20" s="244" t="n"/>
    </row>
    <row r="21">
      <c r="F21" s="244" t="n"/>
      <c r="G21" s="244" t="n"/>
      <c r="H21" s="244" t="n"/>
      <c r="I21" s="244" t="inlineStr">
        <is>
          <t>Presentes &amp; doações</t>
        </is>
      </c>
      <c r="J21" s="244" t="inlineStr">
        <is>
          <t>Estilo de vida</t>
        </is>
      </c>
      <c r="K21" s="244" t="n"/>
      <c r="L21" s="244" t="n"/>
      <c r="M21" s="244" t="n"/>
      <c r="N21" s="244" t="n"/>
      <c r="O21" s="244" t="n"/>
      <c r="P21" s="244" t="n"/>
      <c r="Q21" s="244" t="n"/>
      <c r="R21" s="244" t="n"/>
      <c r="S21" s="244" t="n"/>
      <c r="T21" s="244" t="n"/>
      <c r="U21" s="244" t="n"/>
      <c r="V21" s="244" t="n"/>
      <c r="W21" s="244" t="n"/>
      <c r="X21" s="244" t="n"/>
      <c r="Y21" s="244" t="n"/>
      <c r="Z21" s="244" t="n"/>
      <c r="AA21" s="244" t="n"/>
      <c r="AB21" s="244" t="n"/>
      <c r="AC21" s="244" t="n"/>
      <c r="AD21" s="244" t="n"/>
      <c r="AE21" s="244" t="n"/>
      <c r="AF21" s="244" t="n"/>
      <c r="AG21" s="244" t="n"/>
      <c r="AH21" s="244" t="n"/>
      <c r="AI21" s="244" t="n"/>
      <c r="AJ21" s="244" t="n"/>
      <c r="AK21" s="244" t="n"/>
      <c r="AL21" s="244" t="n"/>
    </row>
    <row r="22" ht="22" customHeight="1">
      <c r="B22" s="226" t="inlineStr">
        <is>
          <t>DATAS DE REFERÊNCIA (automático)</t>
        </is>
      </c>
      <c r="C22" s="227" t="n"/>
      <c r="D22" s="227" t="n"/>
      <c r="F22" s="244" t="n"/>
      <c r="G22" s="244" t="n"/>
      <c r="H22" s="244" t="n"/>
      <c r="I22" s="244" t="inlineStr">
        <is>
          <t>Educação &amp; cursos</t>
        </is>
      </c>
      <c r="J22" s="244" t="inlineStr">
        <is>
          <t>Crescimento</t>
        </is>
      </c>
      <c r="K22" s="244" t="n"/>
      <c r="L22" s="244" t="n"/>
      <c r="M22" s="244" t="n"/>
      <c r="N22" s="244" t="n"/>
      <c r="O22" s="244" t="n"/>
      <c r="P22" s="244" t="n"/>
      <c r="Q22" s="244" t="n"/>
      <c r="R22" s="244" t="n"/>
      <c r="S22" s="244" t="n"/>
      <c r="T22" s="244" t="n"/>
      <c r="U22" s="244" t="n"/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  <c r="AI22" s="244" t="n"/>
      <c r="AJ22" s="244" t="n"/>
      <c r="AK22" s="244" t="n"/>
      <c r="AL22" s="244" t="n"/>
    </row>
    <row r="23">
      <c r="B23" s="249" t="inlineStr">
        <is>
          <t>Hoje</t>
        </is>
      </c>
      <c r="C23" s="137">
        <f>TODAY()</f>
        <v>46297.0</v>
      </c>
      <c r="F23" s="244" t="n"/>
      <c r="G23" s="244" t="n"/>
      <c r="H23" s="244" t="n"/>
      <c r="I23" s="244" t="inlineStr">
        <is>
          <t>Livros &amp; materiais</t>
        </is>
      </c>
      <c r="J23" s="244" t="inlineStr">
        <is>
          <t>Crescimento</t>
        </is>
      </c>
      <c r="K23" s="244" t="n"/>
      <c r="L23" s="244" t="n"/>
      <c r="M23" s="244" t="n"/>
      <c r="N23" s="244" t="n"/>
      <c r="O23" s="244" t="n"/>
      <c r="P23" s="244" t="n"/>
      <c r="Q23" s="244" t="n"/>
      <c r="R23" s="244" t="n"/>
      <c r="S23" s="244" t="n"/>
      <c r="T23" s="244" t="n"/>
      <c r="U23" s="244" t="n"/>
      <c r="V23" s="244" t="n"/>
      <c r="W23" s="244" t="n"/>
      <c r="X23" s="244" t="n"/>
      <c r="Y23" s="244" t="n"/>
      <c r="Z23" s="244" t="n"/>
      <c r="AA23" s="244" t="n"/>
      <c r="AB23" s="244" t="n"/>
      <c r="AC23" s="244" t="n"/>
      <c r="AD23" s="244" t="n"/>
      <c r="AE23" s="244" t="n"/>
      <c r="AF23" s="244" t="n"/>
      <c r="AG23" s="244" t="n"/>
      <c r="AH23" s="244" t="n"/>
      <c r="AI23" s="244" t="n"/>
      <c r="AJ23" s="244" t="n"/>
      <c r="AK23" s="244" t="n"/>
      <c r="AL23" s="244" t="n"/>
    </row>
    <row r="24">
      <c r="B24" s="249" t="inlineStr">
        <is>
          <t>Mês de referência (nº)</t>
        </is>
      </c>
      <c r="C24" s="210">
        <f>IF('Dashboard'!$Z$1="Mês atual",IF(YEAR(Hoje)=Ano,MONTH(Hoje),IF(YEAR(Hoje)&gt;Ano,12,1)),IFERROR(MATCH('Dashboard'!$Z$1,Meses,0),1))</f>
        <v>10</v>
      </c>
      <c r="D24" s="111" t="inlineStr">
        <is>
          <t>Escolhido no topo do Dashboard (célula 'Mês de referência').</t>
        </is>
      </c>
      <c r="F24" s="244" t="n"/>
      <c r="G24" s="244" t="n"/>
      <c r="H24" s="244" t="n"/>
      <c r="I24" s="244" t="inlineStr">
        <is>
          <t>Outros</t>
        </is>
      </c>
      <c r="J24" s="244" t="inlineStr">
        <is>
          <t>Estilo de vida</t>
        </is>
      </c>
      <c r="K24" s="244" t="n"/>
      <c r="L24" s="244" t="n"/>
      <c r="M24" s="244" t="n"/>
      <c r="N24" s="244" t="n"/>
      <c r="O24" s="244" t="n"/>
      <c r="P24" s="244" t="n"/>
      <c r="Q24" s="244" t="n"/>
      <c r="R24" s="244" t="n"/>
      <c r="S24" s="244" t="n"/>
      <c r="T24" s="244" t="n"/>
      <c r="U24" s="244" t="n"/>
      <c r="V24" s="244" t="n"/>
      <c r="W24" s="244" t="n"/>
      <c r="X24" s="244" t="n"/>
      <c r="Y24" s="244" t="n"/>
      <c r="Z24" s="244" t="n"/>
      <c r="AA24" s="244" t="n"/>
      <c r="AB24" s="244" t="n"/>
      <c r="AC24" s="244" t="n"/>
      <c r="AD24" s="244" t="n"/>
      <c r="AE24" s="244" t="n"/>
      <c r="AF24" s="244" t="n"/>
      <c r="AG24" s="244" t="n"/>
      <c r="AH24" s="244" t="n"/>
      <c r="AI24" s="244" t="n"/>
      <c r="AJ24" s="244" t="n"/>
      <c r="AK24" s="244" t="n"/>
      <c r="AL24" s="244" t="n"/>
    </row>
    <row r="25">
      <c r="B25" s="249" t="inlineStr">
        <is>
          <t>Início do mês de referência</t>
        </is>
      </c>
      <c r="C25" s="137">
        <f>DATE(Ano,RefMes,1)</f>
        <v>46296.0</v>
      </c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  <c r="O25" s="244" t="n"/>
      <c r="P25" s="244" t="n"/>
      <c r="Q25" s="244" t="n"/>
      <c r="R25" s="244" t="n"/>
      <c r="S25" s="244" t="n"/>
      <c r="T25" s="244" t="n"/>
      <c r="U25" s="244" t="n"/>
      <c r="V25" s="244" t="n"/>
      <c r="W25" s="244" t="n"/>
      <c r="X25" s="244" t="n"/>
      <c r="Y25" s="244" t="n"/>
      <c r="Z25" s="244" t="n"/>
      <c r="AA25" s="244" t="n"/>
      <c r="AB25" s="244" t="n"/>
      <c r="AC25" s="244" t="n"/>
      <c r="AD25" s="244" t="n"/>
      <c r="AE25" s="244" t="n"/>
      <c r="AF25" s="244" t="n"/>
      <c r="AG25" s="244" t="n"/>
      <c r="AH25" s="244" t="n"/>
      <c r="AI25" s="244" t="n"/>
      <c r="AJ25" s="244" t="n"/>
      <c r="AK25" s="244" t="n"/>
      <c r="AL25" s="244" t="n"/>
    </row>
    <row r="26">
      <c r="B26" s="249" t="inlineStr">
        <is>
          <t>Fim do mês de referência</t>
        </is>
      </c>
      <c r="C26" s="137">
        <f>DATE(Ano,RefMes+1,0)</f>
        <v>46326.0</v>
      </c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n"/>
      <c r="T26" s="244" t="n"/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n"/>
      <c r="AJ26" s="244" t="n"/>
      <c r="AK26" s="244" t="n"/>
      <c r="AL26" s="244" t="n"/>
    </row>
    <row r="27">
      <c r="B27" s="249" t="inlineStr">
        <is>
          <t>Data de corte (até quando contar)</t>
        </is>
      </c>
      <c r="C27" s="137">
        <f>MIN(Hoje,RefFim)</f>
        <v>46297.0</v>
      </c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  <c r="O27" s="244" t="n"/>
      <c r="P27" s="244" t="n"/>
      <c r="Q27" s="244" t="n"/>
      <c r="R27" s="244" t="n"/>
      <c r="S27" s="244" t="n"/>
      <c r="T27" s="244" t="n"/>
      <c r="U27" s="244" t="n"/>
      <c r="V27" s="244" t="n"/>
      <c r="W27" s="244" t="n"/>
      <c r="X27" s="244" t="n"/>
      <c r="Y27" s="244" t="n"/>
      <c r="Z27" s="244" t="n"/>
      <c r="AA27" s="244" t="n"/>
      <c r="AB27" s="244" t="n"/>
      <c r="AC27" s="244" t="n"/>
      <c r="AD27" s="244" t="n"/>
      <c r="AE27" s="244" t="n"/>
      <c r="AF27" s="244" t="n"/>
      <c r="AG27" s="244" t="n"/>
      <c r="AH27" s="244" t="n"/>
      <c r="AI27" s="244" t="n"/>
      <c r="AJ27" s="244" t="n"/>
      <c r="AK27" s="244" t="n"/>
      <c r="AL27" s="244" t="n"/>
    </row>
    <row r="28">
      <c r="B28" s="249" t="inlineStr">
        <is>
          <t>Dias já decorridos no mês de referência</t>
        </is>
      </c>
      <c r="C28" s="210">
        <f>IF(RefIni&gt;Hoje,0,IF(RefFim&lt;=Hoje,DAY(RefFim),DAY(Hoje)))</f>
        <v>2</v>
      </c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  <c r="O28" s="244" t="n"/>
      <c r="P28" s="244" t="n"/>
      <c r="Q28" s="244" t="n"/>
      <c r="R28" s="244" t="n"/>
      <c r="S28" s="244" t="n"/>
      <c r="T28" s="244" t="n"/>
      <c r="U28" s="244" t="n"/>
      <c r="V28" s="244" t="n"/>
      <c r="W28" s="244" t="n"/>
      <c r="X28" s="244" t="n"/>
      <c r="Y28" s="244" t="n"/>
      <c r="Z28" s="244" t="n"/>
      <c r="AA28" s="244" t="n"/>
      <c r="AB28" s="244" t="n"/>
      <c r="AC28" s="244" t="n"/>
      <c r="AD28" s="244" t="n"/>
      <c r="AE28" s="244" t="n"/>
      <c r="AF28" s="244" t="n"/>
      <c r="AG28" s="244" t="n"/>
      <c r="AH28" s="244" t="n"/>
      <c r="AI28" s="244" t="n"/>
      <c r="AJ28" s="244" t="n"/>
      <c r="AK28" s="244" t="n"/>
      <c r="AL28" s="244" t="n"/>
    </row>
    <row r="29">
      <c r="B29" s="249" t="inlineStr">
        <is>
          <t>Início do ano</t>
        </is>
      </c>
      <c r="C29" s="137">
        <f>DATE(Ano,1,1)</f>
        <v>46023.0</v>
      </c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  <c r="O29" s="244" t="n"/>
      <c r="P29" s="244" t="n"/>
      <c r="Q29" s="244" t="n"/>
      <c r="R29" s="244" t="n"/>
      <c r="S29" s="244" t="n"/>
      <c r="T29" s="244" t="n"/>
      <c r="U29" s="244" t="n"/>
      <c r="V29" s="244" t="n"/>
      <c r="W29" s="244" t="n"/>
      <c r="X29" s="244" t="n"/>
      <c r="Y29" s="244" t="n"/>
      <c r="Z29" s="244" t="n"/>
      <c r="AA29" s="244" t="n"/>
      <c r="AB29" s="244" t="n"/>
      <c r="AC29" s="244" t="n"/>
      <c r="AD29" s="244" t="n"/>
      <c r="AE29" s="244" t="n"/>
      <c r="AF29" s="244" t="n"/>
      <c r="AG29" s="244" t="n"/>
      <c r="AH29" s="244" t="n"/>
      <c r="AI29" s="244" t="n"/>
      <c r="AJ29" s="244" t="n"/>
      <c r="AK29" s="244" t="n"/>
      <c r="AL29" s="244" t="n"/>
    </row>
    <row r="30">
      <c r="B30" s="249" t="inlineStr">
        <is>
          <t>Fim do ano</t>
        </is>
      </c>
      <c r="C30" s="137">
        <f>DATE(Ano,12,31)</f>
        <v>46387.0</v>
      </c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  <c r="O30" s="244" t="n"/>
      <c r="P30" s="244" t="n"/>
      <c r="Q30" s="244" t="n"/>
      <c r="R30" s="244" t="n"/>
      <c r="S30" s="244" t="n"/>
      <c r="T30" s="244" t="n"/>
      <c r="U30" s="244" t="n"/>
      <c r="V30" s="244" t="n"/>
      <c r="W30" s="244" t="n"/>
      <c r="X30" s="244" t="n"/>
      <c r="Y30" s="244" t="n"/>
      <c r="Z30" s="244" t="n"/>
      <c r="AA30" s="244" t="n"/>
      <c r="AB30" s="244" t="n"/>
      <c r="AC30" s="244" t="n"/>
      <c r="AD30" s="244" t="n"/>
      <c r="AE30" s="244" t="n"/>
      <c r="AF30" s="244" t="n"/>
      <c r="AG30" s="244" t="n"/>
      <c r="AH30" s="244" t="n"/>
      <c r="AI30" s="244" t="n"/>
      <c r="AJ30" s="244" t="n"/>
      <c r="AK30" s="244" t="n"/>
      <c r="AL30" s="244" t="n"/>
    </row>
    <row r="31">
      <c r="B31" s="249" t="inlineStr">
        <is>
          <t>Dias decorridos no ano (até o corte)</t>
        </is>
      </c>
      <c r="C31" s="210">
        <f>MAX(0,MIN(Corte,FimAno)-IniAno+1)</f>
        <v>275</v>
      </c>
      <c r="F31" s="244" t="n"/>
      <c r="G31" s="244" t="n"/>
      <c r="H31" s="244" t="n"/>
      <c r="I31" s="244" t="n"/>
      <c r="J31" s="244" t="n"/>
      <c r="K31" s="244" t="n"/>
      <c r="L31" s="244" t="n"/>
      <c r="M31" s="244" t="n"/>
      <c r="N31" s="244" t="n"/>
      <c r="O31" s="244" t="n"/>
      <c r="P31" s="244" t="n"/>
      <c r="Q31" s="244" t="n"/>
      <c r="R31" s="244" t="n"/>
      <c r="S31" s="244" t="n"/>
      <c r="T31" s="244" t="n"/>
      <c r="U31" s="244" t="n"/>
      <c r="V31" s="244" t="n"/>
      <c r="W31" s="244" t="n"/>
      <c r="X31" s="244" t="n"/>
      <c r="Y31" s="244" t="n"/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244" t="n"/>
      <c r="AJ31" s="244" t="n"/>
      <c r="AK31" s="244" t="n"/>
      <c r="AL31" s="244" t="n"/>
    </row>
    <row r="32">
      <c r="B32" s="249" t="inlineStr">
        <is>
          <t>Posição de hoje nas abas diárias</t>
        </is>
      </c>
      <c r="C32" s="210">
        <f>IF(Hoje&lt;IniAno,0,MIN(FimAno,Hoje)-IniAno+1)</f>
        <v>275</v>
      </c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  <c r="O32" s="244" t="n"/>
      <c r="P32" s="244" t="n"/>
      <c r="Q32" s="244" t="n"/>
      <c r="R32" s="244" t="n"/>
      <c r="S32" s="244" t="n"/>
      <c r="T32" s="244" t="n"/>
      <c r="U32" s="244" t="n"/>
      <c r="V32" s="244" t="n"/>
      <c r="W32" s="244" t="n"/>
      <c r="X32" s="244" t="n"/>
      <c r="Y32" s="244" t="n"/>
      <c r="Z32" s="244" t="n"/>
      <c r="AA32" s="244" t="n"/>
      <c r="AB32" s="244" t="n"/>
      <c r="AC32" s="244" t="n"/>
      <c r="AD32" s="244" t="n"/>
      <c r="AE32" s="244" t="n"/>
      <c r="AF32" s="244" t="n"/>
      <c r="AG32" s="244" t="n"/>
      <c r="AH32" s="244" t="n"/>
      <c r="AI32" s="244" t="n"/>
      <c r="AJ32" s="244" t="n"/>
      <c r="AK32" s="244" t="n"/>
      <c r="AL32" s="244" t="n"/>
    </row>
    <row r="33">
      <c r="B33" s="249" t="inlineStr">
        <is>
          <t>Rótulo do mês</t>
        </is>
      </c>
      <c r="C33" s="128" t="str">
        <f>INDEX(Meses,RefMes)&amp;" "&amp;Ano</f>
        <v>Outubro 2026</v>
      </c>
      <c r="F33" s="244" t="n"/>
      <c r="G33" s="244" t="n"/>
      <c r="H33" s="244" t="n"/>
      <c r="I33" s="244" t="n"/>
      <c r="J33" s="244" t="n"/>
      <c r="K33" s="244" t="n"/>
      <c r="L33" s="244" t="n"/>
      <c r="M33" s="244" t="n"/>
      <c r="N33" s="244" t="n"/>
      <c r="O33" s="244" t="n"/>
      <c r="P33" s="244" t="n"/>
      <c r="Q33" s="244" t="n"/>
      <c r="R33" s="244" t="n"/>
      <c r="S33" s="244" t="n"/>
      <c r="T33" s="244" t="n"/>
      <c r="U33" s="244" t="n"/>
      <c r="V33" s="244" t="n"/>
      <c r="W33" s="244" t="n"/>
      <c r="X33" s="244" t="n"/>
      <c r="Y33" s="244" t="n"/>
      <c r="Z33" s="244" t="n"/>
      <c r="AA33" s="244" t="n"/>
      <c r="AB33" s="244" t="n"/>
      <c r="AC33" s="244" t="n"/>
      <c r="AD33" s="244" t="n"/>
      <c r="AE33" s="244" t="n"/>
      <c r="AF33" s="244" t="n"/>
      <c r="AG33" s="244" t="n"/>
      <c r="AH33" s="244" t="n"/>
      <c r="AI33" s="244" t="n"/>
      <c r="AJ33" s="244" t="n"/>
      <c r="AK33" s="244" t="n"/>
      <c r="AL33" s="244" t="n"/>
    </row>
    <row r="34">
      <c r="B34" s="249" t="inlineStr">
        <is>
          <t>Dias no mês de referência</t>
        </is>
      </c>
      <c r="C34" s="210">
        <f>DAY(RefFim)</f>
        <v>31</v>
      </c>
      <c r="F34" s="244" t="n"/>
      <c r="G34" s="244" t="n"/>
      <c r="H34" s="244" t="n"/>
      <c r="I34" s="244" t="n"/>
      <c r="J34" s="244" t="n"/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n"/>
    </row>
    <row r="35"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  <c r="O35" s="244" t="n"/>
      <c r="P35" s="244" t="n"/>
      <c r="Q35" s="244" t="n"/>
      <c r="R35" s="244" t="n"/>
      <c r="S35" s="244" t="n"/>
      <c r="T35" s="244" t="n"/>
      <c r="U35" s="244" t="n"/>
      <c r="V35" s="244" t="n"/>
      <c r="W35" s="244" t="n"/>
      <c r="X35" s="244" t="n"/>
      <c r="Y35" s="244" t="n"/>
      <c r="Z35" s="244" t="n"/>
      <c r="AA35" s="244" t="n"/>
      <c r="AB35" s="244" t="n"/>
      <c r="AC35" s="244" t="n"/>
      <c r="AD35" s="244" t="n"/>
      <c r="AE35" s="244" t="n"/>
      <c r="AF35" s="244" t="n"/>
      <c r="AG35" s="244" t="n"/>
      <c r="AH35" s="244" t="n"/>
      <c r="AI35" s="244" t="n"/>
      <c r="AJ35" s="244" t="n"/>
      <c r="AK35" s="244" t="n"/>
      <c r="AL35" s="244" t="n"/>
    </row>
    <row r="36"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  <c r="O36" s="244" t="n"/>
      <c r="P36" s="244" t="n"/>
      <c r="Q36" s="244" t="n"/>
      <c r="R36" s="244" t="n"/>
      <c r="S36" s="244" t="n"/>
      <c r="T36" s="244" t="n"/>
      <c r="U36" s="244" t="n"/>
      <c r="V36" s="244" t="n"/>
      <c r="W36" s="244" t="n"/>
      <c r="X36" s="244" t="n"/>
      <c r="Y36" s="244" t="n"/>
      <c r="Z36" s="244" t="n"/>
      <c r="AA36" s="244" t="n"/>
      <c r="AB36" s="244" t="n"/>
      <c r="AC36" s="244" t="n"/>
      <c r="AD36" s="244" t="n"/>
      <c r="AE36" s="244" t="n"/>
      <c r="AF36" s="244" t="n"/>
      <c r="AG36" s="244" t="n"/>
      <c r="AH36" s="244" t="n"/>
      <c r="AI36" s="244" t="n"/>
      <c r="AJ36" s="244" t="n"/>
      <c r="AK36" s="244" t="n"/>
      <c r="AL36" s="244" t="n"/>
    </row>
    <row r="37"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  <c r="O37" s="244" t="n"/>
      <c r="P37" s="244" t="n"/>
      <c r="Q37" s="244" t="n"/>
      <c r="R37" s="244" t="n"/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4" t="n"/>
      <c r="AK37" s="244" t="n"/>
      <c r="AL37" s="244" t="n"/>
    </row>
    <row r="38"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n"/>
      <c r="T38" s="244" t="n"/>
      <c r="U38" s="244" t="n"/>
      <c r="V38" s="244" t="n"/>
      <c r="W38" s="244" t="n"/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n"/>
      <c r="AI38" s="244" t="n"/>
      <c r="AJ38" s="244" t="n"/>
      <c r="AK38" s="244" t="n"/>
      <c r="AL38" s="244" t="n"/>
    </row>
    <row r="39"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n"/>
      <c r="AL39" s="244" t="n"/>
    </row>
    <row r="40"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  <c r="O40" s="244" t="n"/>
      <c r="P40" s="244" t="n"/>
      <c r="Q40" s="244" t="n"/>
      <c r="R40" s="244" t="n"/>
      <c r="S40" s="244" t="n"/>
      <c r="T40" s="244" t="n"/>
      <c r="U40" s="244" t="n"/>
      <c r="V40" s="244" t="n"/>
      <c r="W40" s="244" t="n"/>
      <c r="X40" s="244" t="n"/>
      <c r="Y40" s="244" t="n"/>
      <c r="Z40" s="244" t="n"/>
      <c r="AA40" s="244" t="n"/>
      <c r="AB40" s="244" t="n"/>
      <c r="AC40" s="244" t="n"/>
      <c r="AD40" s="244" t="n"/>
      <c r="AE40" s="244" t="n"/>
      <c r="AF40" s="244" t="n"/>
      <c r="AG40" s="244" t="n"/>
      <c r="AH40" s="244" t="n"/>
      <c r="AI40" s="244" t="n"/>
      <c r="AJ40" s="244" t="n"/>
      <c r="AK40" s="244" t="n"/>
      <c r="AL40" s="244" t="n"/>
    </row>
  </sheetData>
  <dataValidations count="2">
    <dataValidation sqref="C7" showDropDown="0" showInputMessage="0" showErrorMessage="1" allowBlank="1" errorTitle="Valor inválido" error="Use um número entre 2000 e 2100." type="whole" operator="between">
      <formula1>2000</formula1>
      <formula2>2100</formula2>
    </dataValidation>
    <dataValidation sqref="C9" showDropDown="0" showInputMessage="0" showErrorMessage="1" allowBlank="1" errorTitle="Valor inválido" error="Use um número entre 0 e 1." type="decimal" operator="between">
      <formula1>0</formula1>
      <formula2>1</formula2>
    </dataValidation>
  </dataValidations>
  <hyperlinks>
    <hyperlink ref="AN1" location="'Dashboard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98781"/>
    <outlinePr summaryBelow="1" summaryRight="1"/>
    <pageSetUpPr/>
  </sheetPr>
  <dimension ref="A1:O199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0" customWidth="1" min="10" max="10"/>
    <col width="11" customWidth="1" min="11" max="11"/>
    <col width="22" customWidth="1" min="12" max="12"/>
    <col width="52" customWidth="1" min="13" max="13"/>
    <col width="60" customWidth="1" min="14" max="14"/>
    <col width="4" customWidth="1" min="15" max="15"/>
  </cols>
  <sheetData>
    <row r="1" ht="34" customHeight="1">
      <c r="A1" s="225" t="n"/>
      <c r="B1" s="97" t="inlineStr">
        <is>
          <t>Cálculos · motor do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98" t="inlineStr">
        <is>
          <t>◀ Dashboard</t>
        </is>
      </c>
    </row>
    <row r="2" ht="18" customHeight="1">
      <c r="A2" s="225" t="n"/>
      <c r="B2" s="99" t="inlineStr">
        <is>
          <t>Aba técnica e transparente: mostra de onde vem cada número do Dashboard. Não precisa editar nada aqui.</t>
        </is>
      </c>
    </row>
    <row r="3" ht="22" customHeight="1">
      <c r="A3" s="225" t="n"/>
      <c r="B3" s="226" t="inlineStr">
        <is>
          <t>1 · PLACAR POR ÁREA (0–1 por componente; Dados = média × 10)</t>
        </is>
      </c>
      <c r="C3" s="227" t="n"/>
      <c r="D3" s="227" t="n"/>
      <c r="E3" s="227" t="n"/>
      <c r="F3" s="227" t="n"/>
      <c r="G3" s="227" t="n"/>
      <c r="H3" s="227" t="n"/>
      <c r="I3" s="227" t="n"/>
      <c r="J3" s="227" t="n"/>
      <c r="K3" s="227" t="n"/>
      <c r="L3" s="227" t="n"/>
      <c r="M3" s="227" t="n"/>
      <c r="N3" s="227" t="n"/>
    </row>
    <row r="4" ht="32" customHeight="1">
      <c r="B4" s="104" t="inlineStr">
        <is>
          <t>Área</t>
        </is>
      </c>
      <c r="C4" s="104" t="inlineStr">
        <is>
          <t>Metas no ritmo</t>
        </is>
      </c>
      <c r="D4" s="104" t="inlineStr">
        <is>
          <t>Hábitos (% meta)</t>
        </is>
      </c>
      <c r="E4" s="104" t="inlineStr">
        <is>
          <t>Métrica 1</t>
        </is>
      </c>
      <c r="F4" s="104" t="inlineStr">
        <is>
          <t>Métrica 2</t>
        </is>
      </c>
      <c r="G4" s="104" t="inlineStr">
        <is>
          <t>Métrica 3</t>
        </is>
      </c>
      <c r="H4" s="104" t="inlineStr">
        <is>
          <t>Dados</t>
        </is>
      </c>
      <c r="I4" s="104" t="inlineStr">
        <is>
          <t>Percepção</t>
        </is>
      </c>
      <c r="J4" s="104" t="inlineStr">
        <is>
          <t>Alvo</t>
        </is>
      </c>
      <c r="K4" s="104" t="inlineStr">
        <is>
          <t>Percepção − dados</t>
        </is>
      </c>
      <c r="L4" s="104" t="inlineStr">
        <is>
          <t>Status</t>
        </is>
      </c>
      <c r="M4" s="104" t="inlineStr">
        <is>
          <t>Indicador-chave</t>
        </is>
      </c>
      <c r="N4" s="104" t="inlineStr">
        <is>
          <t>Como é calculado</t>
        </is>
      </c>
    </row>
    <row r="5" ht="30" customHeight="1">
      <c r="B5" s="105" t="str">
        <f>'Config'!$F$6</f>
        <v>Saúde física</v>
      </c>
      <c r="C5" s="250" t="str">
        <f>IFERROR(SUMIFS('Metas'!$V$15:$V$74,'Metas'!$D$15:$D$74,B5)/SUMIFS('Metas'!$U$15:$U$74,'Metas'!$D$15:$D$74,B5),"")</f>
        <v/>
      </c>
      <c r="D5" s="250" t="str">
        <f>IFERROR(AVERAGEIFS('Hábitos'!$D$10:$M$10,'Hábitos'!$D$6:$M$6,B5),"")</f>
        <v/>
      </c>
      <c r="E5" s="250" t="str">
        <f>IF(OR(DiasRef=0,N('Saúde'!$O$6)=0),"",MIN(1,'Saúde'!$H$6/(MetaTreinosSem*DiasRef/7)))</f>
        <v/>
      </c>
      <c r="F5" s="250" t="str">
        <f>IF(ISNUMBER('Saúde'!$B$6),MIN(1,'Saúde'!$B$6/MetaSono),"")</f>
        <v/>
      </c>
      <c r="G5" s="250" t="str">
        <f>IF(ISNUMBER('Saúde'!$J$6),MIN(1,'Saúde'!$J$6/MetaPassos),"")</f>
        <v/>
      </c>
      <c r="H5" s="251" t="str">
        <f>IFERROR(ROUND(AVERAGE(C5:G5)*10,1),"")</f>
        <v/>
      </c>
      <c r="I5" s="251" t="str">
        <f>IF('Roda da Vida'!$P$7="","",'Roda da Vida'!$P$7)</f>
        <v/>
      </c>
      <c r="J5" s="251" t="str">
        <f>IF('Roda da Vida'!$O$7="","",'Roda da Vida'!$O$7)</f>
        <v/>
      </c>
      <c r="K5" s="251" t="str">
        <f>IF(OR(H5="",I5=""),"",I5-H5)</f>
        <v/>
      </c>
      <c r="L5" s="252" t="str">
        <f>IF(H5="","○ Sem dados",IF(H5&gt;=7,"✔ Bem",IF(H5&gt;=5,"▲ Atenção","✖ Precisa de cuidado")))</f>
        <v>○ Sem dados</v>
      </c>
      <c r="M5" s="252" t="str">
        <f>IF(ISNUMBER('Saúde'!$B$6),"Sono "&amp;FIXED('Saúde'!$B$6,1)&amp;" h · ","")&amp;'Saúde'!$H$6&amp;" treinos"&amp;IF(ISNUMBER('Saúde'!$J$6)," · "&amp;FIXED('Saúde'!$J$6,0)&amp;" passos/dia","")</f>
        <v>0 treinos</v>
      </c>
      <c r="N5" s="252" t="inlineStr">
        <is>
          <t>Metas da área no ritmo + hábitos da área (% da meta) + Treinos vs. meta semanal · sono médio vs. meta · passos vs. meta (mês de referência).</t>
        </is>
      </c>
    </row>
    <row r="6" ht="30" customHeight="1">
      <c r="B6" s="105" t="str">
        <f>'Config'!$F$7</f>
        <v>Saúde mental</v>
      </c>
      <c r="C6" s="250" t="str">
        <f>IFERROR(SUMIFS('Metas'!$V$15:$V$74,'Metas'!$D$15:$D$74,B6)/SUMIFS('Metas'!$U$15:$U$74,'Metas'!$D$15:$D$74,B6),"")</f>
        <v/>
      </c>
      <c r="D6" s="250" t="str">
        <f>IFERROR(AVERAGEIFS('Hábitos'!$D$10:$M$10,'Hábitos'!$D$6:$M$6,B6),"")</f>
        <v/>
      </c>
      <c r="E6" s="250" t="str">
        <f>IF(ISNUMBER('Saúde'!$F$6),('Saúde'!$F$6-1)/4,"")</f>
        <v/>
      </c>
      <c r="F6" s="250" t="str">
        <f>IF(ISNUMBER(C153),(5-C153)/4,"")</f>
        <v/>
      </c>
      <c r="G6" s="250" t="str">
        <f>IF(ISNUMBER(C154),(C154-1)/4,"")</f>
        <v/>
      </c>
      <c r="H6" s="251" t="str">
        <f>IFERROR(ROUND(AVERAGE(C6:G6)*10,1),"")</f>
        <v/>
      </c>
      <c r="I6" s="251" t="str">
        <f>IF('Roda da Vida'!$P$8="","",'Roda da Vida'!$P$8)</f>
        <v/>
      </c>
      <c r="J6" s="251" t="str">
        <f>IF('Roda da Vida'!$O$8="","",'Roda da Vida'!$O$8)</f>
        <v/>
      </c>
      <c r="K6" s="251" t="str">
        <f>IF(OR(H6="",I6=""),"",I6-H6)</f>
        <v/>
      </c>
      <c r="L6" s="252" t="str">
        <f>IF(H6="","○ Sem dados",IF(H6&gt;=7,"✔ Bem",IF(H6&gt;=5,"▲ Atenção","✖ Precisa de cuidado")))</f>
        <v>○ Sem dados</v>
      </c>
      <c r="M6" s="252" t="str">
        <f>IF(ISNUMBER('Saúde'!$F$6),"Humor "&amp;FIXED('Saúde'!$F$6,1)&amp;" · estresse "&amp;IF(ISNUMBER(C153),FIXED(C153,1),"–")&amp;" (1–5)","Sem registros de humor no mês")</f>
        <v>Sem registros de humor no mês</v>
      </c>
      <c r="N6" s="252" t="inlineStr">
        <is>
          <t>Metas da área no ritmo + hábitos da área (% da meta) + Humor médio, estresse médio (invertido) e energia média do registro diário, em escala 0–1.</t>
        </is>
      </c>
    </row>
    <row r="7" ht="30" customHeight="1">
      <c r="B7" s="105" t="str">
        <f>'Config'!$F$8</f>
        <v>Finanças</v>
      </c>
      <c r="C7" s="250" t="str">
        <f>IFERROR(SUMIFS('Metas'!$V$15:$V$74,'Metas'!$D$15:$D$74,B7)/SUMIFS('Metas'!$U$15:$U$74,'Metas'!$D$15:$D$74,B7),"")</f>
        <v/>
      </c>
      <c r="D7" s="250" t="str">
        <f>IFERROR(AVERAGEIFS('Hábitos'!$D$10:$M$10,'Hábitos'!$D$6:$M$6,B7),"")</f>
        <v/>
      </c>
      <c r="E7" s="250" t="str">
        <f>IF(ISNUMBER('Finanças'!$H$6),MIN(1,MAX(0,'Finanças'!$H$6)/MetaPoup),"")</f>
        <v/>
      </c>
      <c r="F7" s="250" t="str">
        <f>IF(ISNUMBER('Orçamento'!$S$86),MIN(1,'Orçamento'!$S$86/MetaReserva),"")</f>
        <v/>
      </c>
      <c r="G7" s="250" t="str">
        <f>IFERROR(COUNTIF('Orçamento'!$U$18:$U$42,"✔*")/(COUNTIF('Orçamento'!$U$18:$U$42,"✔*")+COUNTIF('Orçamento'!$U$18:$U$42,"▲*")+COUNTIF('Orçamento'!$U$18:$U$42,"✖*")),"")</f>
        <v/>
      </c>
      <c r="H7" s="251" t="str">
        <f>IFERROR(ROUND(AVERAGE(C7:G7)*10,1),"")</f>
        <v/>
      </c>
      <c r="I7" s="251" t="str">
        <f>IF('Roda da Vida'!$P$9="","",'Roda da Vida'!$P$9)</f>
        <v/>
      </c>
      <c r="J7" s="251" t="str">
        <f>IF('Roda da Vida'!$O$9="","",'Roda da Vida'!$O$9)</f>
        <v/>
      </c>
      <c r="K7" s="251" t="str">
        <f>IF(OR(H7="",I7=""),"",I7-H7)</f>
        <v/>
      </c>
      <c r="L7" s="252" t="str">
        <f>IF(H7="","○ Sem dados",IF(H7&gt;=7,"✔ Bem",IF(H7&gt;=5,"▲ Atenção","✖ Precisa de cuidado")))</f>
        <v>○ Sem dados</v>
      </c>
      <c r="M7" s="252" t="str">
        <f>IF(ISNUMBER('Finanças'!$H$6),"Poupança "&amp;ROUND('Finanças'!$H$6*100,0)&amp;"%","Sem receitas no mês")&amp;IF(ISNUMBER('Orçamento'!$S$86),"; reserva "&amp;FIXED('Orçamento'!$S$86,1)&amp;" meses","")</f>
        <v>Sem receitas no mês</v>
      </c>
      <c r="N7" s="252" t="inlineStr">
        <is>
          <t>Metas da área no ritmo + hábitos da área (% da meta) + Taxa de poupança vs. meta · reserva de emergência vs. meta · % das categorias dentro do orçamento.</t>
        </is>
      </c>
    </row>
    <row r="8" ht="30" customHeight="1">
      <c r="B8" s="105" t="str">
        <f>'Config'!$F$9</f>
        <v>Carreira</v>
      </c>
      <c r="C8" s="250" t="str">
        <f>IFERROR(SUMIFS('Metas'!$V$15:$V$74,'Metas'!$D$15:$D$74,B8)/SUMIFS('Metas'!$U$15:$U$74,'Metas'!$D$15:$D$74,B8),"")</f>
        <v/>
      </c>
      <c r="D8" s="250" t="str">
        <f>IFERROR(AVERAGEIFS('Hábitos'!$D$10:$M$10,'Hábitos'!$D$6:$M$6,B8),"")</f>
        <v/>
      </c>
      <c r="E8" s="250" t="str">
        <f>IF(ISNUMBER('Carreira'!$I$10),'Carreira'!$I$10,"")</f>
        <v/>
      </c>
      <c r="F8" s="250" t="str">
        <f>IF(ISNUMBER('Carreira'!$I$11),'Carreira'!$I$11/10,"")</f>
        <v/>
      </c>
      <c r="G8" s="250" t="str">
        <f>""</f>
        <v/>
      </c>
      <c r="H8" s="251" t="str">
        <f>IFERROR(ROUND(AVERAGE(C8:G8)*10,1),"")</f>
        <v/>
      </c>
      <c r="I8" s="251" t="str">
        <f>IF('Roda da Vida'!$P$10="","",'Roda da Vida'!$P$10)</f>
        <v/>
      </c>
      <c r="J8" s="251" t="str">
        <f>IF('Roda da Vida'!$O$10="","",'Roda da Vida'!$O$10)</f>
        <v/>
      </c>
      <c r="K8" s="251" t="str">
        <f>IF(OR(H8="",I8=""),"",I8-H8)</f>
        <v/>
      </c>
      <c r="L8" s="252" t="str">
        <f>IF(H8="","○ Sem dados",IF(H8&gt;=7,"✔ Bem",IF(H8&gt;=5,"▲ Atenção","✖ Precisa de cuidado")))</f>
        <v>○ Sem dados</v>
      </c>
      <c r="M8" s="252" t="str">
        <f>'Carreira'!$I$6&amp;" candidaturas ativas"&amp;IF(ISNUMBER('Carreira'!$I$10)," · competências "&amp;ROUND('Carreira'!$I$10*100,0)&amp;"% do alvo","")</f>
        <v>0 candidaturas ativas</v>
      </c>
      <c r="N8" s="252" t="inlineStr">
        <is>
          <t>Metas da área no ritmo + hábitos da área (% da meta) + Competências: nível atual ÷ alvo · satisfação com o trabalho ÷ 10.</t>
        </is>
      </c>
    </row>
    <row r="9" ht="30" customHeight="1">
      <c r="B9" s="105" t="str">
        <f>'Config'!$F$10</f>
        <v>Aprendizado</v>
      </c>
      <c r="C9" s="250" t="str">
        <f>IFERROR(SUMIFS('Metas'!$V$15:$V$74,'Metas'!$D$15:$D$74,B9)/SUMIFS('Metas'!$U$15:$U$74,'Metas'!$D$15:$D$74,B9),"")</f>
        <v/>
      </c>
      <c r="D9" s="250" t="str">
        <f>IFERROR(AVERAGEIFS('Hábitos'!$D$10:$M$10,'Hábitos'!$D$6:$M$6,B9),"")</f>
        <v/>
      </c>
      <c r="E9" s="250" t="str">
        <f>IF(OR(DiasRef=0,COUNT('Aprendizado'!$Q$10:$Q$509)=0),"",MIN(1,'Aprendizado'!$B$6/(MetaEstudoMes*DiasRef/DiasMes)))</f>
        <v/>
      </c>
      <c r="F9" s="250" t="str">
        <f>IF(OR(DiasAno=0,COUNTIF('Aprendizado'!$C$10:$C$89,"Livro")=0),"",MIN(1,'Aprendizado'!$E$6/MAX(0.5,MetaLivrosAno*DiasAno/365)))</f>
        <v/>
      </c>
      <c r="G9" s="250" t="str">
        <f>""</f>
        <v/>
      </c>
      <c r="H9" s="251" t="str">
        <f>IFERROR(ROUND(AVERAGE(C9:G9)*10,1),"")</f>
        <v/>
      </c>
      <c r="I9" s="251" t="str">
        <f>IF('Roda da Vida'!$P$11="","",'Roda da Vida'!$P$11)</f>
        <v/>
      </c>
      <c r="J9" s="251" t="str">
        <f>IF('Roda da Vida'!$O$11="","",'Roda da Vida'!$O$11)</f>
        <v/>
      </c>
      <c r="K9" s="251" t="str">
        <f>IF(OR(H9="",I9=""),"",I9-H9)</f>
        <v/>
      </c>
      <c r="L9" s="252" t="str">
        <f>IF(H9="","○ Sem dados",IF(H9&gt;=7,"✔ Bem",IF(H9&gt;=5,"▲ Atenção","✖ Precisa de cuidado")))</f>
        <v>○ Sem dados</v>
      </c>
      <c r="M9" s="252" t="str">
        <f>FIXED('Aprendizado'!$B$6,1)&amp;" h de estudo no mês · "&amp;'Aprendizado'!$E$6&amp;" livros no ano"</f>
        <v>0.0 h de estudo no mês · 0 livros no ano</v>
      </c>
      <c r="N9" s="252" t="inlineStr">
        <is>
          <t>Metas da área no ritmo + hábitos da área (% da meta) + Horas de estudo vs. meta proporcional ao mês · livros concluídos vs. ritmo da meta anual.</t>
        </is>
      </c>
    </row>
    <row r="10" ht="30" customHeight="1">
      <c r="B10" s="105" t="str">
        <f>'Config'!$F$11</f>
        <v>Família</v>
      </c>
      <c r="C10" s="250" t="str">
        <f>IFERROR(SUMIFS('Metas'!$V$15:$V$74,'Metas'!$D$15:$D$74,B10)/SUMIFS('Metas'!$U$15:$U$74,'Metas'!$D$15:$D$74,B10),"")</f>
        <v/>
      </c>
      <c r="D10" s="250" t="str">
        <f>IFERROR(AVERAGEIFS('Hábitos'!$D$10:$M$10,'Hábitos'!$D$6:$M$6,B10),"")</f>
        <v/>
      </c>
      <c r="E10" s="250" t="str">
        <f>IFERROR((COUNTIFS('Relações'!$C$10:$C$69,'Config'!$W$6,'Relações'!$H$10:$H$69,"✔*")+COUNTIFS('Relações'!$C$10:$C$69,'Config'!$W$6,'Relações'!$H$10:$H$69,"▲*"))/COUNTIFS('Relações'!$C$10:$C$69,'Config'!$W$6,'Relações'!$E$10:$E$69,"&gt;0"),"")</f>
        <v/>
      </c>
      <c r="F10" s="250" t="str">
        <f>IFERROR((AVERAGEIFS('Relações'!$T$10:$T$609,'Relações'!$W$10:$W$609,'Config'!$W$6,'Relações'!$Q$10:$Q$609,"&gt;="&amp;RefIni,'Relações'!$Q$10:$Q$609,"&lt;="&amp;RefFim)-1)/4,"")</f>
        <v/>
      </c>
      <c r="G10" s="250" t="str">
        <f>""</f>
        <v/>
      </c>
      <c r="H10" s="251" t="str">
        <f>IFERROR(ROUND(AVERAGE(C10:G10)*10,1),"")</f>
        <v/>
      </c>
      <c r="I10" s="251" t="str">
        <f>IF('Roda da Vida'!$P$12="","",'Roda da Vida'!$P$12)</f>
        <v/>
      </c>
      <c r="J10" s="251" t="str">
        <f>IF('Roda da Vida'!$O$12="","",'Roda da Vida'!$O$12)</f>
        <v/>
      </c>
      <c r="K10" s="251" t="str">
        <f>IF(OR(H10="",I10=""),"",I10-H10)</f>
        <v/>
      </c>
      <c r="L10" s="252" t="str">
        <f>IF(H10="","○ Sem dados",IF(H10&gt;=7,"✔ Bem",IF(H10&gt;=5,"▲ Atenção","✖ Precisa de cuidado")))</f>
        <v>○ Sem dados</v>
      </c>
      <c r="M10" s="252" t="str">
        <f>(COUNTIFS('Relações'!$C$10:$C$69,'Config'!$W$6,'Relações'!$H$10:$H$69,"✔*")+COUNTIFS('Relações'!$C$10:$C$69,'Config'!$W$6,'Relações'!$H$10:$H$69,"▲*"))&amp;" de "&amp;COUNTIFS('Relações'!$C$10:$C$69,'Config'!$W$6,'Relações'!$E$10:$E$69,"&gt;0")&amp;" em dia · "&amp;COUNTIFS('Relações'!$W$10:$W$609,'Config'!$W$6,'Relações'!$Q$10:$Q$609,"&gt;="&amp;RefIni,'Relações'!$Q$10:$Q$609,"&lt;="&amp;RefFim)&amp;" contatos no mês"</f>
        <v>0 de 0 em dia · 0 contatos no mês</v>
      </c>
      <c r="N10" s="252" t="inlineStr">
        <is>
          <t>Metas da área no ritmo + hábitos da área (% da meta) + % das pessoas desse tipo dentro da frequência desejada; qualidade média dos contatos no mês.</t>
        </is>
      </c>
    </row>
    <row r="11" ht="30" customHeight="1">
      <c r="B11" s="105" t="str">
        <f>'Config'!$F$12</f>
        <v>Amor &amp; parceria</v>
      </c>
      <c r="C11" s="250" t="str">
        <f>IFERROR(SUMIFS('Metas'!$V$15:$V$74,'Metas'!$D$15:$D$74,B11)/SUMIFS('Metas'!$U$15:$U$74,'Metas'!$D$15:$D$74,B11),"")</f>
        <v/>
      </c>
      <c r="D11" s="250" t="str">
        <f>IFERROR(AVERAGEIFS('Hábitos'!$D$10:$M$10,'Hábitos'!$D$6:$M$6,B11),"")</f>
        <v/>
      </c>
      <c r="E11" s="250" t="str">
        <f>IFERROR((COUNTIFS('Relações'!$C$10:$C$69,'Config'!$W$7,'Relações'!$H$10:$H$69,"✔*")+COUNTIFS('Relações'!$C$10:$C$69,'Config'!$W$7,'Relações'!$H$10:$H$69,"▲*"))/COUNTIFS('Relações'!$C$10:$C$69,'Config'!$W$7,'Relações'!$E$10:$E$69,"&gt;0"),"")</f>
        <v/>
      </c>
      <c r="F11" s="250" t="str">
        <f>IFERROR((AVERAGEIFS('Relações'!$T$10:$T$609,'Relações'!$W$10:$W$609,'Config'!$W$7,'Relações'!$Q$10:$Q$609,"&gt;="&amp;RefIni,'Relações'!$Q$10:$Q$609,"&lt;="&amp;RefFim)-1)/4,"")</f>
        <v/>
      </c>
      <c r="G11" s="250" t="str">
        <f>""</f>
        <v/>
      </c>
      <c r="H11" s="251" t="str">
        <f>IFERROR(ROUND(AVERAGE(C11:G11)*10,1),"")</f>
        <v/>
      </c>
      <c r="I11" s="251" t="str">
        <f>IF('Roda da Vida'!$P$13="","",'Roda da Vida'!$P$13)</f>
        <v/>
      </c>
      <c r="J11" s="251" t="str">
        <f>IF('Roda da Vida'!$O$13="","",'Roda da Vida'!$O$13)</f>
        <v/>
      </c>
      <c r="K11" s="251" t="str">
        <f>IF(OR(H11="",I11=""),"",I11-H11)</f>
        <v/>
      </c>
      <c r="L11" s="252" t="str">
        <f>IF(H11="","○ Sem dados",IF(H11&gt;=7,"✔ Bem",IF(H11&gt;=5,"▲ Atenção","✖ Precisa de cuidado")))</f>
        <v>○ Sem dados</v>
      </c>
      <c r="M11" s="252" t="str">
        <f>(COUNTIFS('Relações'!$C$10:$C$69,'Config'!$W$7,'Relações'!$H$10:$H$69,"✔*")+COUNTIFS('Relações'!$C$10:$C$69,'Config'!$W$7,'Relações'!$H$10:$H$69,"▲*"))&amp;" de "&amp;COUNTIFS('Relações'!$C$10:$C$69,'Config'!$W$7,'Relações'!$E$10:$E$69,"&gt;0")&amp;" em dia · "&amp;COUNTIFS('Relações'!$W$10:$W$609,'Config'!$W$7,'Relações'!$Q$10:$Q$609,"&gt;="&amp;RefIni,'Relações'!$Q$10:$Q$609,"&lt;="&amp;RefFim)&amp;" contatos no mês"</f>
        <v>0 de 0 em dia · 0 contatos no mês</v>
      </c>
      <c r="N11" s="252" t="inlineStr">
        <is>
          <t>Metas da área no ritmo + hábitos da área (% da meta) + % das pessoas desse tipo dentro da frequência desejada; qualidade média dos contatos no mês.</t>
        </is>
      </c>
    </row>
    <row r="12" ht="30" customHeight="1">
      <c r="B12" s="105" t="str">
        <f>'Config'!$F$13</f>
        <v>Amizades &amp; social</v>
      </c>
      <c r="C12" s="250" t="str">
        <f>IFERROR(SUMIFS('Metas'!$V$15:$V$74,'Metas'!$D$15:$D$74,B12)/SUMIFS('Metas'!$U$15:$U$74,'Metas'!$D$15:$D$74,B12),"")</f>
        <v/>
      </c>
      <c r="D12" s="250" t="str">
        <f>IFERROR(AVERAGEIFS('Hábitos'!$D$10:$M$10,'Hábitos'!$D$6:$M$6,B12),"")</f>
        <v/>
      </c>
      <c r="E12" s="250" t="str">
        <f>IFERROR((COUNTIFS('Relações'!$C$10:$C$69,'Config'!$W$8,'Relações'!$H$10:$H$69,"✔*")+COUNTIFS('Relações'!$C$10:$C$69,'Config'!$W$8,'Relações'!$H$10:$H$69,"▲*"))/COUNTIFS('Relações'!$C$10:$C$69,'Config'!$W$8,'Relações'!$E$10:$E$69,"&gt;0"),"")</f>
        <v/>
      </c>
      <c r="F12" s="250" t="str">
        <f>IFERROR((AVERAGEIFS('Relações'!$T$10:$T$609,'Relações'!$W$10:$W$609,'Config'!$W$8,'Relações'!$Q$10:$Q$609,"&gt;="&amp;RefIni,'Relações'!$Q$10:$Q$609,"&lt;="&amp;RefFim)-1)/4,"")</f>
        <v/>
      </c>
      <c r="G12" s="250" t="str">
        <f>""</f>
        <v/>
      </c>
      <c r="H12" s="251" t="str">
        <f>IFERROR(ROUND(AVERAGE(C12:G12)*10,1),"")</f>
        <v/>
      </c>
      <c r="I12" s="251" t="str">
        <f>IF('Roda da Vida'!$P$14="","",'Roda da Vida'!$P$14)</f>
        <v/>
      </c>
      <c r="J12" s="251" t="str">
        <f>IF('Roda da Vida'!$O$14="","",'Roda da Vida'!$O$14)</f>
        <v/>
      </c>
      <c r="K12" s="251" t="str">
        <f>IF(OR(H12="",I12=""),"",I12-H12)</f>
        <v/>
      </c>
      <c r="L12" s="252" t="str">
        <f>IF(H12="","○ Sem dados",IF(H12&gt;=7,"✔ Bem",IF(H12&gt;=5,"▲ Atenção","✖ Precisa de cuidado")))</f>
        <v>○ Sem dados</v>
      </c>
      <c r="M12" s="252" t="str">
        <f>(COUNTIFS('Relações'!$C$10:$C$69,'Config'!$W$8,'Relações'!$H$10:$H$69,"✔*")+COUNTIFS('Relações'!$C$10:$C$69,'Config'!$W$8,'Relações'!$H$10:$H$69,"▲*"))&amp;" de "&amp;COUNTIFS('Relações'!$C$10:$C$69,'Config'!$W$8,'Relações'!$E$10:$E$69,"&gt;0")&amp;" em dia · "&amp;COUNTIFS('Relações'!$W$10:$W$609,'Config'!$W$8,'Relações'!$Q$10:$Q$609,"&gt;="&amp;RefIni,'Relações'!$Q$10:$Q$609,"&lt;="&amp;RefFim)&amp;" contatos no mês"</f>
        <v>0 de 0 em dia · 0 contatos no mês</v>
      </c>
      <c r="N12" s="252" t="inlineStr">
        <is>
          <t>Metas da área no ritmo + hábitos da área (% da meta) + % das pessoas desse tipo dentro da frequência desejada; qualidade média dos contatos no mês.</t>
        </is>
      </c>
    </row>
    <row r="13" ht="30" customHeight="1">
      <c r="B13" s="105" t="str">
        <f>'Config'!$F$14</f>
        <v>Lazer &amp; criatividade</v>
      </c>
      <c r="C13" s="250" t="str">
        <f>IFERROR(SUMIFS('Metas'!$V$15:$V$74,'Metas'!$D$15:$D$74,B13)/SUMIFS('Metas'!$U$15:$U$74,'Metas'!$D$15:$D$74,B13),"")</f>
        <v/>
      </c>
      <c r="D13" s="250" t="str">
        <f>IFERROR(AVERAGEIFS('Hábitos'!$D$10:$M$10,'Hábitos'!$D$6:$M$6,B13),"")</f>
        <v/>
      </c>
      <c r="E13" s="250" t="str">
        <f>IF(OR(DiasRef=0,COUNT('Lazer'!$B$10:$B$409)=0),"",MIN(1,'Lazer'!$B$6/(MetaLazerSem*DiasRef/7)))</f>
        <v/>
      </c>
      <c r="F13" s="250" t="str">
        <f>IF(ISNUMBER('Lazer'!$E$6),('Lazer'!$E$6-1)/4,"")</f>
        <v/>
      </c>
      <c r="G13" s="250" t="str">
        <f>""</f>
        <v/>
      </c>
      <c r="H13" s="251" t="str">
        <f>IFERROR(ROUND(AVERAGE(C13:G13)*10,1),"")</f>
        <v/>
      </c>
      <c r="I13" s="251" t="str">
        <f>IF('Roda da Vida'!$P$15="","",'Roda da Vida'!$P$15)</f>
        <v/>
      </c>
      <c r="J13" s="251" t="str">
        <f>IF('Roda da Vida'!$O$15="","",'Roda da Vida'!$O$15)</f>
        <v/>
      </c>
      <c r="K13" s="251" t="str">
        <f>IF(OR(H13="",I13=""),"",I13-H13)</f>
        <v/>
      </c>
      <c r="L13" s="252" t="str">
        <f>IF(H13="","○ Sem dados",IF(H13&gt;=7,"✔ Bem",IF(H13&gt;=5,"▲ Atenção","✖ Precisa de cuidado")))</f>
        <v>○ Sem dados</v>
      </c>
      <c r="M13" s="252" t="str">
        <f>FIXED('Lazer'!$B$6,1)&amp;" h de lazer · "&amp;'Lazer'!$D$6&amp;" atividades"&amp;IF(ISNUMBER('Lazer'!$E$6)," · satisfação "&amp;FIXED('Lazer'!$E$6,1),"")</f>
        <v>0.0 h de lazer · 0 atividades</v>
      </c>
      <c r="N13" s="252" t="inlineStr">
        <is>
          <t>Metas da área no ritmo + hábitos da área (% da meta) + Horas de lazer vs. meta semanal · satisfação média das atividades.</t>
        </is>
      </c>
    </row>
    <row r="14" ht="30" customHeight="1">
      <c r="B14" s="105" t="str">
        <f>'Config'!$F$15</f>
        <v>Propósito &amp; espiritualidade</v>
      </c>
      <c r="C14" s="250" t="str">
        <f>IFERROR(SUMIFS('Metas'!$V$15:$V$74,'Metas'!$D$15:$D$74,B14)/SUMIFS('Metas'!$U$15:$U$74,'Metas'!$D$15:$D$74,B14),"")</f>
        <v/>
      </c>
      <c r="D14" s="250" t="str">
        <f>IFERROR(AVERAGEIFS('Hábitos'!$D$10:$M$10,'Hábitos'!$D$6:$M$6,B14),"")</f>
        <v/>
      </c>
      <c r="E14" s="250" t="str">
        <f>""</f>
        <v/>
      </c>
      <c r="F14" s="250" t="str">
        <f>""</f>
        <v/>
      </c>
      <c r="G14" s="250" t="str">
        <f>""</f>
        <v/>
      </c>
      <c r="H14" s="251" t="str">
        <f>IFERROR(ROUND(AVERAGE(C14:G14)*10,1),"")</f>
        <v/>
      </c>
      <c r="I14" s="251" t="str">
        <f>IF('Roda da Vida'!$P$16="","",'Roda da Vida'!$P$16)</f>
        <v/>
      </c>
      <c r="J14" s="251" t="str">
        <f>IF('Roda da Vida'!$O$16="","",'Roda da Vida'!$O$16)</f>
        <v/>
      </c>
      <c r="K14" s="251" t="str">
        <f>IF(OR(H14="",I14=""),"",I14-H14)</f>
        <v/>
      </c>
      <c r="L14" s="252" t="str">
        <f>IF(H14="","○ Sem dados",IF(H14&gt;=7,"✔ Bem",IF(H14&gt;=5,"▲ Atenção","✖ Precisa de cuidado")))</f>
        <v>○ Sem dados</v>
      </c>
      <c r="M14" s="252" t="str">
        <f>IF(AND(C14="",D14=""),"Ligue hábitos e metas a esta área",IF(D14="","",ROUND(D14*100,0)&amp;"% da meta dos hábitos")&amp;IF(AND(C14&lt;&gt;"",D14&lt;&gt;"")," · ","")&amp;IF(C14="","",ROUND(C14*100,0)&amp;"% das metas no ritmo"))</f>
        <v>Ligue hábitos e metas a esta área</v>
      </c>
      <c r="N14" s="252" t="inlineStr">
        <is>
          <t>Metas da área no ritmo + hábitos da área (% da meta) + Só metas e hábitos ligados a esta área (escolha a área ao criar metas/hábitos).</t>
        </is>
      </c>
    </row>
    <row r="15" ht="30" customHeight="1">
      <c r="B15" s="105" t="str">
        <f>'Config'!$F$16</f>
        <v>Casa &amp; organização</v>
      </c>
      <c r="C15" s="250" t="str">
        <f>IFERROR(SUMIFS('Metas'!$V$15:$V$74,'Metas'!$D$15:$D$74,B15)/SUMIFS('Metas'!$U$15:$U$74,'Metas'!$D$15:$D$74,B15),"")</f>
        <v/>
      </c>
      <c r="D15" s="250" t="str">
        <f>IFERROR(AVERAGEIFS('Hábitos'!$D$10:$M$10,'Hábitos'!$D$6:$M$6,B15),"")</f>
        <v/>
      </c>
      <c r="E15" s="250" t="str">
        <f>IFERROR(COUNTIF('Casa'!$H$11:$H$35,"✔*")/(COUNTIF('Casa'!$H$11:$H$35,"✔*")+COUNTIF('Casa'!$H$11:$H$35,"▲*")+COUNTIF('Casa'!$H$11:$H$35,"✖*")),"")</f>
        <v/>
      </c>
      <c r="F15" s="250" t="str">
        <f>IFERROR(COUNTIF('Casa'!$H$39:$H$73,"✔*")/(COUNTIF('Casa'!$H$39:$H$73,"✔*")+COUNTIF('Casa'!$H$39:$H$73,"▲*")+COUNTIF('Casa'!$H$39:$H$73,"✖*")),"")</f>
        <v/>
      </c>
      <c r="G15" s="250" t="str">
        <f>""</f>
        <v/>
      </c>
      <c r="H15" s="251" t="str">
        <f>IFERROR(ROUND(AVERAGE(C15:G15)*10,1),"")</f>
        <v/>
      </c>
      <c r="I15" s="251" t="str">
        <f>IF('Roda da Vida'!$P$17="","",'Roda da Vida'!$P$17)</f>
        <v/>
      </c>
      <c r="J15" s="251" t="str">
        <f>IF('Roda da Vida'!$O$17="","",'Roda da Vida'!$O$17)</f>
        <v/>
      </c>
      <c r="K15" s="251" t="str">
        <f>IF(OR(H15="",I15=""),"",I15-H15)</f>
        <v/>
      </c>
      <c r="L15" s="252" t="str">
        <f>IF(H15="","○ Sem dados",IF(H15&gt;=7,"✔ Bem",IF(H15&gt;=5,"▲ Atenção","✖ Precisa de cuidado")))</f>
        <v>○ Sem dados</v>
      </c>
      <c r="M15" s="252" t="str">
        <f>('Casa'!$B$6+'Casa'!$C$6)&amp;" doc(s) p/ renovar · "&amp;'Casa'!$E$6&amp;" rotina(s) atrasada(s)"</f>
        <v>0 doc(s) p/ renovar · 0 rotina(s) atrasada(s)</v>
      </c>
      <c r="N15" s="252" t="inlineStr">
        <is>
          <t>Metas da área no ritmo + hábitos da área (% da meta) + % dos documentos válidos · % das rotinas recorrentes em dia.</t>
        </is>
      </c>
    </row>
    <row r="16">
      <c r="B16" s="253" t="inlineStr">
        <is>
          <t>ÍNDICE DE VIDA (0–100) · percepção média (0–10)</t>
        </is>
      </c>
      <c r="H16" s="254" t="str">
        <f>IFERROR(ROUND(AVERAGE(H5:H15)*10,0),"")</f>
        <v/>
      </c>
      <c r="I16" s="255" t="str">
        <f>IFERROR(ROUND(AVERAGE(I5:I15),1),"")</f>
        <v/>
      </c>
      <c r="J16" s="251" t="n"/>
      <c r="K16" s="251" t="n"/>
    </row>
    <row r="18" ht="22" customHeight="1">
      <c r="B18" s="226" t="inlineStr">
        <is>
          <t>2 · SÉRIE MENSAL (alimenta os gráficos)</t>
        </is>
      </c>
      <c r="C18" s="227" t="n"/>
      <c r="D18" s="227" t="n"/>
      <c r="E18" s="227" t="n"/>
      <c r="F18" s="227" t="n"/>
      <c r="G18" s="227" t="n"/>
      <c r="H18" s="227" t="n"/>
      <c r="I18" s="227" t="n"/>
      <c r="J18" s="227" t="n"/>
      <c r="K18" s="227" t="n"/>
      <c r="L18" s="227" t="n"/>
      <c r="M18" s="227" t="n"/>
      <c r="N18" s="227" t="n"/>
      <c r="O18" s="227" t="n"/>
    </row>
    <row r="19" ht="32" customHeight="1">
      <c r="B19" s="104" t="inlineStr">
        <is>
          <t>Mês</t>
        </is>
      </c>
      <c r="C19" s="104" t="inlineStr">
        <is>
          <t>Receitas</t>
        </is>
      </c>
      <c r="D19" s="104" t="inlineStr">
        <is>
          <t>Despesas</t>
        </is>
      </c>
      <c r="E19" s="104" t="inlineStr">
        <is>
          <t>Aportes</t>
        </is>
      </c>
      <c r="F19" s="104" t="inlineStr">
        <is>
          <t>Resultado</t>
        </is>
      </c>
      <c r="G19" s="104" t="inlineStr">
        <is>
          <t>Taxa de poupança</t>
        </is>
      </c>
      <c r="H19" s="104" t="inlineStr">
        <is>
          <t>Patrimônio líquido</t>
        </is>
      </c>
      <c r="I19" s="104" t="inlineStr">
        <is>
          <t>Sono médio (h)</t>
        </is>
      </c>
      <c r="J19" s="104" t="inlineStr">
        <is>
          <t>Treinos</t>
        </is>
      </c>
      <c r="K19" s="104" t="inlineStr">
        <is>
          <t>Humor médio</t>
        </is>
      </c>
      <c r="L19" s="104" t="inlineStr">
        <is>
          <t>Hábitos cumpridos</t>
        </is>
      </c>
      <c r="M19" s="104" t="inlineStr">
        <is>
          <t>Estudo (h)</t>
        </is>
      </c>
      <c r="N19" s="104" t="inlineStr">
        <is>
          <t>Lazer (h)</t>
        </is>
      </c>
      <c r="O19" s="104" t="inlineStr">
        <is>
          <t>Roda da Vida (média)</t>
        </is>
      </c>
    </row>
    <row r="20">
      <c r="B20" s="256" t="inlineStr">
        <is>
          <t>Jan</t>
        </is>
      </c>
      <c r="C20" s="257">
        <f>'Orçamento'!$E$7</f>
        <v>0</v>
      </c>
      <c r="D20" s="257">
        <f>'Orçamento'!$E$8</f>
        <v>0</v>
      </c>
      <c r="E20" s="257">
        <f>'Orçamento'!$E$10</f>
        <v>0</v>
      </c>
      <c r="F20" s="257">
        <f>'Orçamento'!$E$9</f>
        <v>0</v>
      </c>
      <c r="G20" s="258" t="str">
        <f>IF('Orçamento'!$E$12="","",'Orçamento'!$E$12)</f>
        <v/>
      </c>
      <c r="H20" s="257" t="str">
        <f>IF('Orçamento'!$E$84="","",'Orçamento'!$E$84)</f>
        <v/>
      </c>
      <c r="I20" s="256" t="str">
        <f>'Saúde'!$R$11</f>
        <v/>
      </c>
      <c r="J20" s="256">
        <f>'Saúde'!$V$11</f>
        <v>0</v>
      </c>
      <c r="K20" s="256" t="str">
        <f>'Saúde'!$S$11</f>
        <v/>
      </c>
      <c r="L20" s="258" t="str">
        <f>IFERROR(SUMIFS('Hábitos'!$N$17:$N$382,'Hábitos'!$B$17:$B$382,"&gt;="&amp;DATE(Ano,1,1),'Hábitos'!$B$17:$B$382,"&lt;="&amp;DATE(Ano,1+1,0))/(COUNTA('Hábitos'!$D$16:$M$16)*MAX(0,MIN(DATE(Ano,1+1,0),Hoje)-DATE(Ano,1,1)+1)),"")</f>
        <v/>
      </c>
      <c r="M20" s="256">
        <f>SUMIFS('Aprendizado'!$S$10:$S$509,'Aprendizado'!$Q$10:$Q$509,"&gt;="&amp;DATE(Ano,1,1),'Aprendizado'!$Q$10:$Q$509,"&lt;="&amp;DATE(Ano,1+1,0))</f>
        <v>0</v>
      </c>
      <c r="N20" s="256">
        <f>SUMIFS('Lazer'!$F$10:$F$409,'Lazer'!$B$10:$B$409,"&gt;="&amp;DATE(Ano,1,1),'Lazer'!$B$10:$B$409,"&lt;="&amp;DATE(Ano,1+1,0))</f>
        <v>0</v>
      </c>
      <c r="O20" s="256" t="str">
        <f>IFERROR(AVERAGE('Roda da Vida'!$C$7:$C$17),"")</f>
        <v/>
      </c>
    </row>
    <row r="21">
      <c r="B21" s="256" t="inlineStr">
        <is>
          <t>Fev</t>
        </is>
      </c>
      <c r="C21" s="257">
        <f>'Orçamento'!$F$7</f>
        <v>0</v>
      </c>
      <c r="D21" s="257">
        <f>'Orçamento'!$F$8</f>
        <v>0</v>
      </c>
      <c r="E21" s="257">
        <f>'Orçamento'!$F$10</f>
        <v>0</v>
      </c>
      <c r="F21" s="257">
        <f>'Orçamento'!$F$9</f>
        <v>0</v>
      </c>
      <c r="G21" s="258" t="str">
        <f>IF('Orçamento'!$F$12="","",'Orçamento'!$F$12)</f>
        <v/>
      </c>
      <c r="H21" s="257" t="str">
        <f>IF('Orçamento'!$F$84="","",'Orçamento'!$F$84)</f>
        <v/>
      </c>
      <c r="I21" s="256" t="str">
        <f>'Saúde'!$R$12</f>
        <v/>
      </c>
      <c r="J21" s="256">
        <f>'Saúde'!$V$12</f>
        <v>0</v>
      </c>
      <c r="K21" s="256" t="str">
        <f>'Saúde'!$S$12</f>
        <v/>
      </c>
      <c r="L21" s="258" t="str">
        <f>IFERROR(SUMIFS('Hábitos'!$N$17:$N$382,'Hábitos'!$B$17:$B$382,"&gt;="&amp;DATE(Ano,2,1),'Hábitos'!$B$17:$B$382,"&lt;="&amp;DATE(Ano,2+1,0))/(COUNTA('Hábitos'!$D$16:$M$16)*MAX(0,MIN(DATE(Ano,2+1,0),Hoje)-DATE(Ano,2,1)+1)),"")</f>
        <v/>
      </c>
      <c r="M21" s="256">
        <f>SUMIFS('Aprendizado'!$S$10:$S$509,'Aprendizado'!$Q$10:$Q$509,"&gt;="&amp;DATE(Ano,2,1),'Aprendizado'!$Q$10:$Q$509,"&lt;="&amp;DATE(Ano,2+1,0))</f>
        <v>0</v>
      </c>
      <c r="N21" s="256">
        <f>SUMIFS('Lazer'!$F$10:$F$409,'Lazer'!$B$10:$B$409,"&gt;="&amp;DATE(Ano,2,1),'Lazer'!$B$10:$B$409,"&lt;="&amp;DATE(Ano,2+1,0))</f>
        <v>0</v>
      </c>
      <c r="O21" s="256" t="str">
        <f>IFERROR(AVERAGE('Roda da Vida'!$D$7:$D$17),"")</f>
        <v/>
      </c>
    </row>
    <row r="22">
      <c r="B22" s="256" t="inlineStr">
        <is>
          <t>Mar</t>
        </is>
      </c>
      <c r="C22" s="257">
        <f>'Orçamento'!$G$7</f>
        <v>0</v>
      </c>
      <c r="D22" s="257">
        <f>'Orçamento'!$G$8</f>
        <v>0</v>
      </c>
      <c r="E22" s="257">
        <f>'Orçamento'!$G$10</f>
        <v>0</v>
      </c>
      <c r="F22" s="257">
        <f>'Orçamento'!$G$9</f>
        <v>0</v>
      </c>
      <c r="G22" s="258" t="str">
        <f>IF('Orçamento'!$G$12="","",'Orçamento'!$G$12)</f>
        <v/>
      </c>
      <c r="H22" s="257" t="str">
        <f>IF('Orçamento'!$G$84="","",'Orçamento'!$G$84)</f>
        <v/>
      </c>
      <c r="I22" s="256" t="str">
        <f>'Saúde'!$R$13</f>
        <v/>
      </c>
      <c r="J22" s="256">
        <f>'Saúde'!$V$13</f>
        <v>0</v>
      </c>
      <c r="K22" s="256" t="str">
        <f>'Saúde'!$S$13</f>
        <v/>
      </c>
      <c r="L22" s="258" t="str">
        <f>IFERROR(SUMIFS('Hábitos'!$N$17:$N$382,'Hábitos'!$B$17:$B$382,"&gt;="&amp;DATE(Ano,3,1),'Hábitos'!$B$17:$B$382,"&lt;="&amp;DATE(Ano,3+1,0))/(COUNTA('Hábitos'!$D$16:$M$16)*MAX(0,MIN(DATE(Ano,3+1,0),Hoje)-DATE(Ano,3,1)+1)),"")</f>
        <v/>
      </c>
      <c r="M22" s="256">
        <f>SUMIFS('Aprendizado'!$S$10:$S$509,'Aprendizado'!$Q$10:$Q$509,"&gt;="&amp;DATE(Ano,3,1),'Aprendizado'!$Q$10:$Q$509,"&lt;="&amp;DATE(Ano,3+1,0))</f>
        <v>0</v>
      </c>
      <c r="N22" s="256">
        <f>SUMIFS('Lazer'!$F$10:$F$409,'Lazer'!$B$10:$B$409,"&gt;="&amp;DATE(Ano,3,1),'Lazer'!$B$10:$B$409,"&lt;="&amp;DATE(Ano,3+1,0))</f>
        <v>0</v>
      </c>
      <c r="O22" s="256" t="str">
        <f>IFERROR(AVERAGE('Roda da Vida'!$E$7:$E$17),"")</f>
        <v/>
      </c>
    </row>
    <row r="23">
      <c r="B23" s="256" t="inlineStr">
        <is>
          <t>Abr</t>
        </is>
      </c>
      <c r="C23" s="257">
        <f>'Orçamento'!$H$7</f>
        <v>0</v>
      </c>
      <c r="D23" s="257">
        <f>'Orçamento'!$H$8</f>
        <v>0</v>
      </c>
      <c r="E23" s="257">
        <f>'Orçamento'!$H$10</f>
        <v>0</v>
      </c>
      <c r="F23" s="257">
        <f>'Orçamento'!$H$9</f>
        <v>0</v>
      </c>
      <c r="G23" s="258" t="str">
        <f>IF('Orçamento'!$H$12="","",'Orçamento'!$H$12)</f>
        <v/>
      </c>
      <c r="H23" s="257" t="str">
        <f>IF('Orçamento'!$H$84="","",'Orçamento'!$H$84)</f>
        <v/>
      </c>
      <c r="I23" s="256" t="str">
        <f>'Saúde'!$R$14</f>
        <v/>
      </c>
      <c r="J23" s="256">
        <f>'Saúde'!$V$14</f>
        <v>0</v>
      </c>
      <c r="K23" s="256" t="str">
        <f>'Saúde'!$S$14</f>
        <v/>
      </c>
      <c r="L23" s="258" t="str">
        <f>IFERROR(SUMIFS('Hábitos'!$N$17:$N$382,'Hábitos'!$B$17:$B$382,"&gt;="&amp;DATE(Ano,4,1),'Hábitos'!$B$17:$B$382,"&lt;="&amp;DATE(Ano,4+1,0))/(COUNTA('Hábitos'!$D$16:$M$16)*MAX(0,MIN(DATE(Ano,4+1,0),Hoje)-DATE(Ano,4,1)+1)),"")</f>
        <v/>
      </c>
      <c r="M23" s="256">
        <f>SUMIFS('Aprendizado'!$S$10:$S$509,'Aprendizado'!$Q$10:$Q$509,"&gt;="&amp;DATE(Ano,4,1),'Aprendizado'!$Q$10:$Q$509,"&lt;="&amp;DATE(Ano,4+1,0))</f>
        <v>0</v>
      </c>
      <c r="N23" s="256">
        <f>SUMIFS('Lazer'!$F$10:$F$409,'Lazer'!$B$10:$B$409,"&gt;="&amp;DATE(Ano,4,1),'Lazer'!$B$10:$B$409,"&lt;="&amp;DATE(Ano,4+1,0))</f>
        <v>0</v>
      </c>
      <c r="O23" s="256" t="str">
        <f>IFERROR(AVERAGE('Roda da Vida'!$F$7:$F$17),"")</f>
        <v/>
      </c>
    </row>
    <row r="24">
      <c r="B24" s="256" t="inlineStr">
        <is>
          <t>Mai</t>
        </is>
      </c>
      <c r="C24" s="257">
        <f>'Orçamento'!$I$7</f>
        <v>0</v>
      </c>
      <c r="D24" s="257">
        <f>'Orçamento'!$I$8</f>
        <v>0</v>
      </c>
      <c r="E24" s="257">
        <f>'Orçamento'!$I$10</f>
        <v>0</v>
      </c>
      <c r="F24" s="257">
        <f>'Orçamento'!$I$9</f>
        <v>0</v>
      </c>
      <c r="G24" s="258" t="str">
        <f>IF('Orçamento'!$I$12="","",'Orçamento'!$I$12)</f>
        <v/>
      </c>
      <c r="H24" s="257" t="str">
        <f>IF('Orçamento'!$I$84="","",'Orçamento'!$I$84)</f>
        <v/>
      </c>
      <c r="I24" s="256" t="str">
        <f>'Saúde'!$R$15</f>
        <v/>
      </c>
      <c r="J24" s="256">
        <f>'Saúde'!$V$15</f>
        <v>0</v>
      </c>
      <c r="K24" s="256" t="str">
        <f>'Saúde'!$S$15</f>
        <v/>
      </c>
      <c r="L24" s="258" t="str">
        <f>IFERROR(SUMIFS('Hábitos'!$N$17:$N$382,'Hábitos'!$B$17:$B$382,"&gt;="&amp;DATE(Ano,5,1),'Hábitos'!$B$17:$B$382,"&lt;="&amp;DATE(Ano,5+1,0))/(COUNTA('Hábitos'!$D$16:$M$16)*MAX(0,MIN(DATE(Ano,5+1,0),Hoje)-DATE(Ano,5,1)+1)),"")</f>
        <v/>
      </c>
      <c r="M24" s="256">
        <f>SUMIFS('Aprendizado'!$S$10:$S$509,'Aprendizado'!$Q$10:$Q$509,"&gt;="&amp;DATE(Ano,5,1),'Aprendizado'!$Q$10:$Q$509,"&lt;="&amp;DATE(Ano,5+1,0))</f>
        <v>0</v>
      </c>
      <c r="N24" s="256">
        <f>SUMIFS('Lazer'!$F$10:$F$409,'Lazer'!$B$10:$B$409,"&gt;="&amp;DATE(Ano,5,1),'Lazer'!$B$10:$B$409,"&lt;="&amp;DATE(Ano,5+1,0))</f>
        <v>0</v>
      </c>
      <c r="O24" s="256" t="str">
        <f>IFERROR(AVERAGE('Roda da Vida'!$G$7:$G$17),"")</f>
        <v/>
      </c>
    </row>
    <row r="25">
      <c r="B25" s="256" t="inlineStr">
        <is>
          <t>Jun</t>
        </is>
      </c>
      <c r="C25" s="257">
        <f>'Orçamento'!$J$7</f>
        <v>0</v>
      </c>
      <c r="D25" s="257">
        <f>'Orçamento'!$J$8</f>
        <v>0</v>
      </c>
      <c r="E25" s="257">
        <f>'Orçamento'!$J$10</f>
        <v>0</v>
      </c>
      <c r="F25" s="257">
        <f>'Orçamento'!$J$9</f>
        <v>0</v>
      </c>
      <c r="G25" s="258" t="str">
        <f>IF('Orçamento'!$J$12="","",'Orçamento'!$J$12)</f>
        <v/>
      </c>
      <c r="H25" s="257" t="str">
        <f>IF('Orçamento'!$J$84="","",'Orçamento'!$J$84)</f>
        <v/>
      </c>
      <c r="I25" s="256" t="str">
        <f>'Saúde'!$R$16</f>
        <v/>
      </c>
      <c r="J25" s="256">
        <f>'Saúde'!$V$16</f>
        <v>0</v>
      </c>
      <c r="K25" s="256" t="str">
        <f>'Saúde'!$S$16</f>
        <v/>
      </c>
      <c r="L25" s="258" t="str">
        <f>IFERROR(SUMIFS('Hábitos'!$N$17:$N$382,'Hábitos'!$B$17:$B$382,"&gt;="&amp;DATE(Ano,6,1),'Hábitos'!$B$17:$B$382,"&lt;="&amp;DATE(Ano,6+1,0))/(COUNTA('Hábitos'!$D$16:$M$16)*MAX(0,MIN(DATE(Ano,6+1,0),Hoje)-DATE(Ano,6,1)+1)),"")</f>
        <v/>
      </c>
      <c r="M25" s="256">
        <f>SUMIFS('Aprendizado'!$S$10:$S$509,'Aprendizado'!$Q$10:$Q$509,"&gt;="&amp;DATE(Ano,6,1),'Aprendizado'!$Q$10:$Q$509,"&lt;="&amp;DATE(Ano,6+1,0))</f>
        <v>0</v>
      </c>
      <c r="N25" s="256">
        <f>SUMIFS('Lazer'!$F$10:$F$409,'Lazer'!$B$10:$B$409,"&gt;="&amp;DATE(Ano,6,1),'Lazer'!$B$10:$B$409,"&lt;="&amp;DATE(Ano,6+1,0))</f>
        <v>0</v>
      </c>
      <c r="O25" s="256" t="str">
        <f>IFERROR(AVERAGE('Roda da Vida'!$H$7:$H$17),"")</f>
        <v/>
      </c>
    </row>
    <row r="26">
      <c r="B26" s="256" t="inlineStr">
        <is>
          <t>Jul</t>
        </is>
      </c>
      <c r="C26" s="257">
        <f>'Orçamento'!$K$7</f>
        <v>0</v>
      </c>
      <c r="D26" s="257">
        <f>'Orçamento'!$K$8</f>
        <v>0</v>
      </c>
      <c r="E26" s="257">
        <f>'Orçamento'!$K$10</f>
        <v>0</v>
      </c>
      <c r="F26" s="257">
        <f>'Orçamento'!$K$9</f>
        <v>0</v>
      </c>
      <c r="G26" s="258" t="str">
        <f>IF('Orçamento'!$K$12="","",'Orçamento'!$K$12)</f>
        <v/>
      </c>
      <c r="H26" s="257" t="str">
        <f>IF('Orçamento'!$K$84="","",'Orçamento'!$K$84)</f>
        <v/>
      </c>
      <c r="I26" s="256" t="str">
        <f>'Saúde'!$R$17</f>
        <v/>
      </c>
      <c r="J26" s="256">
        <f>'Saúde'!$V$17</f>
        <v>0</v>
      </c>
      <c r="K26" s="256" t="str">
        <f>'Saúde'!$S$17</f>
        <v/>
      </c>
      <c r="L26" s="258" t="str">
        <f>IFERROR(SUMIFS('Hábitos'!$N$17:$N$382,'Hábitos'!$B$17:$B$382,"&gt;="&amp;DATE(Ano,7,1),'Hábitos'!$B$17:$B$382,"&lt;="&amp;DATE(Ano,7+1,0))/(COUNTA('Hábitos'!$D$16:$M$16)*MAX(0,MIN(DATE(Ano,7+1,0),Hoje)-DATE(Ano,7,1)+1)),"")</f>
        <v/>
      </c>
      <c r="M26" s="256">
        <f>SUMIFS('Aprendizado'!$S$10:$S$509,'Aprendizado'!$Q$10:$Q$509,"&gt;="&amp;DATE(Ano,7,1),'Aprendizado'!$Q$10:$Q$509,"&lt;="&amp;DATE(Ano,7+1,0))</f>
        <v>0</v>
      </c>
      <c r="N26" s="256">
        <f>SUMIFS('Lazer'!$F$10:$F$409,'Lazer'!$B$10:$B$409,"&gt;="&amp;DATE(Ano,7,1),'Lazer'!$B$10:$B$409,"&lt;="&amp;DATE(Ano,7+1,0))</f>
        <v>0</v>
      </c>
      <c r="O26" s="256" t="str">
        <f>IFERROR(AVERAGE('Roda da Vida'!$I$7:$I$17),"")</f>
        <v/>
      </c>
    </row>
    <row r="27">
      <c r="B27" s="256" t="inlineStr">
        <is>
          <t>Ago</t>
        </is>
      </c>
      <c r="C27" s="257">
        <f>'Orçamento'!$L$7</f>
        <v>0</v>
      </c>
      <c r="D27" s="257">
        <f>'Orçamento'!$L$8</f>
        <v>0</v>
      </c>
      <c r="E27" s="257">
        <f>'Orçamento'!$L$10</f>
        <v>0</v>
      </c>
      <c r="F27" s="257">
        <f>'Orçamento'!$L$9</f>
        <v>0</v>
      </c>
      <c r="G27" s="258" t="str">
        <f>IF('Orçamento'!$L$12="","",'Orçamento'!$L$12)</f>
        <v/>
      </c>
      <c r="H27" s="257" t="str">
        <f>IF('Orçamento'!$L$84="","",'Orçamento'!$L$84)</f>
        <v/>
      </c>
      <c r="I27" s="256" t="str">
        <f>'Saúde'!$R$18</f>
        <v/>
      </c>
      <c r="J27" s="256">
        <f>'Saúde'!$V$18</f>
        <v>0</v>
      </c>
      <c r="K27" s="256" t="str">
        <f>'Saúde'!$S$18</f>
        <v/>
      </c>
      <c r="L27" s="258" t="str">
        <f>IFERROR(SUMIFS('Hábitos'!$N$17:$N$382,'Hábitos'!$B$17:$B$382,"&gt;="&amp;DATE(Ano,8,1),'Hábitos'!$B$17:$B$382,"&lt;="&amp;DATE(Ano,8+1,0))/(COUNTA('Hábitos'!$D$16:$M$16)*MAX(0,MIN(DATE(Ano,8+1,0),Hoje)-DATE(Ano,8,1)+1)),"")</f>
        <v/>
      </c>
      <c r="M27" s="256">
        <f>SUMIFS('Aprendizado'!$S$10:$S$509,'Aprendizado'!$Q$10:$Q$509,"&gt;="&amp;DATE(Ano,8,1),'Aprendizado'!$Q$10:$Q$509,"&lt;="&amp;DATE(Ano,8+1,0))</f>
        <v>0</v>
      </c>
      <c r="N27" s="256">
        <f>SUMIFS('Lazer'!$F$10:$F$409,'Lazer'!$B$10:$B$409,"&gt;="&amp;DATE(Ano,8,1),'Lazer'!$B$10:$B$409,"&lt;="&amp;DATE(Ano,8+1,0))</f>
        <v>0</v>
      </c>
      <c r="O27" s="256" t="str">
        <f>IFERROR(AVERAGE('Roda da Vida'!$J$7:$J$17),"")</f>
        <v/>
      </c>
    </row>
    <row r="28">
      <c r="B28" s="256" t="inlineStr">
        <is>
          <t>Set</t>
        </is>
      </c>
      <c r="C28" s="257">
        <f>'Orçamento'!$M$7</f>
        <v>0</v>
      </c>
      <c r="D28" s="257">
        <f>'Orçamento'!$M$8</f>
        <v>0</v>
      </c>
      <c r="E28" s="257">
        <f>'Orçamento'!$M$10</f>
        <v>0</v>
      </c>
      <c r="F28" s="257">
        <f>'Orçamento'!$M$9</f>
        <v>0</v>
      </c>
      <c r="G28" s="258" t="str">
        <f>IF('Orçamento'!$M$12="","",'Orçamento'!$M$12)</f>
        <v/>
      </c>
      <c r="H28" s="257" t="str">
        <f>IF('Orçamento'!$M$84="","",'Orçamento'!$M$84)</f>
        <v/>
      </c>
      <c r="I28" s="256" t="str">
        <f>'Saúde'!$R$19</f>
        <v/>
      </c>
      <c r="J28" s="256">
        <f>'Saúde'!$V$19</f>
        <v>0</v>
      </c>
      <c r="K28" s="256" t="str">
        <f>'Saúde'!$S$19</f>
        <v/>
      </c>
      <c r="L28" s="258" t="str">
        <f>IFERROR(SUMIFS('Hábitos'!$N$17:$N$382,'Hábitos'!$B$17:$B$382,"&gt;="&amp;DATE(Ano,9,1),'Hábitos'!$B$17:$B$382,"&lt;="&amp;DATE(Ano,9+1,0))/(COUNTA('Hábitos'!$D$16:$M$16)*MAX(0,MIN(DATE(Ano,9+1,0),Hoje)-DATE(Ano,9,1)+1)),"")</f>
        <v/>
      </c>
      <c r="M28" s="256">
        <f>SUMIFS('Aprendizado'!$S$10:$S$509,'Aprendizado'!$Q$10:$Q$509,"&gt;="&amp;DATE(Ano,9,1),'Aprendizado'!$Q$10:$Q$509,"&lt;="&amp;DATE(Ano,9+1,0))</f>
        <v>0</v>
      </c>
      <c r="N28" s="256">
        <f>SUMIFS('Lazer'!$F$10:$F$409,'Lazer'!$B$10:$B$409,"&gt;="&amp;DATE(Ano,9,1),'Lazer'!$B$10:$B$409,"&lt;="&amp;DATE(Ano,9+1,0))</f>
        <v>0</v>
      </c>
      <c r="O28" s="256" t="str">
        <f>IFERROR(AVERAGE('Roda da Vida'!$K$7:$K$17),"")</f>
        <v/>
      </c>
    </row>
    <row r="29">
      <c r="B29" s="256" t="inlineStr">
        <is>
          <t>Out</t>
        </is>
      </c>
      <c r="C29" s="257">
        <f>'Orçamento'!$N$7</f>
        <v>0</v>
      </c>
      <c r="D29" s="257">
        <f>'Orçamento'!$N$8</f>
        <v>0</v>
      </c>
      <c r="E29" s="257">
        <f>'Orçamento'!$N$10</f>
        <v>0</v>
      </c>
      <c r="F29" s="257">
        <f>'Orçamento'!$N$9</f>
        <v>0</v>
      </c>
      <c r="G29" s="258" t="str">
        <f>IF('Orçamento'!$N$12="","",'Orçamento'!$N$12)</f>
        <v/>
      </c>
      <c r="H29" s="257" t="str">
        <f>IF('Orçamento'!$N$84="","",'Orçamento'!$N$84)</f>
        <v/>
      </c>
      <c r="I29" s="256" t="str">
        <f>'Saúde'!$R$20</f>
        <v/>
      </c>
      <c r="J29" s="256">
        <f>'Saúde'!$V$20</f>
        <v>0</v>
      </c>
      <c r="K29" s="256" t="str">
        <f>'Saúde'!$S$20</f>
        <v/>
      </c>
      <c r="L29" s="258" t="str">
        <f>IFERROR(SUMIFS('Hábitos'!$N$17:$N$382,'Hábitos'!$B$17:$B$382,"&gt;="&amp;DATE(Ano,10,1),'Hábitos'!$B$17:$B$382,"&lt;="&amp;DATE(Ano,10+1,0))/(COUNTA('Hábitos'!$D$16:$M$16)*MAX(0,MIN(DATE(Ano,10+1,0),Hoje)-DATE(Ano,10,1)+1)),"")</f>
        <v/>
      </c>
      <c r="M29" s="256">
        <f>SUMIFS('Aprendizado'!$S$10:$S$509,'Aprendizado'!$Q$10:$Q$509,"&gt;="&amp;DATE(Ano,10,1),'Aprendizado'!$Q$10:$Q$509,"&lt;="&amp;DATE(Ano,10+1,0))</f>
        <v>0</v>
      </c>
      <c r="N29" s="256">
        <f>SUMIFS('Lazer'!$F$10:$F$409,'Lazer'!$B$10:$B$409,"&gt;="&amp;DATE(Ano,10,1),'Lazer'!$B$10:$B$409,"&lt;="&amp;DATE(Ano,10+1,0))</f>
        <v>0</v>
      </c>
      <c r="O29" s="256" t="str">
        <f>IFERROR(AVERAGE('Roda da Vida'!$L$7:$L$17),"")</f>
        <v/>
      </c>
    </row>
    <row r="30">
      <c r="B30" s="256" t="inlineStr">
        <is>
          <t>Nov</t>
        </is>
      </c>
      <c r="C30" s="257">
        <f>'Orçamento'!$O$7</f>
        <v>0</v>
      </c>
      <c r="D30" s="257">
        <f>'Orçamento'!$O$8</f>
        <v>0</v>
      </c>
      <c r="E30" s="257">
        <f>'Orçamento'!$O$10</f>
        <v>0</v>
      </c>
      <c r="F30" s="257">
        <f>'Orçamento'!$O$9</f>
        <v>0</v>
      </c>
      <c r="G30" s="258" t="str">
        <f>IF('Orçamento'!$O$12="","",'Orçamento'!$O$12)</f>
        <v/>
      </c>
      <c r="H30" s="257" t="str">
        <f>IF('Orçamento'!$O$84="","",'Orçamento'!$O$84)</f>
        <v/>
      </c>
      <c r="I30" s="256" t="str">
        <f>'Saúde'!$R$21</f>
        <v/>
      </c>
      <c r="J30" s="256">
        <f>'Saúde'!$V$21</f>
        <v>0</v>
      </c>
      <c r="K30" s="256" t="str">
        <f>'Saúde'!$S$21</f>
        <v/>
      </c>
      <c r="L30" s="258" t="str">
        <f>IFERROR(SUMIFS('Hábitos'!$N$17:$N$382,'Hábitos'!$B$17:$B$382,"&gt;="&amp;DATE(Ano,11,1),'Hábitos'!$B$17:$B$382,"&lt;="&amp;DATE(Ano,11+1,0))/(COUNTA('Hábitos'!$D$16:$M$16)*MAX(0,MIN(DATE(Ano,11+1,0),Hoje)-DATE(Ano,11,1)+1)),"")</f>
        <v/>
      </c>
      <c r="M30" s="256">
        <f>SUMIFS('Aprendizado'!$S$10:$S$509,'Aprendizado'!$Q$10:$Q$509,"&gt;="&amp;DATE(Ano,11,1),'Aprendizado'!$Q$10:$Q$509,"&lt;="&amp;DATE(Ano,11+1,0))</f>
        <v>0</v>
      </c>
      <c r="N30" s="256">
        <f>SUMIFS('Lazer'!$F$10:$F$409,'Lazer'!$B$10:$B$409,"&gt;="&amp;DATE(Ano,11,1),'Lazer'!$B$10:$B$409,"&lt;="&amp;DATE(Ano,11+1,0))</f>
        <v>0</v>
      </c>
      <c r="O30" s="256" t="str">
        <f>IFERROR(AVERAGE('Roda da Vida'!$M$7:$M$17),"")</f>
        <v/>
      </c>
    </row>
    <row r="31">
      <c r="B31" s="256" t="inlineStr">
        <is>
          <t>Dez</t>
        </is>
      </c>
      <c r="C31" s="257">
        <f>'Orçamento'!$P$7</f>
        <v>0</v>
      </c>
      <c r="D31" s="257">
        <f>'Orçamento'!$P$8</f>
        <v>0</v>
      </c>
      <c r="E31" s="257">
        <f>'Orçamento'!$P$10</f>
        <v>0</v>
      </c>
      <c r="F31" s="257">
        <f>'Orçamento'!$P$9</f>
        <v>0</v>
      </c>
      <c r="G31" s="258" t="str">
        <f>IF('Orçamento'!$P$12="","",'Orçamento'!$P$12)</f>
        <v/>
      </c>
      <c r="H31" s="257" t="str">
        <f>IF('Orçamento'!$P$84="","",'Orçamento'!$P$84)</f>
        <v/>
      </c>
      <c r="I31" s="256" t="str">
        <f>'Saúde'!$R$22</f>
        <v/>
      </c>
      <c r="J31" s="256">
        <f>'Saúde'!$V$22</f>
        <v>0</v>
      </c>
      <c r="K31" s="256" t="str">
        <f>'Saúde'!$S$22</f>
        <v/>
      </c>
      <c r="L31" s="258" t="str">
        <f>IFERROR(SUMIFS('Hábitos'!$N$17:$N$382,'Hábitos'!$B$17:$B$382,"&gt;="&amp;DATE(Ano,12,1),'Hábitos'!$B$17:$B$382,"&lt;="&amp;DATE(Ano,12+1,0))/(COUNTA('Hábitos'!$D$16:$M$16)*MAX(0,MIN(DATE(Ano,12+1,0),Hoje)-DATE(Ano,12,1)+1)),"")</f>
        <v/>
      </c>
      <c r="M31" s="256">
        <f>SUMIFS('Aprendizado'!$S$10:$S$509,'Aprendizado'!$Q$10:$Q$509,"&gt;="&amp;DATE(Ano,12,1),'Aprendizado'!$Q$10:$Q$509,"&lt;="&amp;DATE(Ano,12+1,0))</f>
        <v>0</v>
      </c>
      <c r="N31" s="256">
        <f>SUMIFS('Lazer'!$F$10:$F$409,'Lazer'!$B$10:$B$409,"&gt;="&amp;DATE(Ano,12,1),'Lazer'!$B$10:$B$409,"&lt;="&amp;DATE(Ano,12+1,0))</f>
        <v>0</v>
      </c>
      <c r="O31" s="256" t="str">
        <f>IFERROR(AVERAGE('Roda da Vida'!$N$7:$N$17),"")</f>
        <v/>
      </c>
    </row>
    <row r="34" ht="22" customHeight="1">
      <c r="B34" s="226" t="inlineStr">
        <is>
          <t>3 · DESPESAS DO MÊS DE REFERÊNCIA, ORDENADAS</t>
        </is>
      </c>
      <c r="C34" s="227" t="n"/>
      <c r="D34" s="227" t="n"/>
      <c r="E34" s="227" t="n"/>
      <c r="F34" s="227" t="n"/>
      <c r="G34" s="227" t="n"/>
      <c r="H34" s="227" t="n"/>
      <c r="I34" s="227" t="n"/>
    </row>
    <row r="35" ht="30" customHeight="1">
      <c r="B35" s="104" t="inlineStr">
        <is>
          <t>Categoria</t>
        </is>
      </c>
      <c r="C35" s="104" t="inlineStr">
        <is>
          <t>Valor</t>
        </is>
      </c>
      <c r="D35" s="104" t="inlineStr">
        <is>
          <t>Chave</t>
        </is>
      </c>
      <c r="E35" s="104" t="inlineStr"/>
      <c r="F35" s="104" t="inlineStr">
        <is>
          <t>Posição</t>
        </is>
      </c>
      <c r="G35" s="104" t="inlineStr">
        <is>
          <t>Categoria (ordem)</t>
        </is>
      </c>
      <c r="H35" s="104" t="inlineStr">
        <is>
          <t>Chave (ordem)</t>
        </is>
      </c>
      <c r="I35" s="104" t="inlineStr">
        <is>
          <t>Valor (ordem)</t>
        </is>
      </c>
    </row>
    <row r="36">
      <c r="B36" s="259" t="str">
        <f>'Orçamento'!$B$18&amp;""</f>
        <v>Moradia</v>
      </c>
      <c r="C36" s="259">
        <f>IF(B36="","",N('Orçamento'!$S$18))</f>
        <v>0</v>
      </c>
      <c r="D36" s="259" t="str">
        <f>IF(N(C36)&gt;0,C36+ROW()/1000000,"")</f>
        <v/>
      </c>
      <c r="E36" s="259" t="n"/>
      <c r="F36" s="259" t="n">
        <v>1</v>
      </c>
      <c r="G36" s="259" t="str">
        <f>IF(H36="","",INDEX($B$36:$B$60,MATCH(H36,$D$36:$D$60,0)))</f>
        <v/>
      </c>
      <c r="H36" s="259" t="str">
        <f>IFERROR(LARGE($D$36:$D$60,F36),"")</f>
        <v/>
      </c>
      <c r="I36" s="259" t="str">
        <f>IF(H36="","",INDEX($C$36:$C$60,MATCH(H36,$D$36:$D$60,0)))</f>
        <v/>
      </c>
    </row>
    <row r="37">
      <c r="B37" s="259" t="str">
        <f>'Orçamento'!$B$19&amp;""</f>
        <v>Contas da casa</v>
      </c>
      <c r="C37" s="259">
        <f>IF(B37="","",N('Orçamento'!$S$19))</f>
        <v>0</v>
      </c>
      <c r="D37" s="259" t="str">
        <f>IF(N(C37)&gt;0,C37+ROW()/1000000,"")</f>
        <v/>
      </c>
      <c r="E37" s="259" t="n"/>
      <c r="F37" s="259" t="n">
        <v>2</v>
      </c>
      <c r="G37" s="259" t="str">
        <f>IF(H37="","",INDEX($B$36:$B$60,MATCH(H37,$D$36:$D$60,0)))</f>
        <v/>
      </c>
      <c r="H37" s="259" t="str">
        <f>IFERROR(LARGE($D$36:$D$60,F37),"")</f>
        <v/>
      </c>
      <c r="I37" s="259" t="str">
        <f>IF(H37="","",INDEX($C$36:$C$60,MATCH(H37,$D$36:$D$60,0)))</f>
        <v/>
      </c>
    </row>
    <row r="38">
      <c r="B38" s="259" t="str">
        <f>'Orçamento'!$B$20&amp;""</f>
        <v>Mercado</v>
      </c>
      <c r="C38" s="259">
        <f>IF(B38="","",N('Orçamento'!$S$20))</f>
        <v>0</v>
      </c>
      <c r="D38" s="259" t="str">
        <f>IF(N(C38)&gt;0,C38+ROW()/1000000,"")</f>
        <v/>
      </c>
      <c r="E38" s="259" t="n"/>
      <c r="F38" s="259" t="n">
        <v>3</v>
      </c>
      <c r="G38" s="259" t="str">
        <f>IF(H38="","",INDEX($B$36:$B$60,MATCH(H38,$D$36:$D$60,0)))</f>
        <v/>
      </c>
      <c r="H38" s="259" t="str">
        <f>IFERROR(LARGE($D$36:$D$60,F38),"")</f>
        <v/>
      </c>
      <c r="I38" s="259" t="str">
        <f>IF(H38="","",INDEX($C$36:$C$60,MATCH(H38,$D$36:$D$60,0)))</f>
        <v/>
      </c>
    </row>
    <row r="39">
      <c r="B39" s="259" t="str">
        <f>'Orçamento'!$B$21&amp;""</f>
        <v>Transporte</v>
      </c>
      <c r="C39" s="259">
        <f>IF(B39="","",N('Orçamento'!$S$21))</f>
        <v>0</v>
      </c>
      <c r="D39" s="259" t="str">
        <f>IF(N(C39)&gt;0,C39+ROW()/1000000,"")</f>
        <v/>
      </c>
      <c r="E39" s="259" t="n"/>
      <c r="F39" s="259" t="n">
        <v>4</v>
      </c>
      <c r="G39" s="259" t="str">
        <f>IF(H39="","",INDEX($B$36:$B$60,MATCH(H39,$D$36:$D$60,0)))</f>
        <v/>
      </c>
      <c r="H39" s="259" t="str">
        <f>IFERROR(LARGE($D$36:$D$60,F39),"")</f>
        <v/>
      </c>
      <c r="I39" s="259" t="str">
        <f>IF(H39="","",INDEX($C$36:$C$60,MATCH(H39,$D$36:$D$60,0)))</f>
        <v/>
      </c>
    </row>
    <row r="40">
      <c r="B40" s="259" t="str">
        <f>'Orçamento'!$B$22&amp;""</f>
        <v>Saúde &amp; bem-estar</v>
      </c>
      <c r="C40" s="259">
        <f>IF(B40="","",N('Orçamento'!$S$22))</f>
        <v>0</v>
      </c>
      <c r="D40" s="259" t="str">
        <f>IF(N(C40)&gt;0,C40+ROW()/1000000,"")</f>
        <v/>
      </c>
      <c r="E40" s="259" t="n"/>
      <c r="F40" s="259" t="n">
        <v>5</v>
      </c>
      <c r="G40" s="259" t="str">
        <f>IF(H40="","",INDEX($B$36:$B$60,MATCH(H40,$D$36:$D$60,0)))</f>
        <v/>
      </c>
      <c r="H40" s="259" t="str">
        <f>IFERROR(LARGE($D$36:$D$60,F40),"")</f>
        <v/>
      </c>
      <c r="I40" s="259" t="str">
        <f>IF(H40="","",INDEX($C$36:$C$60,MATCH(H40,$D$36:$D$60,0)))</f>
        <v/>
      </c>
    </row>
    <row r="41">
      <c r="B41" s="259" t="str">
        <f>'Orçamento'!$B$23&amp;""</f>
        <v>Dívidas &amp; financiamentos</v>
      </c>
      <c r="C41" s="259">
        <f>IF(B41="","",N('Orçamento'!$S$23))</f>
        <v>0</v>
      </c>
      <c r="D41" s="259" t="str">
        <f>IF(N(C41)&gt;0,C41+ROW()/1000000,"")</f>
        <v/>
      </c>
      <c r="E41" s="259" t="n"/>
      <c r="F41" s="259" t="n">
        <v>6</v>
      </c>
      <c r="G41" s="259" t="str">
        <f>IF(H41="","",INDEX($B$36:$B$60,MATCH(H41,$D$36:$D$60,0)))</f>
        <v/>
      </c>
      <c r="H41" s="259" t="str">
        <f>IFERROR(LARGE($D$36:$D$60,F41),"")</f>
        <v/>
      </c>
      <c r="I41" s="259" t="str">
        <f>IF(H41="","",INDEX($C$36:$C$60,MATCH(H41,$D$36:$D$60,0)))</f>
        <v/>
      </c>
    </row>
    <row r="42">
      <c r="B42" s="259" t="str">
        <f>'Orçamento'!$B$24&amp;""</f>
        <v>Impostos &amp; taxas</v>
      </c>
      <c r="C42" s="259">
        <f>IF(B42="","",N('Orçamento'!$S$24))</f>
        <v>0</v>
      </c>
      <c r="D42" s="259" t="str">
        <f>IF(N(C42)&gt;0,C42+ROW()/1000000,"")</f>
        <v/>
      </c>
      <c r="E42" s="259" t="n"/>
      <c r="F42" s="259" t="n">
        <v>7</v>
      </c>
      <c r="G42" s="259" t="str">
        <f>IF(H42="","",INDEX($B$36:$B$60,MATCH(H42,$D$36:$D$60,0)))</f>
        <v/>
      </c>
      <c r="H42" s="259" t="str">
        <f>IFERROR(LARGE($D$36:$D$60,F42),"")</f>
        <v/>
      </c>
      <c r="I42" s="259" t="str">
        <f>IF(H42="","",INDEX($C$36:$C$60,MATCH(H42,$D$36:$D$60,0)))</f>
        <v/>
      </c>
    </row>
    <row r="43">
      <c r="B43" s="259" t="str">
        <f>'Orçamento'!$B$25&amp;""</f>
        <v>Família &amp; ajudas</v>
      </c>
      <c r="C43" s="259">
        <f>IF(B43="","",N('Orçamento'!$S$25))</f>
        <v>0</v>
      </c>
      <c r="D43" s="259" t="str">
        <f>IF(N(C43)&gt;0,C43+ROW()/1000000,"")</f>
        <v/>
      </c>
      <c r="E43" s="259" t="n"/>
      <c r="F43" s="259" t="n">
        <v>8</v>
      </c>
      <c r="G43" s="259" t="str">
        <f>IF(H43="","",INDEX($B$36:$B$60,MATCH(H43,$D$36:$D$60,0)))</f>
        <v/>
      </c>
      <c r="H43" s="259" t="str">
        <f>IFERROR(LARGE($D$36:$D$60,F43),"")</f>
        <v/>
      </c>
      <c r="I43" s="259" t="str">
        <f>IF(H43="","",INDEX($C$36:$C$60,MATCH(H43,$D$36:$D$60,0)))</f>
        <v/>
      </c>
    </row>
    <row r="44">
      <c r="B44" s="259" t="str">
        <f>'Orçamento'!$B$26&amp;""</f>
        <v>Restaurantes &amp; cafés</v>
      </c>
      <c r="C44" s="259">
        <f>IF(B44="","",N('Orçamento'!$S$26))</f>
        <v>0</v>
      </c>
      <c r="D44" s="259" t="str">
        <f>IF(N(C44)&gt;0,C44+ROW()/1000000,"")</f>
        <v/>
      </c>
      <c r="E44" s="259" t="n"/>
      <c r="F44" s="259" t="n">
        <v>9</v>
      </c>
      <c r="G44" s="259" t="str">
        <f>IF(H44="","",INDEX($B$36:$B$60,MATCH(H44,$D$36:$D$60,0)))</f>
        <v/>
      </c>
      <c r="H44" s="259" t="str">
        <f>IFERROR(LARGE($D$36:$D$60,F44),"")</f>
        <v/>
      </c>
      <c r="I44" s="259" t="str">
        <f>IF(H44="","",INDEX($C$36:$C$60,MATCH(H44,$D$36:$D$60,0)))</f>
        <v/>
      </c>
    </row>
    <row r="45">
      <c r="B45" s="259" t="str">
        <f>'Orçamento'!$B$27&amp;""</f>
        <v>Assinaturas</v>
      </c>
      <c r="C45" s="259">
        <f>IF(B45="","",N('Orçamento'!$S$27))</f>
        <v>0</v>
      </c>
      <c r="D45" s="259" t="str">
        <f>IF(N(C45)&gt;0,C45+ROW()/1000000,"")</f>
        <v/>
      </c>
      <c r="E45" s="259" t="n"/>
      <c r="F45" s="259" t="n">
        <v>10</v>
      </c>
      <c r="G45" s="259" t="str">
        <f>IF(H45="","",INDEX($B$36:$B$60,MATCH(H45,$D$36:$D$60,0)))</f>
        <v/>
      </c>
      <c r="H45" s="259" t="str">
        <f>IFERROR(LARGE($D$36:$D$60,F45),"")</f>
        <v/>
      </c>
      <c r="I45" s="259" t="str">
        <f>IF(H45="","",INDEX($C$36:$C$60,MATCH(H45,$D$36:$D$60,0)))</f>
        <v/>
      </c>
    </row>
    <row r="46">
      <c r="B46" s="259" t="str">
        <f>'Orçamento'!$B$28&amp;""</f>
        <v>Cuidados pessoais</v>
      </c>
      <c r="C46" s="259">
        <f>IF(B46="","",N('Orçamento'!$S$28))</f>
        <v>0</v>
      </c>
      <c r="D46" s="259" t="str">
        <f>IF(N(C46)&gt;0,C46+ROW()/1000000,"")</f>
        <v/>
      </c>
      <c r="E46" s="259" t="n"/>
      <c r="F46" s="259" t="n">
        <v>11</v>
      </c>
      <c r="G46" s="259" t="str">
        <f>IF(H46="","",INDEX($B$36:$B$60,MATCH(H46,$D$36:$D$60,0)))</f>
        <v/>
      </c>
      <c r="H46" s="259" t="str">
        <f>IFERROR(LARGE($D$36:$D$60,F46),"")</f>
        <v/>
      </c>
      <c r="I46" s="259" t="str">
        <f>IF(H46="","",INDEX($C$36:$C$60,MATCH(H46,$D$36:$D$60,0)))</f>
        <v/>
      </c>
    </row>
    <row r="47">
      <c r="B47" s="259" t="str">
        <f>'Orçamento'!$B$29&amp;""</f>
        <v>Lazer &amp; passeios</v>
      </c>
      <c r="C47" s="259">
        <f>IF(B47="","",N('Orçamento'!$S$29))</f>
        <v>0</v>
      </c>
      <c r="D47" s="259" t="str">
        <f>IF(N(C47)&gt;0,C47+ROW()/1000000,"")</f>
        <v/>
      </c>
      <c r="E47" s="259" t="n"/>
      <c r="F47" s="259" t="n">
        <v>12</v>
      </c>
      <c r="G47" s="259" t="str">
        <f>IF(H47="","",INDEX($B$36:$B$60,MATCH(H47,$D$36:$D$60,0)))</f>
        <v/>
      </c>
      <c r="H47" s="259" t="str">
        <f>IFERROR(LARGE($D$36:$D$60,F47),"")</f>
        <v/>
      </c>
      <c r="I47" s="259" t="str">
        <f>IF(H47="","",INDEX($C$36:$C$60,MATCH(H47,$D$36:$D$60,0)))</f>
        <v/>
      </c>
    </row>
    <row r="48">
      <c r="B48" s="259" t="str">
        <f>'Orçamento'!$B$30&amp;""</f>
        <v>Viagens</v>
      </c>
      <c r="C48" s="259">
        <f>IF(B48="","",N('Orçamento'!$S$30))</f>
        <v>0</v>
      </c>
      <c r="D48" s="259" t="str">
        <f>IF(N(C48)&gt;0,C48+ROW()/1000000,"")</f>
        <v/>
      </c>
      <c r="E48" s="259" t="n"/>
      <c r="F48" s="259" t="n">
        <v>13</v>
      </c>
      <c r="G48" s="259" t="str">
        <f>IF(H48="","",INDEX($B$36:$B$60,MATCH(H48,$D$36:$D$60,0)))</f>
        <v/>
      </c>
      <c r="H48" s="259" t="str">
        <f>IFERROR(LARGE($D$36:$D$60,F48),"")</f>
        <v/>
      </c>
      <c r="I48" s="259" t="str">
        <f>IF(H48="","",INDEX($C$36:$C$60,MATCH(H48,$D$36:$D$60,0)))</f>
        <v/>
      </c>
    </row>
    <row r="49">
      <c r="B49" s="259" t="str">
        <f>'Orçamento'!$B$31&amp;""</f>
        <v>Roupas</v>
      </c>
      <c r="C49" s="259">
        <f>IF(B49="","",N('Orçamento'!$S$31))</f>
        <v>0</v>
      </c>
      <c r="D49" s="259" t="str">
        <f>IF(N(C49)&gt;0,C49+ROW()/1000000,"")</f>
        <v/>
      </c>
      <c r="E49" s="259" t="n"/>
      <c r="F49" s="259" t="n">
        <v>14</v>
      </c>
      <c r="G49" s="259" t="str">
        <f>IF(H49="","",INDEX($B$36:$B$60,MATCH(H49,$D$36:$D$60,0)))</f>
        <v/>
      </c>
      <c r="H49" s="259" t="str">
        <f>IFERROR(LARGE($D$36:$D$60,F49),"")</f>
        <v/>
      </c>
      <c r="I49" s="259" t="str">
        <f>IF(H49="","",INDEX($C$36:$C$60,MATCH(H49,$D$36:$D$60,0)))</f>
        <v/>
      </c>
    </row>
    <row r="50">
      <c r="B50" s="259" t="str">
        <f>'Orçamento'!$B$32&amp;""</f>
        <v>Casa &amp; utensílios</v>
      </c>
      <c r="C50" s="259">
        <f>IF(B50="","",N('Orçamento'!$S$32))</f>
        <v>0</v>
      </c>
      <c r="D50" s="259" t="str">
        <f>IF(N(C50)&gt;0,C50+ROW()/1000000,"")</f>
        <v/>
      </c>
      <c r="E50" s="259" t="n"/>
      <c r="F50" s="259" t="n">
        <v>15</v>
      </c>
      <c r="G50" s="259" t="str">
        <f>IF(H50="","",INDEX($B$36:$B$60,MATCH(H50,$D$36:$D$60,0)))</f>
        <v/>
      </c>
      <c r="H50" s="259" t="str">
        <f>IFERROR(LARGE($D$36:$D$60,F50),"")</f>
        <v/>
      </c>
      <c r="I50" s="259" t="str">
        <f>IF(H50="","",INDEX($C$36:$C$60,MATCH(H50,$D$36:$D$60,0)))</f>
        <v/>
      </c>
    </row>
    <row r="51">
      <c r="B51" s="259" t="str">
        <f>'Orçamento'!$B$33&amp;""</f>
        <v>Presentes &amp; doações</v>
      </c>
      <c r="C51" s="259">
        <f>IF(B51="","",N('Orçamento'!$S$33))</f>
        <v>0</v>
      </c>
      <c r="D51" s="259" t="str">
        <f>IF(N(C51)&gt;0,C51+ROW()/1000000,"")</f>
        <v/>
      </c>
      <c r="E51" s="259" t="n"/>
      <c r="F51" s="259" t="n">
        <v>16</v>
      </c>
      <c r="G51" s="259" t="str">
        <f>IF(H51="","",INDEX($B$36:$B$60,MATCH(H51,$D$36:$D$60,0)))</f>
        <v/>
      </c>
      <c r="H51" s="259" t="str">
        <f>IFERROR(LARGE($D$36:$D$60,F51),"")</f>
        <v/>
      </c>
      <c r="I51" s="259" t="str">
        <f>IF(H51="","",INDEX($C$36:$C$60,MATCH(H51,$D$36:$D$60,0)))</f>
        <v/>
      </c>
    </row>
    <row r="52">
      <c r="B52" s="259" t="str">
        <f>'Orçamento'!$B$34&amp;""</f>
        <v>Educação &amp; cursos</v>
      </c>
      <c r="C52" s="259">
        <f>IF(B52="","",N('Orçamento'!$S$34))</f>
        <v>0</v>
      </c>
      <c r="D52" s="259" t="str">
        <f>IF(N(C52)&gt;0,C52+ROW()/1000000,"")</f>
        <v/>
      </c>
      <c r="E52" s="259" t="n"/>
      <c r="F52" s="259" t="n">
        <v>17</v>
      </c>
      <c r="G52" s="259" t="str">
        <f>IF(H52="","",INDEX($B$36:$B$60,MATCH(H52,$D$36:$D$60,0)))</f>
        <v/>
      </c>
      <c r="H52" s="259" t="str">
        <f>IFERROR(LARGE($D$36:$D$60,F52),"")</f>
        <v/>
      </c>
      <c r="I52" s="259" t="str">
        <f>IF(H52="","",INDEX($C$36:$C$60,MATCH(H52,$D$36:$D$60,0)))</f>
        <v/>
      </c>
    </row>
    <row r="53">
      <c r="B53" s="259" t="str">
        <f>'Orçamento'!$B$35&amp;""</f>
        <v>Livros &amp; materiais</v>
      </c>
      <c r="C53" s="259">
        <f>IF(B53="","",N('Orçamento'!$S$35))</f>
        <v>0</v>
      </c>
      <c r="D53" s="259" t="str">
        <f>IF(N(C53)&gt;0,C53+ROW()/1000000,"")</f>
        <v/>
      </c>
      <c r="E53" s="259" t="n"/>
      <c r="F53" s="259" t="n">
        <v>18</v>
      </c>
      <c r="G53" s="259" t="str">
        <f>IF(H53="","",INDEX($B$36:$B$60,MATCH(H53,$D$36:$D$60,0)))</f>
        <v/>
      </c>
      <c r="H53" s="259" t="str">
        <f>IFERROR(LARGE($D$36:$D$60,F53),"")</f>
        <v/>
      </c>
      <c r="I53" s="259" t="str">
        <f>IF(H53="","",INDEX($C$36:$C$60,MATCH(H53,$D$36:$D$60,0)))</f>
        <v/>
      </c>
    </row>
    <row r="54">
      <c r="B54" s="259" t="str">
        <f>'Orçamento'!$B$36&amp;""</f>
        <v>Outros</v>
      </c>
      <c r="C54" s="259">
        <f>IF(B54="","",N('Orçamento'!$S$36))</f>
        <v>0</v>
      </c>
      <c r="D54" s="259" t="str">
        <f>IF(N(C54)&gt;0,C54+ROW()/1000000,"")</f>
        <v/>
      </c>
      <c r="E54" s="259" t="n"/>
      <c r="F54" s="259" t="n">
        <v>19</v>
      </c>
      <c r="G54" s="259" t="str">
        <f>IF(H54="","",INDEX($B$36:$B$60,MATCH(H54,$D$36:$D$60,0)))</f>
        <v/>
      </c>
      <c r="H54" s="259" t="str">
        <f>IFERROR(LARGE($D$36:$D$60,F54),"")</f>
        <v/>
      </c>
      <c r="I54" s="259" t="str">
        <f>IF(H54="","",INDEX($C$36:$C$60,MATCH(H54,$D$36:$D$60,0)))</f>
        <v/>
      </c>
    </row>
    <row r="55">
      <c r="B55" s="259" t="str">
        <f>'Orçamento'!$B$37&amp;""</f>
        <v/>
      </c>
      <c r="C55" s="259" t="str">
        <f>IF(B55="","",N('Orçamento'!$S$37))</f>
        <v/>
      </c>
      <c r="D55" s="259" t="str">
        <f>IF(N(C55)&gt;0,C55+ROW()/1000000,"")</f>
        <v/>
      </c>
      <c r="E55" s="259" t="n"/>
      <c r="F55" s="259" t="n">
        <v>20</v>
      </c>
      <c r="G55" s="259" t="str">
        <f>IF(H55="","",INDEX($B$36:$B$60,MATCH(H55,$D$36:$D$60,0)))</f>
        <v/>
      </c>
      <c r="H55" s="259" t="str">
        <f>IFERROR(LARGE($D$36:$D$60,F55),"")</f>
        <v/>
      </c>
      <c r="I55" s="259" t="str">
        <f>IF(H55="","",INDEX($C$36:$C$60,MATCH(H55,$D$36:$D$60,0)))</f>
        <v/>
      </c>
    </row>
    <row r="56">
      <c r="B56" s="259" t="str">
        <f>'Orçamento'!$B$38&amp;""</f>
        <v/>
      </c>
      <c r="C56" s="259" t="str">
        <f>IF(B56="","",N('Orçamento'!$S$38))</f>
        <v/>
      </c>
      <c r="D56" s="259" t="str">
        <f>IF(N(C56)&gt;0,C56+ROW()/1000000,"")</f>
        <v/>
      </c>
      <c r="E56" s="259" t="n"/>
      <c r="F56" s="259" t="n">
        <v>21</v>
      </c>
      <c r="G56" s="259" t="str">
        <f>IF(H56="","",INDEX($B$36:$B$60,MATCH(H56,$D$36:$D$60,0)))</f>
        <v/>
      </c>
      <c r="H56" s="259" t="str">
        <f>IFERROR(LARGE($D$36:$D$60,F56),"")</f>
        <v/>
      </c>
      <c r="I56" s="259" t="str">
        <f>IF(H56="","",INDEX($C$36:$C$60,MATCH(H56,$D$36:$D$60,0)))</f>
        <v/>
      </c>
    </row>
    <row r="57">
      <c r="B57" s="259" t="str">
        <f>'Orçamento'!$B$39&amp;""</f>
        <v/>
      </c>
      <c r="C57" s="259" t="str">
        <f>IF(B57="","",N('Orçamento'!$S$39))</f>
        <v/>
      </c>
      <c r="D57" s="259" t="str">
        <f>IF(N(C57)&gt;0,C57+ROW()/1000000,"")</f>
        <v/>
      </c>
      <c r="E57" s="259" t="n"/>
      <c r="F57" s="259" t="n">
        <v>22</v>
      </c>
      <c r="G57" s="259" t="str">
        <f>IF(H57="","",INDEX($B$36:$B$60,MATCH(H57,$D$36:$D$60,0)))</f>
        <v/>
      </c>
      <c r="H57" s="259" t="str">
        <f>IFERROR(LARGE($D$36:$D$60,F57),"")</f>
        <v/>
      </c>
      <c r="I57" s="259" t="str">
        <f>IF(H57="","",INDEX($C$36:$C$60,MATCH(H57,$D$36:$D$60,0)))</f>
        <v/>
      </c>
    </row>
    <row r="58">
      <c r="B58" s="259" t="str">
        <f>'Orçamento'!$B$40&amp;""</f>
        <v/>
      </c>
      <c r="C58" s="259" t="str">
        <f>IF(B58="","",N('Orçamento'!$S$40))</f>
        <v/>
      </c>
      <c r="D58" s="259" t="str">
        <f>IF(N(C58)&gt;0,C58+ROW()/1000000,"")</f>
        <v/>
      </c>
      <c r="E58" s="259" t="n"/>
      <c r="F58" s="259" t="n">
        <v>23</v>
      </c>
      <c r="G58" s="259" t="str">
        <f>IF(H58="","",INDEX($B$36:$B$60,MATCH(H58,$D$36:$D$60,0)))</f>
        <v/>
      </c>
      <c r="H58" s="259" t="str">
        <f>IFERROR(LARGE($D$36:$D$60,F58),"")</f>
        <v/>
      </c>
      <c r="I58" s="259" t="str">
        <f>IF(H58="","",INDEX($C$36:$C$60,MATCH(H58,$D$36:$D$60,0)))</f>
        <v/>
      </c>
    </row>
    <row r="59">
      <c r="B59" s="259" t="str">
        <f>'Orçamento'!$B$41&amp;""</f>
        <v/>
      </c>
      <c r="C59" s="259" t="str">
        <f>IF(B59="","",N('Orçamento'!$S$41))</f>
        <v/>
      </c>
      <c r="D59" s="259" t="str">
        <f>IF(N(C59)&gt;0,C59+ROW()/1000000,"")</f>
        <v/>
      </c>
      <c r="E59" s="259" t="n"/>
      <c r="F59" s="259" t="n">
        <v>24</v>
      </c>
      <c r="G59" s="259" t="str">
        <f>IF(H59="","",INDEX($B$36:$B$60,MATCH(H59,$D$36:$D$60,0)))</f>
        <v/>
      </c>
      <c r="H59" s="259" t="str">
        <f>IFERROR(LARGE($D$36:$D$60,F59),"")</f>
        <v/>
      </c>
      <c r="I59" s="259" t="str">
        <f>IF(H59="","",INDEX($C$36:$C$60,MATCH(H59,$D$36:$D$60,0)))</f>
        <v/>
      </c>
    </row>
    <row r="60">
      <c r="B60" s="259" t="str">
        <f>'Orçamento'!$B$42&amp;""</f>
        <v/>
      </c>
      <c r="C60" s="259" t="str">
        <f>IF(B60="","",N('Orçamento'!$S$42))</f>
        <v/>
      </c>
      <c r="D60" s="259" t="str">
        <f>IF(N(C60)&gt;0,C60+ROW()/1000000,"")</f>
        <v/>
      </c>
      <c r="E60" s="259" t="n"/>
      <c r="F60" s="259" t="n">
        <v>25</v>
      </c>
      <c r="G60" s="259" t="str">
        <f>IF(H60="","",INDEX($B$36:$B$60,MATCH(H60,$D$36:$D$60,0)))</f>
        <v/>
      </c>
      <c r="H60" s="259" t="str">
        <f>IFERROR(LARGE($D$36:$D$60,F60),"")</f>
        <v/>
      </c>
      <c r="I60" s="259" t="str">
        <f>IF(H60="","",INDEX($C$36:$C$60,MATCH(H60,$D$36:$D$60,0)))</f>
        <v/>
      </c>
    </row>
    <row r="63" ht="22" customHeight="1">
      <c r="B63" s="226" t="inlineStr">
        <is>
          <t>4 · HÁBITOS NO MÊS</t>
        </is>
      </c>
      <c r="C63" s="227" t="n"/>
      <c r="D63" s="227" t="n"/>
    </row>
    <row r="64" ht="30" customHeight="1">
      <c r="B64" s="104" t="inlineStr">
        <is>
          <t>Hábito</t>
        </is>
      </c>
      <c r="C64" s="104" t="inlineStr">
        <is>
          <t>% da meta</t>
        </is>
      </c>
      <c r="D64" s="104" t="inlineStr">
        <is>
          <t>% dos dias</t>
        </is>
      </c>
    </row>
    <row r="65">
      <c r="B65" s="133" t="str">
        <f>IF('Hábitos'!$D$16="","",'Hábitos'!$D$16)</f>
        <v/>
      </c>
      <c r="C65" s="133" t="str">
        <f>IF(OR(B65="",NOT(ISNUMBER('Hábitos'!$D$10))),"",'Hábitos'!$D$10)</f>
        <v/>
      </c>
      <c r="D65" s="133" t="str">
        <f>IF(OR(B65="",NOT(ISNUMBER('Hábitos'!$D$9))),"",'Hábitos'!$D$9)</f>
        <v/>
      </c>
    </row>
    <row r="66">
      <c r="B66" s="133" t="str">
        <f>IF('Hábitos'!$E$16="","",'Hábitos'!$E$16)</f>
        <v/>
      </c>
      <c r="C66" s="133" t="str">
        <f>IF(OR(B66="",NOT(ISNUMBER('Hábitos'!$E$10))),"",'Hábitos'!$E$10)</f>
        <v/>
      </c>
      <c r="D66" s="133" t="str">
        <f>IF(OR(B66="",NOT(ISNUMBER('Hábitos'!$E$9))),"",'Hábitos'!$E$9)</f>
        <v/>
      </c>
    </row>
    <row r="67">
      <c r="B67" s="133" t="str">
        <f>IF('Hábitos'!$F$16="","",'Hábitos'!$F$16)</f>
        <v/>
      </c>
      <c r="C67" s="133" t="str">
        <f>IF(OR(B67="",NOT(ISNUMBER('Hábitos'!$F$10))),"",'Hábitos'!$F$10)</f>
        <v/>
      </c>
      <c r="D67" s="133" t="str">
        <f>IF(OR(B67="",NOT(ISNUMBER('Hábitos'!$F$9))),"",'Hábitos'!$F$9)</f>
        <v/>
      </c>
    </row>
    <row r="68">
      <c r="B68" s="133" t="str">
        <f>IF('Hábitos'!$G$16="","",'Hábitos'!$G$16)</f>
        <v/>
      </c>
      <c r="C68" s="133" t="str">
        <f>IF(OR(B68="",NOT(ISNUMBER('Hábitos'!$G$10))),"",'Hábitos'!$G$10)</f>
        <v/>
      </c>
      <c r="D68" s="133" t="str">
        <f>IF(OR(B68="",NOT(ISNUMBER('Hábitos'!$G$9))),"",'Hábitos'!$G$9)</f>
        <v/>
      </c>
    </row>
    <row r="69">
      <c r="B69" s="133" t="str">
        <f>IF('Hábitos'!$H$16="","",'Hábitos'!$H$16)</f>
        <v/>
      </c>
      <c r="C69" s="133" t="str">
        <f>IF(OR(B69="",NOT(ISNUMBER('Hábitos'!$H$10))),"",'Hábitos'!$H$10)</f>
        <v/>
      </c>
      <c r="D69" s="133" t="str">
        <f>IF(OR(B69="",NOT(ISNUMBER('Hábitos'!$H$9))),"",'Hábitos'!$H$9)</f>
        <v/>
      </c>
    </row>
    <row r="70">
      <c r="B70" s="133" t="str">
        <f>IF('Hábitos'!$I$16="","",'Hábitos'!$I$16)</f>
        <v/>
      </c>
      <c r="C70" s="133" t="str">
        <f>IF(OR(B70="",NOT(ISNUMBER('Hábitos'!$I$10))),"",'Hábitos'!$I$10)</f>
        <v/>
      </c>
      <c r="D70" s="133" t="str">
        <f>IF(OR(B70="",NOT(ISNUMBER('Hábitos'!$I$9))),"",'Hábitos'!$I$9)</f>
        <v/>
      </c>
    </row>
    <row r="71">
      <c r="B71" s="133" t="str">
        <f>IF('Hábitos'!$J$16="","",'Hábitos'!$J$16)</f>
        <v/>
      </c>
      <c r="C71" s="133" t="str">
        <f>IF(OR(B71="",NOT(ISNUMBER('Hábitos'!$J$10))),"",'Hábitos'!$J$10)</f>
        <v/>
      </c>
      <c r="D71" s="133" t="str">
        <f>IF(OR(B71="",NOT(ISNUMBER('Hábitos'!$J$9))),"",'Hábitos'!$J$9)</f>
        <v/>
      </c>
    </row>
    <row r="72">
      <c r="B72" s="133" t="str">
        <f>IF('Hábitos'!$K$16="","",'Hábitos'!$K$16)</f>
        <v/>
      </c>
      <c r="C72" s="133" t="str">
        <f>IF(OR(B72="",NOT(ISNUMBER('Hábitos'!$K$10))),"",'Hábitos'!$K$10)</f>
        <v/>
      </c>
      <c r="D72" s="133" t="str">
        <f>IF(OR(B72="",NOT(ISNUMBER('Hábitos'!$K$9))),"",'Hábitos'!$K$9)</f>
        <v/>
      </c>
    </row>
    <row r="73">
      <c r="B73" s="133" t="str">
        <f>IF('Hábitos'!$L$16="","",'Hábitos'!$L$16)</f>
        <v/>
      </c>
      <c r="C73" s="133" t="str">
        <f>IF(OR(B73="",NOT(ISNUMBER('Hábitos'!$L$10))),"",'Hábitos'!$L$10)</f>
        <v/>
      </c>
      <c r="D73" s="133" t="str">
        <f>IF(OR(B73="",NOT(ISNUMBER('Hábitos'!$L$9))),"",'Hábitos'!$L$9)</f>
        <v/>
      </c>
    </row>
    <row r="74">
      <c r="B74" s="133" t="str">
        <f>IF('Hábitos'!$M$16="","",'Hábitos'!$M$16)</f>
        <v/>
      </c>
      <c r="C74" s="133" t="str">
        <f>IF(OR(B74="",NOT(ISNUMBER('Hábitos'!$M$10))),"",'Hábitos'!$M$10)</f>
        <v/>
      </c>
      <c r="D74" s="133" t="str">
        <f>IF(OR(B74="",NOT(ISNUMBER('Hábitos'!$M$9))),"",'Hábitos'!$M$9)</f>
        <v/>
      </c>
    </row>
    <row r="77" ht="22" customHeight="1">
      <c r="B77" s="226" t="inlineStr">
        <is>
          <t>5a · TAREFAS ABERTAS POR PRAZO</t>
        </is>
      </c>
      <c r="C77" s="227" t="n"/>
      <c r="D77" s="227" t="n"/>
      <c r="E77" s="227" t="n"/>
      <c r="F77" s="227" t="n"/>
      <c r="G77" s="227" t="n"/>
      <c r="H77" s="227" t="n"/>
      <c r="I77" s="227" t="n"/>
    </row>
    <row r="78" ht="30" customHeight="1">
      <c r="B78" s="104" t="inlineStr">
        <is>
          <t>Chave</t>
        </is>
      </c>
      <c r="C78" s="104" t="inlineStr">
        <is>
          <t>Tarefa</t>
        </is>
      </c>
      <c r="D78" s="104" t="inlineStr">
        <is>
          <t>Prazo</t>
        </is>
      </c>
      <c r="E78" s="104" t="inlineStr">
        <is>
          <t>Alerta</t>
        </is>
      </c>
      <c r="F78" s="104" t="inlineStr">
        <is>
          <t>Projeto</t>
        </is>
      </c>
    </row>
    <row r="79">
      <c r="B79" s="128" t="str">
        <f>IFERROR(SMALL('Tarefas'!$N$34:$N$333,1),"")</f>
        <v/>
      </c>
      <c r="C79" s="128" t="str">
        <f>IF($B79="","",INDEX('Tarefas'!$B$34:$B$333,MATCH($B79,'Tarefas'!$N$34:$N$333,0)))</f>
        <v/>
      </c>
      <c r="D79" s="260" t="str">
        <f>IF($B79="","",INDEX('Tarefas'!$F$34:$F$333,MATCH($B79,'Tarefas'!$N$34:$N$333,0)))</f>
        <v/>
      </c>
      <c r="E79" s="128" t="str">
        <f>IF($B79="","",INDEX('Tarefas'!$K$34:$K$333,MATCH($B79,'Tarefas'!$N$34:$N$333,0)))</f>
        <v/>
      </c>
      <c r="F79" s="128" t="str">
        <f>IF($B79="","",INDEX('Tarefas'!$C$34:$C$333,MATCH($B79,'Tarefas'!$N$34:$N$333,0))&amp;"")</f>
        <v/>
      </c>
    </row>
    <row r="80">
      <c r="B80" s="128" t="str">
        <f>IFERROR(SMALL('Tarefas'!$N$34:$N$333,2),"")</f>
        <v/>
      </c>
      <c r="C80" s="128" t="str">
        <f>IF($B80="","",INDEX('Tarefas'!$B$34:$B$333,MATCH($B80,'Tarefas'!$N$34:$N$333,0)))</f>
        <v/>
      </c>
      <c r="D80" s="260" t="str">
        <f>IF($B80="","",INDEX('Tarefas'!$F$34:$F$333,MATCH($B80,'Tarefas'!$N$34:$N$333,0)))</f>
        <v/>
      </c>
      <c r="E80" s="128" t="str">
        <f>IF($B80="","",INDEX('Tarefas'!$K$34:$K$333,MATCH($B80,'Tarefas'!$N$34:$N$333,0)))</f>
        <v/>
      </c>
      <c r="F80" s="128" t="str">
        <f>IF($B80="","",INDEX('Tarefas'!$C$34:$C$333,MATCH($B80,'Tarefas'!$N$34:$N$333,0))&amp;"")</f>
        <v/>
      </c>
    </row>
    <row r="81">
      <c r="B81" s="128" t="str">
        <f>IFERROR(SMALL('Tarefas'!$N$34:$N$333,3),"")</f>
        <v/>
      </c>
      <c r="C81" s="128" t="str">
        <f>IF($B81="","",INDEX('Tarefas'!$B$34:$B$333,MATCH($B81,'Tarefas'!$N$34:$N$333,0)))</f>
        <v/>
      </c>
      <c r="D81" s="260" t="str">
        <f>IF($B81="","",INDEX('Tarefas'!$F$34:$F$333,MATCH($B81,'Tarefas'!$N$34:$N$333,0)))</f>
        <v/>
      </c>
      <c r="E81" s="128" t="str">
        <f>IF($B81="","",INDEX('Tarefas'!$K$34:$K$333,MATCH($B81,'Tarefas'!$N$34:$N$333,0)))</f>
        <v/>
      </c>
      <c r="F81" s="128" t="str">
        <f>IF($B81="","",INDEX('Tarefas'!$C$34:$C$333,MATCH($B81,'Tarefas'!$N$34:$N$333,0))&amp;"")</f>
        <v/>
      </c>
    </row>
    <row r="82">
      <c r="B82" s="128" t="str">
        <f>IFERROR(SMALL('Tarefas'!$N$34:$N$333,4),"")</f>
        <v/>
      </c>
      <c r="C82" s="128" t="str">
        <f>IF($B82="","",INDEX('Tarefas'!$B$34:$B$333,MATCH($B82,'Tarefas'!$N$34:$N$333,0)))</f>
        <v/>
      </c>
      <c r="D82" s="260" t="str">
        <f>IF($B82="","",INDEX('Tarefas'!$F$34:$F$333,MATCH($B82,'Tarefas'!$N$34:$N$333,0)))</f>
        <v/>
      </c>
      <c r="E82" s="128" t="str">
        <f>IF($B82="","",INDEX('Tarefas'!$K$34:$K$333,MATCH($B82,'Tarefas'!$N$34:$N$333,0)))</f>
        <v/>
      </c>
      <c r="F82" s="128" t="str">
        <f>IF($B82="","",INDEX('Tarefas'!$C$34:$C$333,MATCH($B82,'Tarefas'!$N$34:$N$333,0))&amp;"")</f>
        <v/>
      </c>
    </row>
    <row r="83">
      <c r="B83" s="128" t="str">
        <f>IFERROR(SMALL('Tarefas'!$N$34:$N$333,5),"")</f>
        <v/>
      </c>
      <c r="C83" s="128" t="str">
        <f>IF($B83="","",INDEX('Tarefas'!$B$34:$B$333,MATCH($B83,'Tarefas'!$N$34:$N$333,0)))</f>
        <v/>
      </c>
      <c r="D83" s="260" t="str">
        <f>IF($B83="","",INDEX('Tarefas'!$F$34:$F$333,MATCH($B83,'Tarefas'!$N$34:$N$333,0)))</f>
        <v/>
      </c>
      <c r="E83" s="128" t="str">
        <f>IF($B83="","",INDEX('Tarefas'!$K$34:$K$333,MATCH($B83,'Tarefas'!$N$34:$N$333,0)))</f>
        <v/>
      </c>
      <c r="F83" s="128" t="str">
        <f>IF($B83="","",INDEX('Tarefas'!$C$34:$C$333,MATCH($B83,'Tarefas'!$N$34:$N$333,0))&amp;"")</f>
        <v/>
      </c>
    </row>
    <row r="84">
      <c r="B84" s="128" t="str">
        <f>IFERROR(SMALL('Tarefas'!$N$34:$N$333,6),"")</f>
        <v/>
      </c>
      <c r="C84" s="128" t="str">
        <f>IF($B84="","",INDEX('Tarefas'!$B$34:$B$333,MATCH($B84,'Tarefas'!$N$34:$N$333,0)))</f>
        <v/>
      </c>
      <c r="D84" s="260" t="str">
        <f>IF($B84="","",INDEX('Tarefas'!$F$34:$F$333,MATCH($B84,'Tarefas'!$N$34:$N$333,0)))</f>
        <v/>
      </c>
      <c r="E84" s="128" t="str">
        <f>IF($B84="","",INDEX('Tarefas'!$K$34:$K$333,MATCH($B84,'Tarefas'!$N$34:$N$333,0)))</f>
        <v/>
      </c>
      <c r="F84" s="128" t="str">
        <f>IF($B84="","",INDEX('Tarefas'!$C$34:$C$333,MATCH($B84,'Tarefas'!$N$34:$N$333,0))&amp;"")</f>
        <v/>
      </c>
    </row>
    <row r="85">
      <c r="B85" s="128" t="str">
        <f>IFERROR(SMALL('Tarefas'!$N$34:$N$333,7),"")</f>
        <v/>
      </c>
      <c r="C85" s="128" t="str">
        <f>IF($B85="","",INDEX('Tarefas'!$B$34:$B$333,MATCH($B85,'Tarefas'!$N$34:$N$333,0)))</f>
        <v/>
      </c>
      <c r="D85" s="260" t="str">
        <f>IF($B85="","",INDEX('Tarefas'!$F$34:$F$333,MATCH($B85,'Tarefas'!$N$34:$N$333,0)))</f>
        <v/>
      </c>
      <c r="E85" s="128" t="str">
        <f>IF($B85="","",INDEX('Tarefas'!$K$34:$K$333,MATCH($B85,'Tarefas'!$N$34:$N$333,0)))</f>
        <v/>
      </c>
      <c r="F85" s="128" t="str">
        <f>IF($B85="","",INDEX('Tarefas'!$C$34:$C$333,MATCH($B85,'Tarefas'!$N$34:$N$333,0))&amp;"")</f>
        <v/>
      </c>
    </row>
    <row r="86">
      <c r="B86" s="128" t="str">
        <f>IFERROR(SMALL('Tarefas'!$N$34:$N$333,8),"")</f>
        <v/>
      </c>
      <c r="C86" s="128" t="str">
        <f>IF($B86="","",INDEX('Tarefas'!$B$34:$B$333,MATCH($B86,'Tarefas'!$N$34:$N$333,0)))</f>
        <v/>
      </c>
      <c r="D86" s="260" t="str">
        <f>IF($B86="","",INDEX('Tarefas'!$F$34:$F$333,MATCH($B86,'Tarefas'!$N$34:$N$333,0)))</f>
        <v/>
      </c>
      <c r="E86" s="128" t="str">
        <f>IF($B86="","",INDEX('Tarefas'!$K$34:$K$333,MATCH($B86,'Tarefas'!$N$34:$N$333,0)))</f>
        <v/>
      </c>
      <c r="F86" s="128" t="str">
        <f>IF($B86="","",INDEX('Tarefas'!$C$34:$C$333,MATCH($B86,'Tarefas'!$N$34:$N$333,0))&amp;"")</f>
        <v/>
      </c>
    </row>
    <row r="89" ht="22" customHeight="1">
      <c r="B89" s="226" t="inlineStr">
        <is>
          <t>5b · METAS EM ANDAMENTO POR PRAZO</t>
        </is>
      </c>
      <c r="C89" s="227" t="n"/>
      <c r="D89" s="227" t="n"/>
      <c r="E89" s="227" t="n"/>
      <c r="F89" s="227" t="n"/>
      <c r="G89" s="227" t="n"/>
      <c r="H89" s="227" t="n"/>
      <c r="I89" s="227" t="n"/>
    </row>
    <row r="90" ht="30" customHeight="1">
      <c r="B90" s="104" t="inlineStr">
        <is>
          <t>Chave</t>
        </is>
      </c>
      <c r="C90" s="104" t="inlineStr">
        <is>
          <t>Meta</t>
        </is>
      </c>
      <c r="D90" s="104" t="inlineStr">
        <is>
          <t>Área</t>
        </is>
      </c>
      <c r="E90" s="104" t="inlineStr">
        <is>
          <t>Progresso</t>
        </is>
      </c>
      <c r="F90" s="104" t="inlineStr">
        <is>
          <t>Esperado</t>
        </is>
      </c>
      <c r="G90" s="104" t="inlineStr">
        <is>
          <t>Ritmo</t>
        </is>
      </c>
      <c r="H90" s="104" t="inlineStr">
        <is>
          <t>Prazo</t>
        </is>
      </c>
    </row>
    <row r="91">
      <c r="B91" s="128" t="str">
        <f>IFERROR(SMALL('Metas'!$W$15:$W$74,1),"")</f>
        <v/>
      </c>
      <c r="C91" s="128" t="str">
        <f>IF($B91="","",INDEX('Metas'!$C$15:$C$74,MATCH($B91,'Metas'!$W$15:$W$74,0)))</f>
        <v/>
      </c>
      <c r="D91" s="128" t="str">
        <f>IF($B91="","",INDEX('Metas'!$D$15:$D$74,MATCH($B91,'Metas'!$W$15:$W$74,0)))</f>
        <v/>
      </c>
      <c r="E91" s="133" t="str">
        <f>IF($B91="","",INDEX('Metas'!$M$15:$M$74,MATCH($B91,'Metas'!$W$15:$W$74,0)))</f>
        <v/>
      </c>
      <c r="F91" s="133" t="str">
        <f>IF($B91="","",INDEX('Metas'!$N$15:$N$74,MATCH($B91,'Metas'!$W$15:$W$74,0)))</f>
        <v/>
      </c>
      <c r="G91" s="128" t="str">
        <f>IF($B91="","",INDEX('Metas'!$O$15:$O$74,MATCH($B91,'Metas'!$W$15:$W$74,0)))</f>
        <v/>
      </c>
      <c r="H91" s="260" t="str">
        <f>IF($B91="","",INDEX('Metas'!$G$15:$G$74,MATCH($B91,'Metas'!$W$15:$W$74,0)))</f>
        <v/>
      </c>
    </row>
    <row r="92">
      <c r="B92" s="128" t="str">
        <f>IFERROR(SMALL('Metas'!$W$15:$W$74,2),"")</f>
        <v/>
      </c>
      <c r="C92" s="128" t="str">
        <f>IF($B92="","",INDEX('Metas'!$C$15:$C$74,MATCH($B92,'Metas'!$W$15:$W$74,0)))</f>
        <v/>
      </c>
      <c r="D92" s="128" t="str">
        <f>IF($B92="","",INDEX('Metas'!$D$15:$D$74,MATCH($B92,'Metas'!$W$15:$W$74,0)))</f>
        <v/>
      </c>
      <c r="E92" s="133" t="str">
        <f>IF($B92="","",INDEX('Metas'!$M$15:$M$74,MATCH($B92,'Metas'!$W$15:$W$74,0)))</f>
        <v/>
      </c>
      <c r="F92" s="133" t="str">
        <f>IF($B92="","",INDEX('Metas'!$N$15:$N$74,MATCH($B92,'Metas'!$W$15:$W$74,0)))</f>
        <v/>
      </c>
      <c r="G92" s="128" t="str">
        <f>IF($B92="","",INDEX('Metas'!$O$15:$O$74,MATCH($B92,'Metas'!$W$15:$W$74,0)))</f>
        <v/>
      </c>
      <c r="H92" s="260" t="str">
        <f>IF($B92="","",INDEX('Metas'!$G$15:$G$74,MATCH($B92,'Metas'!$W$15:$W$74,0)))</f>
        <v/>
      </c>
    </row>
    <row r="93">
      <c r="B93" s="128" t="str">
        <f>IFERROR(SMALL('Metas'!$W$15:$W$74,3),"")</f>
        <v/>
      </c>
      <c r="C93" s="128" t="str">
        <f>IF($B93="","",INDEX('Metas'!$C$15:$C$74,MATCH($B93,'Metas'!$W$15:$W$74,0)))</f>
        <v/>
      </c>
      <c r="D93" s="128" t="str">
        <f>IF($B93="","",INDEX('Metas'!$D$15:$D$74,MATCH($B93,'Metas'!$W$15:$W$74,0)))</f>
        <v/>
      </c>
      <c r="E93" s="133" t="str">
        <f>IF($B93="","",INDEX('Metas'!$M$15:$M$74,MATCH($B93,'Metas'!$W$15:$W$74,0)))</f>
        <v/>
      </c>
      <c r="F93" s="133" t="str">
        <f>IF($B93="","",INDEX('Metas'!$N$15:$N$74,MATCH($B93,'Metas'!$W$15:$W$74,0)))</f>
        <v/>
      </c>
      <c r="G93" s="128" t="str">
        <f>IF($B93="","",INDEX('Metas'!$O$15:$O$74,MATCH($B93,'Metas'!$W$15:$W$74,0)))</f>
        <v/>
      </c>
      <c r="H93" s="260" t="str">
        <f>IF($B93="","",INDEX('Metas'!$G$15:$G$74,MATCH($B93,'Metas'!$W$15:$W$74,0)))</f>
        <v/>
      </c>
    </row>
    <row r="94">
      <c r="B94" s="128" t="str">
        <f>IFERROR(SMALL('Metas'!$W$15:$W$74,4),"")</f>
        <v/>
      </c>
      <c r="C94" s="128" t="str">
        <f>IF($B94="","",INDEX('Metas'!$C$15:$C$74,MATCH($B94,'Metas'!$W$15:$W$74,0)))</f>
        <v/>
      </c>
      <c r="D94" s="128" t="str">
        <f>IF($B94="","",INDEX('Metas'!$D$15:$D$74,MATCH($B94,'Metas'!$W$15:$W$74,0)))</f>
        <v/>
      </c>
      <c r="E94" s="133" t="str">
        <f>IF($B94="","",INDEX('Metas'!$M$15:$M$74,MATCH($B94,'Metas'!$W$15:$W$74,0)))</f>
        <v/>
      </c>
      <c r="F94" s="133" t="str">
        <f>IF($B94="","",INDEX('Metas'!$N$15:$N$74,MATCH($B94,'Metas'!$W$15:$W$74,0)))</f>
        <v/>
      </c>
      <c r="G94" s="128" t="str">
        <f>IF($B94="","",INDEX('Metas'!$O$15:$O$74,MATCH($B94,'Metas'!$W$15:$W$74,0)))</f>
        <v/>
      </c>
      <c r="H94" s="260" t="str">
        <f>IF($B94="","",INDEX('Metas'!$G$15:$G$74,MATCH($B94,'Metas'!$W$15:$W$74,0)))</f>
        <v/>
      </c>
    </row>
    <row r="95">
      <c r="B95" s="128" t="str">
        <f>IFERROR(SMALL('Metas'!$W$15:$W$74,5),"")</f>
        <v/>
      </c>
      <c r="C95" s="128" t="str">
        <f>IF($B95="","",INDEX('Metas'!$C$15:$C$74,MATCH($B95,'Metas'!$W$15:$W$74,0)))</f>
        <v/>
      </c>
      <c r="D95" s="128" t="str">
        <f>IF($B95="","",INDEX('Metas'!$D$15:$D$74,MATCH($B95,'Metas'!$W$15:$W$74,0)))</f>
        <v/>
      </c>
      <c r="E95" s="133" t="str">
        <f>IF($B95="","",INDEX('Metas'!$M$15:$M$74,MATCH($B95,'Metas'!$W$15:$W$74,0)))</f>
        <v/>
      </c>
      <c r="F95" s="133" t="str">
        <f>IF($B95="","",INDEX('Metas'!$N$15:$N$74,MATCH($B95,'Metas'!$W$15:$W$74,0)))</f>
        <v/>
      </c>
      <c r="G95" s="128" t="str">
        <f>IF($B95="","",INDEX('Metas'!$O$15:$O$74,MATCH($B95,'Metas'!$W$15:$W$74,0)))</f>
        <v/>
      </c>
      <c r="H95" s="260" t="str">
        <f>IF($B95="","",INDEX('Metas'!$G$15:$G$74,MATCH($B95,'Metas'!$W$15:$W$74,0)))</f>
        <v/>
      </c>
    </row>
    <row r="96">
      <c r="B96" s="128" t="str">
        <f>IFERROR(SMALL('Metas'!$W$15:$W$74,6),"")</f>
        <v/>
      </c>
      <c r="C96" s="128" t="str">
        <f>IF($B96="","",INDEX('Metas'!$C$15:$C$74,MATCH($B96,'Metas'!$W$15:$W$74,0)))</f>
        <v/>
      </c>
      <c r="D96" s="128" t="str">
        <f>IF($B96="","",INDEX('Metas'!$D$15:$D$74,MATCH($B96,'Metas'!$W$15:$W$74,0)))</f>
        <v/>
      </c>
      <c r="E96" s="133" t="str">
        <f>IF($B96="","",INDEX('Metas'!$M$15:$M$74,MATCH($B96,'Metas'!$W$15:$W$74,0)))</f>
        <v/>
      </c>
      <c r="F96" s="133" t="str">
        <f>IF($B96="","",INDEX('Metas'!$N$15:$N$74,MATCH($B96,'Metas'!$W$15:$W$74,0)))</f>
        <v/>
      </c>
      <c r="G96" s="128" t="str">
        <f>IF($B96="","",INDEX('Metas'!$O$15:$O$74,MATCH($B96,'Metas'!$W$15:$W$74,0)))</f>
        <v/>
      </c>
      <c r="H96" s="260" t="str">
        <f>IF($B96="","",INDEX('Metas'!$G$15:$G$74,MATCH($B96,'Metas'!$W$15:$W$74,0)))</f>
        <v/>
      </c>
    </row>
    <row r="97">
      <c r="B97" s="128" t="str">
        <f>IFERROR(SMALL('Metas'!$W$15:$W$74,7),"")</f>
        <v/>
      </c>
      <c r="C97" s="128" t="str">
        <f>IF($B97="","",INDEX('Metas'!$C$15:$C$74,MATCH($B97,'Metas'!$W$15:$W$74,0)))</f>
        <v/>
      </c>
      <c r="D97" s="128" t="str">
        <f>IF($B97="","",INDEX('Metas'!$D$15:$D$74,MATCH($B97,'Metas'!$W$15:$W$74,0)))</f>
        <v/>
      </c>
      <c r="E97" s="133" t="str">
        <f>IF($B97="","",INDEX('Metas'!$M$15:$M$74,MATCH($B97,'Metas'!$W$15:$W$74,0)))</f>
        <v/>
      </c>
      <c r="F97" s="133" t="str">
        <f>IF($B97="","",INDEX('Metas'!$N$15:$N$74,MATCH($B97,'Metas'!$W$15:$W$74,0)))</f>
        <v/>
      </c>
      <c r="G97" s="128" t="str">
        <f>IF($B97="","",INDEX('Metas'!$O$15:$O$74,MATCH($B97,'Metas'!$W$15:$W$74,0)))</f>
        <v/>
      </c>
      <c r="H97" s="260" t="str">
        <f>IF($B97="","",INDEX('Metas'!$G$15:$G$74,MATCH($B97,'Metas'!$W$15:$W$74,0)))</f>
        <v/>
      </c>
    </row>
    <row r="98">
      <c r="B98" s="128" t="str">
        <f>IFERROR(SMALL('Metas'!$W$15:$W$74,8),"")</f>
        <v/>
      </c>
      <c r="C98" s="128" t="str">
        <f>IF($B98="","",INDEX('Metas'!$C$15:$C$74,MATCH($B98,'Metas'!$W$15:$W$74,0)))</f>
        <v/>
      </c>
      <c r="D98" s="128" t="str">
        <f>IF($B98="","",INDEX('Metas'!$D$15:$D$74,MATCH($B98,'Metas'!$W$15:$W$74,0)))</f>
        <v/>
      </c>
      <c r="E98" s="133" t="str">
        <f>IF($B98="","",INDEX('Metas'!$M$15:$M$74,MATCH($B98,'Metas'!$W$15:$W$74,0)))</f>
        <v/>
      </c>
      <c r="F98" s="133" t="str">
        <f>IF($B98="","",INDEX('Metas'!$N$15:$N$74,MATCH($B98,'Metas'!$W$15:$W$74,0)))</f>
        <v/>
      </c>
      <c r="G98" s="128" t="str">
        <f>IF($B98="","",INDEX('Metas'!$O$15:$O$74,MATCH($B98,'Metas'!$W$15:$W$74,0)))</f>
        <v/>
      </c>
      <c r="H98" s="260" t="str">
        <f>IF($B98="","",INDEX('Metas'!$G$15:$G$74,MATCH($B98,'Metas'!$W$15:$W$74,0)))</f>
        <v/>
      </c>
    </row>
    <row r="101" ht="22" customHeight="1">
      <c r="B101" s="226" t="inlineStr">
        <is>
          <t>5c · CONTATOS A FAZER (maior atraso relativo)</t>
        </is>
      </c>
      <c r="C101" s="227" t="n"/>
      <c r="D101" s="227" t="n"/>
      <c r="E101" s="227" t="n"/>
      <c r="F101" s="227" t="n"/>
      <c r="G101" s="227" t="n"/>
      <c r="H101" s="227" t="n"/>
      <c r="I101" s="227" t="n"/>
    </row>
    <row r="102" ht="30" customHeight="1">
      <c r="B102" s="104" t="inlineStr">
        <is>
          <t>Chave</t>
        </is>
      </c>
      <c r="C102" s="104" t="inlineStr">
        <is>
          <t>Nome</t>
        </is>
      </c>
      <c r="D102" s="104" t="inlineStr">
        <is>
          <t>Sem contato</t>
        </is>
      </c>
      <c r="E102" s="104" t="inlineStr">
        <is>
          <t>Status</t>
        </is>
      </c>
      <c r="F102" s="104" t="inlineStr">
        <is>
          <t>Relação</t>
        </is>
      </c>
    </row>
    <row r="103">
      <c r="B103" s="128" t="str">
        <f>IFERROR(IF(LARGE('Relações'!$N$10:$N$69,1)&gt;=0.8,LARGE('Relações'!$N$10:$N$69,1),""),"")</f>
        <v/>
      </c>
      <c r="C103" s="128" t="str">
        <f>IF($B103="","",INDEX('Relações'!$B$10:$B$69,MATCH($B103,'Relações'!$N$10:$N$69,0)))</f>
        <v/>
      </c>
      <c r="D103" s="128" t="str">
        <f>IF($B103="","",IF(INDEX('Relações'!$F$10:$F$69,MATCH($B103,'Relações'!$N$10:$N$69,0))="","nunca",INDEX('Relações'!$G$10:$G$69,MATCH($B103,'Relações'!$N$10:$N$69,0))&amp;" dias"))</f>
        <v/>
      </c>
      <c r="E103" s="128" t="str">
        <f>IF($B103="","",INDEX('Relações'!$H$10:$H$69,MATCH($B103,'Relações'!$N$10:$N$69,0)))</f>
        <v/>
      </c>
      <c r="F103" s="128" t="str">
        <f>IF($B103="","",INDEX('Relações'!$C$10:$C$69,MATCH($B103,'Relações'!$N$10:$N$69,0)))</f>
        <v/>
      </c>
    </row>
    <row r="104">
      <c r="B104" s="128" t="str">
        <f>IFERROR(IF(LARGE('Relações'!$N$10:$N$69,2)&gt;=0.8,LARGE('Relações'!$N$10:$N$69,2),""),"")</f>
        <v/>
      </c>
      <c r="C104" s="128" t="str">
        <f>IF($B104="","",INDEX('Relações'!$B$10:$B$69,MATCH($B104,'Relações'!$N$10:$N$69,0)))</f>
        <v/>
      </c>
      <c r="D104" s="128" t="str">
        <f>IF($B104="","",IF(INDEX('Relações'!$F$10:$F$69,MATCH($B104,'Relações'!$N$10:$N$69,0))="","nunca",INDEX('Relações'!$G$10:$G$69,MATCH($B104,'Relações'!$N$10:$N$69,0))&amp;" dias"))</f>
        <v/>
      </c>
      <c r="E104" s="128" t="str">
        <f>IF($B104="","",INDEX('Relações'!$H$10:$H$69,MATCH($B104,'Relações'!$N$10:$N$69,0)))</f>
        <v/>
      </c>
      <c r="F104" s="128" t="str">
        <f>IF($B104="","",INDEX('Relações'!$C$10:$C$69,MATCH($B104,'Relações'!$N$10:$N$69,0)))</f>
        <v/>
      </c>
    </row>
    <row r="105">
      <c r="B105" s="128" t="str">
        <f>IFERROR(IF(LARGE('Relações'!$N$10:$N$69,3)&gt;=0.8,LARGE('Relações'!$N$10:$N$69,3),""),"")</f>
        <v/>
      </c>
      <c r="C105" s="128" t="str">
        <f>IF($B105="","",INDEX('Relações'!$B$10:$B$69,MATCH($B105,'Relações'!$N$10:$N$69,0)))</f>
        <v/>
      </c>
      <c r="D105" s="128" t="str">
        <f>IF($B105="","",IF(INDEX('Relações'!$F$10:$F$69,MATCH($B105,'Relações'!$N$10:$N$69,0))="","nunca",INDEX('Relações'!$G$10:$G$69,MATCH($B105,'Relações'!$N$10:$N$69,0))&amp;" dias"))</f>
        <v/>
      </c>
      <c r="E105" s="128" t="str">
        <f>IF($B105="","",INDEX('Relações'!$H$10:$H$69,MATCH($B105,'Relações'!$N$10:$N$69,0)))</f>
        <v/>
      </c>
      <c r="F105" s="128" t="str">
        <f>IF($B105="","",INDEX('Relações'!$C$10:$C$69,MATCH($B105,'Relações'!$N$10:$N$69,0)))</f>
        <v/>
      </c>
    </row>
    <row r="106">
      <c r="B106" s="128" t="str">
        <f>IFERROR(IF(LARGE('Relações'!$N$10:$N$69,4)&gt;=0.8,LARGE('Relações'!$N$10:$N$69,4),""),"")</f>
        <v/>
      </c>
      <c r="C106" s="128" t="str">
        <f>IF($B106="","",INDEX('Relações'!$B$10:$B$69,MATCH($B106,'Relações'!$N$10:$N$69,0)))</f>
        <v/>
      </c>
      <c r="D106" s="128" t="str">
        <f>IF($B106="","",IF(INDEX('Relações'!$F$10:$F$69,MATCH($B106,'Relações'!$N$10:$N$69,0))="","nunca",INDEX('Relações'!$G$10:$G$69,MATCH($B106,'Relações'!$N$10:$N$69,0))&amp;" dias"))</f>
        <v/>
      </c>
      <c r="E106" s="128" t="str">
        <f>IF($B106="","",INDEX('Relações'!$H$10:$H$69,MATCH($B106,'Relações'!$N$10:$N$69,0)))</f>
        <v/>
      </c>
      <c r="F106" s="128" t="str">
        <f>IF($B106="","",INDEX('Relações'!$C$10:$C$69,MATCH($B106,'Relações'!$N$10:$N$69,0)))</f>
        <v/>
      </c>
    </row>
    <row r="107">
      <c r="B107" s="128" t="str">
        <f>IFERROR(IF(LARGE('Relações'!$N$10:$N$69,5)&gt;=0.8,LARGE('Relações'!$N$10:$N$69,5),""),"")</f>
        <v/>
      </c>
      <c r="C107" s="128" t="str">
        <f>IF($B107="","",INDEX('Relações'!$B$10:$B$69,MATCH($B107,'Relações'!$N$10:$N$69,0)))</f>
        <v/>
      </c>
      <c r="D107" s="128" t="str">
        <f>IF($B107="","",IF(INDEX('Relações'!$F$10:$F$69,MATCH($B107,'Relações'!$N$10:$N$69,0))="","nunca",INDEX('Relações'!$G$10:$G$69,MATCH($B107,'Relações'!$N$10:$N$69,0))&amp;" dias"))</f>
        <v/>
      </c>
      <c r="E107" s="128" t="str">
        <f>IF($B107="","",INDEX('Relações'!$H$10:$H$69,MATCH($B107,'Relações'!$N$10:$N$69,0)))</f>
        <v/>
      </c>
      <c r="F107" s="128" t="str">
        <f>IF($B107="","",INDEX('Relações'!$C$10:$C$69,MATCH($B107,'Relações'!$N$10:$N$69,0)))</f>
        <v/>
      </c>
    </row>
    <row r="108">
      <c r="B108" s="128" t="str">
        <f>IFERROR(IF(LARGE('Relações'!$N$10:$N$69,6)&gt;=0.8,LARGE('Relações'!$N$10:$N$69,6),""),"")</f>
        <v/>
      </c>
      <c r="C108" s="128" t="str">
        <f>IF($B108="","",INDEX('Relações'!$B$10:$B$69,MATCH($B108,'Relações'!$N$10:$N$69,0)))</f>
        <v/>
      </c>
      <c r="D108" s="128" t="str">
        <f>IF($B108="","",IF(INDEX('Relações'!$F$10:$F$69,MATCH($B108,'Relações'!$N$10:$N$69,0))="","nunca",INDEX('Relações'!$G$10:$G$69,MATCH($B108,'Relações'!$N$10:$N$69,0))&amp;" dias"))</f>
        <v/>
      </c>
      <c r="E108" s="128" t="str">
        <f>IF($B108="","",INDEX('Relações'!$H$10:$H$69,MATCH($B108,'Relações'!$N$10:$N$69,0)))</f>
        <v/>
      </c>
      <c r="F108" s="128" t="str">
        <f>IF($B108="","",INDEX('Relações'!$C$10:$C$69,MATCH($B108,'Relações'!$N$10:$N$69,0)))</f>
        <v/>
      </c>
    </row>
    <row r="109">
      <c r="B109" s="128" t="str">
        <f>IFERROR(IF(LARGE('Relações'!$N$10:$N$69,7)&gt;=0.8,LARGE('Relações'!$N$10:$N$69,7),""),"")</f>
        <v/>
      </c>
      <c r="C109" s="128" t="str">
        <f>IF($B109="","",INDEX('Relações'!$B$10:$B$69,MATCH($B109,'Relações'!$N$10:$N$69,0)))</f>
        <v/>
      </c>
      <c r="D109" s="128" t="str">
        <f>IF($B109="","",IF(INDEX('Relações'!$F$10:$F$69,MATCH($B109,'Relações'!$N$10:$N$69,0))="","nunca",INDEX('Relações'!$G$10:$G$69,MATCH($B109,'Relações'!$N$10:$N$69,0))&amp;" dias"))</f>
        <v/>
      </c>
      <c r="E109" s="128" t="str">
        <f>IF($B109="","",INDEX('Relações'!$H$10:$H$69,MATCH($B109,'Relações'!$N$10:$N$69,0)))</f>
        <v/>
      </c>
      <c r="F109" s="128" t="str">
        <f>IF($B109="","",INDEX('Relações'!$C$10:$C$69,MATCH($B109,'Relações'!$N$10:$N$69,0)))</f>
        <v/>
      </c>
    </row>
    <row r="110">
      <c r="B110" s="128" t="str">
        <f>IFERROR(IF(LARGE('Relações'!$N$10:$N$69,8)&gt;=0.8,LARGE('Relações'!$N$10:$N$69,8),""),"")</f>
        <v/>
      </c>
      <c r="C110" s="128" t="str">
        <f>IF($B110="","",INDEX('Relações'!$B$10:$B$69,MATCH($B110,'Relações'!$N$10:$N$69,0)))</f>
        <v/>
      </c>
      <c r="D110" s="128" t="str">
        <f>IF($B110="","",IF(INDEX('Relações'!$F$10:$F$69,MATCH($B110,'Relações'!$N$10:$N$69,0))="","nunca",INDEX('Relações'!$G$10:$G$69,MATCH($B110,'Relações'!$N$10:$N$69,0))&amp;" dias"))</f>
        <v/>
      </c>
      <c r="E110" s="128" t="str">
        <f>IF($B110="","",INDEX('Relações'!$H$10:$H$69,MATCH($B110,'Relações'!$N$10:$N$69,0)))</f>
        <v/>
      </c>
      <c r="F110" s="128" t="str">
        <f>IF($B110="","",INDEX('Relações'!$C$10:$C$69,MATCH($B110,'Relações'!$N$10:$N$69,0)))</f>
        <v/>
      </c>
    </row>
    <row r="113" ht="22" customHeight="1">
      <c r="B113" s="226" t="inlineStr">
        <is>
          <t>5d · PRÓXIMOS ANIVERSÁRIOS</t>
        </is>
      </c>
      <c r="C113" s="227" t="n"/>
      <c r="D113" s="227" t="n"/>
      <c r="E113" s="227" t="n"/>
      <c r="F113" s="227" t="n"/>
      <c r="G113" s="227" t="n"/>
      <c r="H113" s="227" t="n"/>
      <c r="I113" s="227" t="n"/>
    </row>
    <row r="114" ht="30" customHeight="1">
      <c r="B114" s="104" t="inlineStr">
        <is>
          <t>Chave</t>
        </is>
      </c>
      <c r="C114" s="104" t="inlineStr">
        <is>
          <t>Nome</t>
        </is>
      </c>
      <c r="D114" s="104" t="inlineStr">
        <is>
          <t>Data</t>
        </is>
      </c>
      <c r="E114" s="104" t="inlineStr">
        <is>
          <t>Faltam</t>
        </is>
      </c>
    </row>
    <row r="115">
      <c r="B115" s="128" t="str">
        <f>IFERROR(SMALL('Relações'!$O$10:$O$69,1),"")</f>
        <v/>
      </c>
      <c r="C115" s="128" t="str">
        <f>IF($B115="","",INDEX('Relações'!$B$10:$B$69,MATCH($B115,'Relações'!$O$10:$O$69,0)))</f>
        <v/>
      </c>
      <c r="D115" s="260" t="str">
        <f>IF($B115="","",INDEX('Relações'!$J$10:$J$69,MATCH($B115,'Relações'!$O$10:$O$69,0)))</f>
        <v/>
      </c>
      <c r="E115" s="128" t="str">
        <f>IF($B115="","",IF(INT($B115)=0,"▲ hoje",IF(INT($B115)&lt;=AlertaAniv,"▲ ","")&amp;"em "&amp;INT($B115)&amp;" d"))</f>
        <v/>
      </c>
    </row>
    <row r="116">
      <c r="B116" s="128" t="str">
        <f>IFERROR(SMALL('Relações'!$O$10:$O$69,2),"")</f>
        <v/>
      </c>
      <c r="C116" s="128" t="str">
        <f>IF($B116="","",INDEX('Relações'!$B$10:$B$69,MATCH($B116,'Relações'!$O$10:$O$69,0)))</f>
        <v/>
      </c>
      <c r="D116" s="260" t="str">
        <f>IF($B116="","",INDEX('Relações'!$J$10:$J$69,MATCH($B116,'Relações'!$O$10:$O$69,0)))</f>
        <v/>
      </c>
      <c r="E116" s="128" t="str">
        <f>IF($B116="","",IF(INT($B116)=0,"▲ hoje",IF(INT($B116)&lt;=AlertaAniv,"▲ ","")&amp;"em "&amp;INT($B116)&amp;" d"))</f>
        <v/>
      </c>
    </row>
    <row r="117">
      <c r="B117" s="128" t="str">
        <f>IFERROR(SMALL('Relações'!$O$10:$O$69,3),"")</f>
        <v/>
      </c>
      <c r="C117" s="128" t="str">
        <f>IF($B117="","",INDEX('Relações'!$B$10:$B$69,MATCH($B117,'Relações'!$O$10:$O$69,0)))</f>
        <v/>
      </c>
      <c r="D117" s="260" t="str">
        <f>IF($B117="","",INDEX('Relações'!$J$10:$J$69,MATCH($B117,'Relações'!$O$10:$O$69,0)))</f>
        <v/>
      </c>
      <c r="E117" s="128" t="str">
        <f>IF($B117="","",IF(INT($B117)=0,"▲ hoje",IF(INT($B117)&lt;=AlertaAniv,"▲ ","")&amp;"em "&amp;INT($B117)&amp;" d"))</f>
        <v/>
      </c>
    </row>
    <row r="118">
      <c r="B118" s="128" t="str">
        <f>IFERROR(SMALL('Relações'!$O$10:$O$69,4),"")</f>
        <v/>
      </c>
      <c r="C118" s="128" t="str">
        <f>IF($B118="","",INDEX('Relações'!$B$10:$B$69,MATCH($B118,'Relações'!$O$10:$O$69,0)))</f>
        <v/>
      </c>
      <c r="D118" s="260" t="str">
        <f>IF($B118="","",INDEX('Relações'!$J$10:$J$69,MATCH($B118,'Relações'!$O$10:$O$69,0)))</f>
        <v/>
      </c>
      <c r="E118" s="128" t="str">
        <f>IF($B118="","",IF(INT($B118)=0,"▲ hoje",IF(INT($B118)&lt;=AlertaAniv,"▲ ","")&amp;"em "&amp;INT($B118)&amp;" d"))</f>
        <v/>
      </c>
    </row>
    <row r="119">
      <c r="B119" s="128" t="str">
        <f>IFERROR(SMALL('Relações'!$O$10:$O$69,5),"")</f>
        <v/>
      </c>
      <c r="C119" s="128" t="str">
        <f>IF($B119="","",INDEX('Relações'!$B$10:$B$69,MATCH($B119,'Relações'!$O$10:$O$69,0)))</f>
        <v/>
      </c>
      <c r="D119" s="260" t="str">
        <f>IF($B119="","",INDEX('Relações'!$J$10:$J$69,MATCH($B119,'Relações'!$O$10:$O$69,0)))</f>
        <v/>
      </c>
      <c r="E119" s="128" t="str">
        <f>IF($B119="","",IF(INT($B119)=0,"▲ hoje",IF(INT($B119)&lt;=AlertaAniv,"▲ ","")&amp;"em "&amp;INT($B119)&amp;" d"))</f>
        <v/>
      </c>
    </row>
    <row r="120">
      <c r="B120" s="128" t="str">
        <f>IFERROR(SMALL('Relações'!$O$10:$O$69,6),"")</f>
        <v/>
      </c>
      <c r="C120" s="128" t="str">
        <f>IF($B120="","",INDEX('Relações'!$B$10:$B$69,MATCH($B120,'Relações'!$O$10:$O$69,0)))</f>
        <v/>
      </c>
      <c r="D120" s="260" t="str">
        <f>IF($B120="","",INDEX('Relações'!$J$10:$J$69,MATCH($B120,'Relações'!$O$10:$O$69,0)))</f>
        <v/>
      </c>
      <c r="E120" s="128" t="str">
        <f>IF($B120="","",IF(INT($B120)=0,"▲ hoje",IF(INT($B120)&lt;=AlertaAniv,"▲ ","")&amp;"em "&amp;INT($B120)&amp;" d"))</f>
        <v/>
      </c>
    </row>
    <row r="121">
      <c r="B121" s="128" t="str">
        <f>IFERROR(SMALL('Relações'!$O$10:$O$69,7),"")</f>
        <v/>
      </c>
      <c r="C121" s="128" t="str">
        <f>IF($B121="","",INDEX('Relações'!$B$10:$B$69,MATCH($B121,'Relações'!$O$10:$O$69,0)))</f>
        <v/>
      </c>
      <c r="D121" s="260" t="str">
        <f>IF($B121="","",INDEX('Relações'!$J$10:$J$69,MATCH($B121,'Relações'!$O$10:$O$69,0)))</f>
        <v/>
      </c>
      <c r="E121" s="128" t="str">
        <f>IF($B121="","",IF(INT($B121)=0,"▲ hoje",IF(INT($B121)&lt;=AlertaAniv,"▲ ","")&amp;"em "&amp;INT($B121)&amp;" d"))</f>
        <v/>
      </c>
    </row>
    <row r="122">
      <c r="B122" s="128" t="str">
        <f>IFERROR(SMALL('Relações'!$O$10:$O$69,8),"")</f>
        <v/>
      </c>
      <c r="C122" s="128" t="str">
        <f>IF($B122="","",INDEX('Relações'!$B$10:$B$69,MATCH($B122,'Relações'!$O$10:$O$69,0)))</f>
        <v/>
      </c>
      <c r="D122" s="260" t="str">
        <f>IF($B122="","",INDEX('Relações'!$J$10:$J$69,MATCH($B122,'Relações'!$O$10:$O$69,0)))</f>
        <v/>
      </c>
      <c r="E122" s="128" t="str">
        <f>IF($B122="","",IF(INT($B122)=0,"▲ hoje",IF(INT($B122)&lt;=AlertaAniv,"▲ ","")&amp;"em "&amp;INT($B122)&amp;" d"))</f>
        <v/>
      </c>
    </row>
    <row r="125" ht="22" customHeight="1">
      <c r="B125" s="226" t="inlineStr">
        <is>
          <t>5e · VENCIMENTOS: DOCUMENTOS, ROTINAS E ASSINATURAS</t>
        </is>
      </c>
      <c r="C125" s="227" t="n"/>
      <c r="D125" s="227" t="n"/>
      <c r="E125" s="227" t="n"/>
      <c r="F125" s="227" t="n"/>
      <c r="G125" s="227" t="n"/>
      <c r="H125" s="227" t="n"/>
      <c r="I125" s="227" t="n"/>
    </row>
    <row r="126" ht="30" customHeight="1">
      <c r="B126" s="104" t="inlineStr">
        <is>
          <t>Chave</t>
        </is>
      </c>
      <c r="C126" s="104" t="inlineStr">
        <is>
          <t>Item</t>
        </is>
      </c>
      <c r="D126" s="104" t="inlineStr">
        <is>
          <t>Quando</t>
        </is>
      </c>
    </row>
    <row r="127">
      <c r="B127" s="128" t="str">
        <f>IFERROR(SMALL('Casa'!$N$11:$N$101,1),"")</f>
        <v/>
      </c>
      <c r="C127" s="128" t="str">
        <f>IF($B127="","",INDEX('Casa'!$B$11:$B$101,MATCH($B127,'Casa'!$N$11:$N$101,0))&amp;" ("&amp;LOWER(INDEX('Casa'!$O$11:$O$101,MATCH($B127,'Casa'!$N$11:$N$101,0)))&amp;")")</f>
        <v/>
      </c>
      <c r="D127" s="128" t="str">
        <f>IF($B127="","",IF(INT($B127)&lt;0,"✖ venceu há "&amp;-INT($B127)&amp;" d",IF(INT($B127)=0,"▲ hoje","▲ em "&amp;INT($B127)&amp;" d")))</f>
        <v/>
      </c>
    </row>
    <row r="128">
      <c r="B128" s="128" t="str">
        <f>IFERROR(SMALL('Casa'!$N$11:$N$101,2),"")</f>
        <v/>
      </c>
      <c r="C128" s="128" t="str">
        <f>IF($B128="","",INDEX('Casa'!$B$11:$B$101,MATCH($B128,'Casa'!$N$11:$N$101,0))&amp;" ("&amp;LOWER(INDEX('Casa'!$O$11:$O$101,MATCH($B128,'Casa'!$N$11:$N$101,0)))&amp;")")</f>
        <v/>
      </c>
      <c r="D128" s="128" t="str">
        <f>IF($B128="","",IF(INT($B128)&lt;0,"✖ venceu há "&amp;-INT($B128)&amp;" d",IF(INT($B128)=0,"▲ hoje","▲ em "&amp;INT($B128)&amp;" d")))</f>
        <v/>
      </c>
    </row>
    <row r="129">
      <c r="B129" s="128" t="str">
        <f>IFERROR(SMALL('Casa'!$N$11:$N$101,3),"")</f>
        <v/>
      </c>
      <c r="C129" s="128" t="str">
        <f>IF($B129="","",INDEX('Casa'!$B$11:$B$101,MATCH($B129,'Casa'!$N$11:$N$101,0))&amp;" ("&amp;LOWER(INDEX('Casa'!$O$11:$O$101,MATCH($B129,'Casa'!$N$11:$N$101,0)))&amp;")")</f>
        <v/>
      </c>
      <c r="D129" s="128" t="str">
        <f>IF($B129="","",IF(INT($B129)&lt;0,"✖ venceu há "&amp;-INT($B129)&amp;" d",IF(INT($B129)=0,"▲ hoje","▲ em "&amp;INT($B129)&amp;" d")))</f>
        <v/>
      </c>
    </row>
    <row r="130">
      <c r="B130" s="128" t="str">
        <f>IFERROR(SMALL('Casa'!$N$11:$N$101,4),"")</f>
        <v/>
      </c>
      <c r="C130" s="128" t="str">
        <f>IF($B130="","",INDEX('Casa'!$B$11:$B$101,MATCH($B130,'Casa'!$N$11:$N$101,0))&amp;" ("&amp;LOWER(INDEX('Casa'!$O$11:$O$101,MATCH($B130,'Casa'!$N$11:$N$101,0)))&amp;")")</f>
        <v/>
      </c>
      <c r="D130" s="128" t="str">
        <f>IF($B130="","",IF(INT($B130)&lt;0,"✖ venceu há "&amp;-INT($B130)&amp;" d",IF(INT($B130)=0,"▲ hoje","▲ em "&amp;INT($B130)&amp;" d")))</f>
        <v/>
      </c>
    </row>
    <row r="131">
      <c r="B131" s="128" t="str">
        <f>IFERROR(SMALL('Casa'!$N$11:$N$101,5),"")</f>
        <v/>
      </c>
      <c r="C131" s="128" t="str">
        <f>IF($B131="","",INDEX('Casa'!$B$11:$B$101,MATCH($B131,'Casa'!$N$11:$N$101,0))&amp;" ("&amp;LOWER(INDEX('Casa'!$O$11:$O$101,MATCH($B131,'Casa'!$N$11:$N$101,0)))&amp;")")</f>
        <v/>
      </c>
      <c r="D131" s="128" t="str">
        <f>IF($B131="","",IF(INT($B131)&lt;0,"✖ venceu há "&amp;-INT($B131)&amp;" d",IF(INT($B131)=0,"▲ hoje","▲ em "&amp;INT($B131)&amp;" d")))</f>
        <v/>
      </c>
    </row>
    <row r="132">
      <c r="B132" s="128" t="str">
        <f>IFERROR(SMALL('Casa'!$N$11:$N$101,6),"")</f>
        <v/>
      </c>
      <c r="C132" s="128" t="str">
        <f>IF($B132="","",INDEX('Casa'!$B$11:$B$101,MATCH($B132,'Casa'!$N$11:$N$101,0))&amp;" ("&amp;LOWER(INDEX('Casa'!$O$11:$O$101,MATCH($B132,'Casa'!$N$11:$N$101,0)))&amp;")")</f>
        <v/>
      </c>
      <c r="D132" s="128" t="str">
        <f>IF($B132="","",IF(INT($B132)&lt;0,"✖ venceu há "&amp;-INT($B132)&amp;" d",IF(INT($B132)=0,"▲ hoje","▲ em "&amp;INT($B132)&amp;" d")))</f>
        <v/>
      </c>
    </row>
    <row r="133">
      <c r="B133" s="128" t="str">
        <f>IFERROR(SMALL('Casa'!$N$11:$N$101,7),"")</f>
        <v/>
      </c>
      <c r="C133" s="128" t="str">
        <f>IF($B133="","",INDEX('Casa'!$B$11:$B$101,MATCH($B133,'Casa'!$N$11:$N$101,0))&amp;" ("&amp;LOWER(INDEX('Casa'!$O$11:$O$101,MATCH($B133,'Casa'!$N$11:$N$101,0)))&amp;")")</f>
        <v/>
      </c>
      <c r="D133" s="128" t="str">
        <f>IF($B133="","",IF(INT($B133)&lt;0,"✖ venceu há "&amp;-INT($B133)&amp;" d",IF(INT($B133)=0,"▲ hoje","▲ em "&amp;INT($B133)&amp;" d")))</f>
        <v/>
      </c>
    </row>
    <row r="134">
      <c r="B134" s="128" t="str">
        <f>IFERROR(SMALL('Casa'!$N$11:$N$101,8),"")</f>
        <v/>
      </c>
      <c r="C134" s="128" t="str">
        <f>IF($B134="","",INDEX('Casa'!$B$11:$B$101,MATCH($B134,'Casa'!$N$11:$N$101,0))&amp;" ("&amp;LOWER(INDEX('Casa'!$O$11:$O$101,MATCH($B134,'Casa'!$N$11:$N$101,0)))&amp;")")</f>
        <v/>
      </c>
      <c r="D134" s="128" t="str">
        <f>IF($B134="","",IF(INT($B134)&lt;0,"✖ venceu há "&amp;-INT($B134)&amp;" d",IF(INT($B134)=0,"▲ hoje","▲ em "&amp;INT($B134)&amp;" d")))</f>
        <v/>
      </c>
    </row>
    <row r="137" ht="22" customHeight="1">
      <c r="B137" s="226" t="inlineStr">
        <is>
          <t>5f · APRENDIZADO EM ANDAMENTO</t>
        </is>
      </c>
      <c r="C137" s="227" t="n"/>
      <c r="D137" s="227" t="n"/>
      <c r="E137" s="227" t="n"/>
      <c r="F137" s="227" t="n"/>
      <c r="G137" s="227" t="n"/>
      <c r="H137" s="227" t="n"/>
      <c r="I137" s="227" t="n"/>
    </row>
    <row r="138" ht="30" customHeight="1">
      <c r="B138" s="104" t="inlineStr">
        <is>
          <t>Chave</t>
        </is>
      </c>
      <c r="C138" s="104" t="inlineStr">
        <is>
          <t>Título</t>
        </is>
      </c>
      <c r="D138" s="104" t="inlineStr">
        <is>
          <t>Tipo</t>
        </is>
      </c>
      <c r="E138" s="104" t="inlineStr">
        <is>
          <t>Progresso</t>
        </is>
      </c>
    </row>
    <row r="139">
      <c r="B139" s="128" t="str">
        <f>IFERROR(SMALL('Aprendizado'!$O$10:$O$89,1),"")</f>
        <v/>
      </c>
      <c r="C139" s="128" t="str">
        <f>IF($B139="","",INDEX('Aprendizado'!$B$10:$B$89,MATCH($B139,'Aprendizado'!$O$10:$O$89,0)))</f>
        <v/>
      </c>
      <c r="D139" s="128" t="str">
        <f>IF($B139="","",INDEX('Aprendizado'!$C$10:$C$89,MATCH($B139,'Aprendizado'!$O$10:$O$89,0)))</f>
        <v/>
      </c>
      <c r="E139" s="133" t="str">
        <f>IF($B139="","",INDEX('Aprendizado'!$J$10:$J$89,MATCH($B139,'Aprendizado'!$O$10:$O$89,0)))</f>
        <v/>
      </c>
    </row>
    <row r="140">
      <c r="B140" s="128" t="str">
        <f>IFERROR(SMALL('Aprendizado'!$O$10:$O$89,2),"")</f>
        <v/>
      </c>
      <c r="C140" s="128" t="str">
        <f>IF($B140="","",INDEX('Aprendizado'!$B$10:$B$89,MATCH($B140,'Aprendizado'!$O$10:$O$89,0)))</f>
        <v/>
      </c>
      <c r="D140" s="128" t="str">
        <f>IF($B140="","",INDEX('Aprendizado'!$C$10:$C$89,MATCH($B140,'Aprendizado'!$O$10:$O$89,0)))</f>
        <v/>
      </c>
      <c r="E140" s="133" t="str">
        <f>IF($B140="","",INDEX('Aprendizado'!$J$10:$J$89,MATCH($B140,'Aprendizado'!$O$10:$O$89,0)))</f>
        <v/>
      </c>
    </row>
    <row r="141">
      <c r="B141" s="128" t="str">
        <f>IFERROR(SMALL('Aprendizado'!$O$10:$O$89,3),"")</f>
        <v/>
      </c>
      <c r="C141" s="128" t="str">
        <f>IF($B141="","",INDEX('Aprendizado'!$B$10:$B$89,MATCH($B141,'Aprendizado'!$O$10:$O$89,0)))</f>
        <v/>
      </c>
      <c r="D141" s="128" t="str">
        <f>IF($B141="","",INDEX('Aprendizado'!$C$10:$C$89,MATCH($B141,'Aprendizado'!$O$10:$O$89,0)))</f>
        <v/>
      </c>
      <c r="E141" s="133" t="str">
        <f>IF($B141="","",INDEX('Aprendizado'!$J$10:$J$89,MATCH($B141,'Aprendizado'!$O$10:$O$89,0)))</f>
        <v/>
      </c>
    </row>
    <row r="142">
      <c r="B142" s="128" t="str">
        <f>IFERROR(SMALL('Aprendizado'!$O$10:$O$89,4),"")</f>
        <v/>
      </c>
      <c r="C142" s="128" t="str">
        <f>IF($B142="","",INDEX('Aprendizado'!$B$10:$B$89,MATCH($B142,'Aprendizado'!$O$10:$O$89,0)))</f>
        <v/>
      </c>
      <c r="D142" s="128" t="str">
        <f>IF($B142="","",INDEX('Aprendizado'!$C$10:$C$89,MATCH($B142,'Aprendizado'!$O$10:$O$89,0)))</f>
        <v/>
      </c>
      <c r="E142" s="133" t="str">
        <f>IF($B142="","",INDEX('Aprendizado'!$J$10:$J$89,MATCH($B142,'Aprendizado'!$O$10:$O$89,0)))</f>
        <v/>
      </c>
    </row>
    <row r="143">
      <c r="B143" s="128" t="str">
        <f>IFERROR(SMALL('Aprendizado'!$O$10:$O$89,5),"")</f>
        <v/>
      </c>
      <c r="C143" s="128" t="str">
        <f>IF($B143="","",INDEX('Aprendizado'!$B$10:$B$89,MATCH($B143,'Aprendizado'!$O$10:$O$89,0)))</f>
        <v/>
      </c>
      <c r="D143" s="128" t="str">
        <f>IF($B143="","",INDEX('Aprendizado'!$C$10:$C$89,MATCH($B143,'Aprendizado'!$O$10:$O$89,0)))</f>
        <v/>
      </c>
      <c r="E143" s="133" t="str">
        <f>IF($B143="","",INDEX('Aprendizado'!$J$10:$J$89,MATCH($B143,'Aprendizado'!$O$10:$O$89,0)))</f>
        <v/>
      </c>
    </row>
    <row r="144">
      <c r="B144" s="128" t="str">
        <f>IFERROR(SMALL('Aprendizado'!$O$10:$O$89,6),"")</f>
        <v/>
      </c>
      <c r="C144" s="128" t="str">
        <f>IF($B144="","",INDEX('Aprendizado'!$B$10:$B$89,MATCH($B144,'Aprendizado'!$O$10:$O$89,0)))</f>
        <v/>
      </c>
      <c r="D144" s="128" t="str">
        <f>IF($B144="","",INDEX('Aprendizado'!$C$10:$C$89,MATCH($B144,'Aprendizado'!$O$10:$O$89,0)))</f>
        <v/>
      </c>
      <c r="E144" s="133" t="str">
        <f>IF($B144="","",INDEX('Aprendizado'!$J$10:$J$89,MATCH($B144,'Aprendizado'!$O$10:$O$89,0)))</f>
        <v/>
      </c>
    </row>
    <row r="145">
      <c r="B145" s="128" t="str">
        <f>IFERROR(SMALL('Aprendizado'!$O$10:$O$89,7),"")</f>
        <v/>
      </c>
      <c r="C145" s="128" t="str">
        <f>IF($B145="","",INDEX('Aprendizado'!$B$10:$B$89,MATCH($B145,'Aprendizado'!$O$10:$O$89,0)))</f>
        <v/>
      </c>
      <c r="D145" s="128" t="str">
        <f>IF($B145="","",INDEX('Aprendizado'!$C$10:$C$89,MATCH($B145,'Aprendizado'!$O$10:$O$89,0)))</f>
        <v/>
      </c>
      <c r="E145" s="133" t="str">
        <f>IF($B145="","",INDEX('Aprendizado'!$J$10:$J$89,MATCH($B145,'Aprendizado'!$O$10:$O$89,0)))</f>
        <v/>
      </c>
    </row>
    <row r="146">
      <c r="B146" s="128" t="str">
        <f>IFERROR(SMALL('Aprendizado'!$O$10:$O$89,8),"")</f>
        <v/>
      </c>
      <c r="C146" s="128" t="str">
        <f>IF($B146="","",INDEX('Aprendizado'!$B$10:$B$89,MATCH($B146,'Aprendizado'!$O$10:$O$89,0)))</f>
        <v/>
      </c>
      <c r="D146" s="128" t="str">
        <f>IF($B146="","",INDEX('Aprendizado'!$C$10:$C$89,MATCH($B146,'Aprendizado'!$O$10:$O$89,0)))</f>
        <v/>
      </c>
      <c r="E146" s="133" t="str">
        <f>IF($B146="","",INDEX('Aprendizado'!$J$10:$J$89,MATCH($B146,'Aprendizado'!$O$10:$O$89,0)))</f>
        <v/>
      </c>
    </row>
    <row r="149" ht="22" customHeight="1">
      <c r="B149" s="226" t="inlineStr">
        <is>
          <t>6 · AUXILIARES</t>
        </is>
      </c>
      <c r="C149" s="227" t="n"/>
      <c r="D149" s="227" t="n"/>
      <c r="E149" s="227" t="n"/>
      <c r="F149" s="227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</row>
    <row r="150">
      <c r="B150" s="249" t="inlineStr">
        <is>
          <t>Hoje (conferência)</t>
        </is>
      </c>
      <c r="C150" s="261">
        <f>Hoje</f>
        <v>46297.0</v>
      </c>
    </row>
    <row r="151">
      <c r="B151" s="249" t="inlineStr">
        <is>
          <t>Linha do peso mais recente (até o corte)</t>
        </is>
      </c>
      <c r="C151" s="262">
        <f>SUMPRODUCT(MAX(('Saúde'!$L$11:$L$376&lt;&gt;"")*('Saúde'!$B$11:$B$376&lt;=Corte)*(ROW('Saúde'!$L$11:$L$376)-10)))</f>
        <v>0</v>
      </c>
    </row>
    <row r="152">
      <c r="B152" s="249" t="inlineStr">
        <is>
          <t>Linha da primeira pesagem do ano</t>
        </is>
      </c>
      <c r="C152" s="262">
        <f>IF(SUMPRODUCT(MIN(('Saúde'!$L$11:$L$376&lt;&gt;"")*(ROW('Saúde'!$L$11:$L$376)-10)+('Saúde'!$L$11:$L$376="")*99999))&gt;=99999,0,SUMPRODUCT(MIN(('Saúde'!$L$11:$L$376&lt;&gt;"")*(ROW('Saúde'!$L$11:$L$376)-10)+('Saúde'!$L$11:$L$376="")*99999)))</f>
        <v>0</v>
      </c>
    </row>
    <row r="153">
      <c r="B153" s="249" t="inlineStr">
        <is>
          <t>Estresse médio no mês</t>
        </is>
      </c>
      <c r="C153" s="263" t="str">
        <f>IFERROR(AVERAGEIFS('Saúde'!$H$11:$H$376,'Saúde'!$B$11:$B$376,"&gt;="&amp;RefIni,'Saúde'!$B$11:$B$376,"&lt;="&amp;RefFim),"")</f>
        <v/>
      </c>
    </row>
    <row r="154">
      <c r="B154" s="249" t="inlineStr">
        <is>
          <t>Energia média no mês</t>
        </is>
      </c>
      <c r="C154" s="263" t="str">
        <f>IFERROR(AVERAGEIFS('Saúde'!$G$11:$G$376,'Saúde'!$B$11:$B$376,"&gt;="&amp;RefIni,'Saúde'!$B$11:$B$376,"&lt;="&amp;RefFim),"")</f>
        <v/>
      </c>
    </row>
    <row r="155">
      <c r="B155" s="249" t="inlineStr">
        <is>
          <t>Linha do último registro com notas</t>
        </is>
      </c>
      <c r="C155" s="262">
        <f>SUMPRODUCT(MAX(('Saúde'!$O$11:$O$376&lt;&gt;"")*('Saúde'!$B$11:$B$376&lt;=Corte)*(ROW('Saúde'!$L$11:$L$376)-10)))</f>
        <v>0</v>
      </c>
    </row>
    <row r="156">
      <c r="B156" s="249" t="inlineStr">
        <is>
          <t>Data do último registro com notas</t>
        </is>
      </c>
      <c r="C156" s="261" t="str">
        <f>IF(C155=0,"",INDEX('Saúde'!$B$11:$B$376,C155))</f>
        <v/>
      </c>
    </row>
    <row r="157" ht="30" customHeight="1">
      <c r="B157" s="249" t="inlineStr">
        <is>
          <t>Texto do último registro</t>
        </is>
      </c>
      <c r="C157" s="264" t="str">
        <f>IF(C155=0,"",INDEX('Saúde'!$O$11:$O$376,C155)&amp;"")</f>
        <v/>
      </c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5" t="n"/>
    </row>
    <row r="158">
      <c r="B158" s="249" t="inlineStr">
        <is>
          <t>Maior sequência atual de hábito (dias)</t>
        </is>
      </c>
      <c r="C158" s="262">
        <f>IF(COUNT('Hábitos'!$D$11:$M$11)=0,0,MAX('Hábitos'!$D$11:$M$11))</f>
        <v>0</v>
      </c>
    </row>
    <row r="159">
      <c r="B159" s="249" t="inlineStr">
        <is>
          <t>Hábito com a maior sequência</t>
        </is>
      </c>
      <c r="C159" s="264" t="str">
        <f>IF(C158=0,"",INDEX('Hábitos'!$D$16:$M$16,MATCH(C158,'Hábitos'!$D$11:$M$11,0)))</f>
        <v/>
      </c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5" t="n"/>
    </row>
    <row r="160" ht="30" customHeight="1">
      <c r="B160" s="249" t="inlineStr">
        <is>
          <t>Foco do mês (da revisão do mês anterior)</t>
        </is>
      </c>
      <c r="C160" s="264" t="str">
        <f>IF(RefMes&gt;1,INDEX('Roda da Vida'!$M$22:$M$33,RefMes-1)&amp;"","")</f>
        <v/>
      </c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5" t="n"/>
    </row>
    <row r="161" ht="30" customHeight="1">
      <c r="B161" s="249" t="inlineStr">
        <is>
          <t>Vitórias do mês de referência</t>
        </is>
      </c>
      <c r="C161" s="264" t="str">
        <f>INDEX('Roda da Vida'!$D$22:$D$33,RefMes)&amp;""</f>
        <v/>
      </c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5" t="n"/>
    </row>
    <row r="162" ht="30" customHeight="1">
      <c r="B162" s="249" t="inlineStr">
        <is>
          <t>Aprendizado do mês de referência</t>
        </is>
      </c>
      <c r="C162" s="264" t="str">
        <f>INDEX('Roda da Vida'!$J$22:$J$33,RefMes)&amp;""</f>
        <v/>
      </c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5" t="n"/>
    </row>
    <row r="163" ht="30" customHeight="1">
      <c r="B163" s="249" t="inlineStr">
        <is>
          <t>O que não funcionou no mês</t>
        </is>
      </c>
      <c r="C163" s="264" t="str">
        <f>INDEX('Roda da Vida'!$G$22:$G$33,RefMes)&amp;""</f>
        <v/>
      </c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5" t="n"/>
    </row>
    <row r="164" ht="30" customHeight="1">
      <c r="B164" s="249" t="inlineStr">
        <is>
          <t>Visão de 5 anos</t>
        </is>
      </c>
      <c r="C164" s="264" t="str">
        <f>'Metas'!$D$5&amp;""</f>
        <v/>
      </c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5" t="n"/>
    </row>
    <row r="165">
      <c r="B165" s="249" t="inlineStr">
        <is>
          <t>Tema do ano</t>
        </is>
      </c>
      <c r="C165" s="264" t="str">
        <f>'Metas'!$D$8&amp;""</f>
        <v/>
      </c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5" t="n"/>
    </row>
    <row r="166">
      <c r="B166" s="249" t="inlineStr">
        <is>
          <t>Próxima consulta de saúde</t>
        </is>
      </c>
      <c r="C166" s="261" t="str">
        <f>IF(SUMPRODUCT(MIN(('Saúde'!$V$27:$V$56&lt;&gt;"")*('Saúde'!$V$27:$V$56&gt;=Hoje)*'Saúde'!$V$27:$V$56+(1-('Saúde'!$V$27:$V$56&lt;&gt;"")*('Saúde'!$V$27:$V$56&gt;=Hoje))*99999))&gt;=99999,"",SUMPRODUCT(MIN(('Saúde'!$V$27:$V$56&lt;&gt;"")*('Saúde'!$V$27:$V$56&gt;=Hoje)*'Saúde'!$V$27:$V$56+(1-('Saúde'!$V$27:$V$56&lt;&gt;"")*('Saúde'!$V$27:$V$56&gt;=Hoje))*99999)))</f>
        <v/>
      </c>
    </row>
    <row r="167">
      <c r="B167" s="249" t="inlineStr">
        <is>
          <t>Alertas de casa e documentos</t>
        </is>
      </c>
      <c r="C167" s="262">
        <f>'Casa'!$B$6+'Casa'!$C$6+'Casa'!$E$6</f>
        <v>0</v>
      </c>
    </row>
    <row r="170" ht="22" customHeight="1">
      <c r="B170" s="226" t="inlineStr">
        <is>
          <t>7 · ÚLTIMOS 28 DIAS (até a data de corte)</t>
        </is>
      </c>
      <c r="C170" s="227" t="n"/>
      <c r="D170" s="227" t="n"/>
    </row>
    <row r="171" ht="30" customHeight="1">
      <c r="B171" s="104" t="inlineStr">
        <is>
          <t>Data</t>
        </is>
      </c>
      <c r="C171" s="104" t="inlineStr">
        <is>
          <t>Humor</t>
        </is>
      </c>
      <c r="D171" s="104" t="inlineStr">
        <is>
          <t>Hábitos (% do dia)</t>
        </is>
      </c>
    </row>
    <row r="172">
      <c r="B172" s="137">
        <f>Corte-27</f>
        <v>46270.0</v>
      </c>
      <c r="C172" s="128" t="str">
        <f>IF(AND(B172&gt;=IniAno,B172&lt;=FimAno),IF(INDEX('Saúde'!$F$11:$F$376,B172-IniAno+1)="","",INDEX('Saúde'!$F$11:$F$376,B172-IniAno+1)),"")</f>
        <v/>
      </c>
      <c r="D172" s="133" t="str">
        <f>IF(AND(B172&gt;=IniAno,B172&lt;=FimAno),IF(INDEX('Hábitos'!$O$17:$O$382,B172-IniAno+1)="","",INDEX('Hábitos'!$O$17:$O$382,B172-IniAno+1)),"")</f>
        <v/>
      </c>
    </row>
    <row r="173">
      <c r="B173" s="137">
        <f>Corte-26</f>
        <v>46271.0</v>
      </c>
      <c r="C173" s="128" t="str">
        <f>IF(AND(B173&gt;=IniAno,B173&lt;=FimAno),IF(INDEX('Saúde'!$F$11:$F$376,B173-IniAno+1)="","",INDEX('Saúde'!$F$11:$F$376,B173-IniAno+1)),"")</f>
        <v/>
      </c>
      <c r="D173" s="133" t="str">
        <f>IF(AND(B173&gt;=IniAno,B173&lt;=FimAno),IF(INDEX('Hábitos'!$O$17:$O$382,B173-IniAno+1)="","",INDEX('Hábitos'!$O$17:$O$382,B173-IniAno+1)),"")</f>
        <v/>
      </c>
    </row>
    <row r="174">
      <c r="B174" s="137">
        <f>Corte-25</f>
        <v>46272.0</v>
      </c>
      <c r="C174" s="128" t="str">
        <f>IF(AND(B174&gt;=IniAno,B174&lt;=FimAno),IF(INDEX('Saúde'!$F$11:$F$376,B174-IniAno+1)="","",INDEX('Saúde'!$F$11:$F$376,B174-IniAno+1)),"")</f>
        <v/>
      </c>
      <c r="D174" s="133" t="str">
        <f>IF(AND(B174&gt;=IniAno,B174&lt;=FimAno),IF(INDEX('Hábitos'!$O$17:$O$382,B174-IniAno+1)="","",INDEX('Hábitos'!$O$17:$O$382,B174-IniAno+1)),"")</f>
        <v/>
      </c>
    </row>
    <row r="175">
      <c r="B175" s="137">
        <f>Corte-24</f>
        <v>46273.0</v>
      </c>
      <c r="C175" s="128" t="str">
        <f>IF(AND(B175&gt;=IniAno,B175&lt;=FimAno),IF(INDEX('Saúde'!$F$11:$F$376,B175-IniAno+1)="","",INDEX('Saúde'!$F$11:$F$376,B175-IniAno+1)),"")</f>
        <v/>
      </c>
      <c r="D175" s="133" t="str">
        <f>IF(AND(B175&gt;=IniAno,B175&lt;=FimAno),IF(INDEX('Hábitos'!$O$17:$O$382,B175-IniAno+1)="","",INDEX('Hábitos'!$O$17:$O$382,B175-IniAno+1)),"")</f>
        <v/>
      </c>
    </row>
    <row r="176">
      <c r="B176" s="137">
        <f>Corte-23</f>
        <v>46274.0</v>
      </c>
      <c r="C176" s="128" t="str">
        <f>IF(AND(B176&gt;=IniAno,B176&lt;=FimAno),IF(INDEX('Saúde'!$F$11:$F$376,B176-IniAno+1)="","",INDEX('Saúde'!$F$11:$F$376,B176-IniAno+1)),"")</f>
        <v/>
      </c>
      <c r="D176" s="133" t="str">
        <f>IF(AND(B176&gt;=IniAno,B176&lt;=FimAno),IF(INDEX('Hábitos'!$O$17:$O$382,B176-IniAno+1)="","",INDEX('Hábitos'!$O$17:$O$382,B176-IniAno+1)),"")</f>
        <v/>
      </c>
    </row>
    <row r="177">
      <c r="B177" s="137">
        <f>Corte-22</f>
        <v>46275.0</v>
      </c>
      <c r="C177" s="128" t="str">
        <f>IF(AND(B177&gt;=IniAno,B177&lt;=FimAno),IF(INDEX('Saúde'!$F$11:$F$376,B177-IniAno+1)="","",INDEX('Saúde'!$F$11:$F$376,B177-IniAno+1)),"")</f>
        <v/>
      </c>
      <c r="D177" s="133" t="str">
        <f>IF(AND(B177&gt;=IniAno,B177&lt;=FimAno),IF(INDEX('Hábitos'!$O$17:$O$382,B177-IniAno+1)="","",INDEX('Hábitos'!$O$17:$O$382,B177-IniAno+1)),"")</f>
        <v/>
      </c>
    </row>
    <row r="178">
      <c r="B178" s="137">
        <f>Corte-21</f>
        <v>46276.0</v>
      </c>
      <c r="C178" s="128" t="str">
        <f>IF(AND(B178&gt;=IniAno,B178&lt;=FimAno),IF(INDEX('Saúde'!$F$11:$F$376,B178-IniAno+1)="","",INDEX('Saúde'!$F$11:$F$376,B178-IniAno+1)),"")</f>
        <v/>
      </c>
      <c r="D178" s="133" t="str">
        <f>IF(AND(B178&gt;=IniAno,B178&lt;=FimAno),IF(INDEX('Hábitos'!$O$17:$O$382,B178-IniAno+1)="","",INDEX('Hábitos'!$O$17:$O$382,B178-IniAno+1)),"")</f>
        <v/>
      </c>
    </row>
    <row r="179">
      <c r="B179" s="137">
        <f>Corte-20</f>
        <v>46277.0</v>
      </c>
      <c r="C179" s="128" t="str">
        <f>IF(AND(B179&gt;=IniAno,B179&lt;=FimAno),IF(INDEX('Saúde'!$F$11:$F$376,B179-IniAno+1)="","",INDEX('Saúde'!$F$11:$F$376,B179-IniAno+1)),"")</f>
        <v/>
      </c>
      <c r="D179" s="133" t="str">
        <f>IF(AND(B179&gt;=IniAno,B179&lt;=FimAno),IF(INDEX('Hábitos'!$O$17:$O$382,B179-IniAno+1)="","",INDEX('Hábitos'!$O$17:$O$382,B179-IniAno+1)),"")</f>
        <v/>
      </c>
    </row>
    <row r="180">
      <c r="B180" s="137">
        <f>Corte-19</f>
        <v>46278.0</v>
      </c>
      <c r="C180" s="128" t="str">
        <f>IF(AND(B180&gt;=IniAno,B180&lt;=FimAno),IF(INDEX('Saúde'!$F$11:$F$376,B180-IniAno+1)="","",INDEX('Saúde'!$F$11:$F$376,B180-IniAno+1)),"")</f>
        <v/>
      </c>
      <c r="D180" s="133" t="str">
        <f>IF(AND(B180&gt;=IniAno,B180&lt;=FimAno),IF(INDEX('Hábitos'!$O$17:$O$382,B180-IniAno+1)="","",INDEX('Hábitos'!$O$17:$O$382,B180-IniAno+1)),"")</f>
        <v/>
      </c>
    </row>
    <row r="181">
      <c r="B181" s="137">
        <f>Corte-18</f>
        <v>46279.0</v>
      </c>
      <c r="C181" s="128" t="str">
        <f>IF(AND(B181&gt;=IniAno,B181&lt;=FimAno),IF(INDEX('Saúde'!$F$11:$F$376,B181-IniAno+1)="","",INDEX('Saúde'!$F$11:$F$376,B181-IniAno+1)),"")</f>
        <v/>
      </c>
      <c r="D181" s="133" t="str">
        <f>IF(AND(B181&gt;=IniAno,B181&lt;=FimAno),IF(INDEX('Hábitos'!$O$17:$O$382,B181-IniAno+1)="","",INDEX('Hábitos'!$O$17:$O$382,B181-IniAno+1)),"")</f>
        <v/>
      </c>
    </row>
    <row r="182">
      <c r="B182" s="137">
        <f>Corte-17</f>
        <v>46280.0</v>
      </c>
      <c r="C182" s="128" t="str">
        <f>IF(AND(B182&gt;=IniAno,B182&lt;=FimAno),IF(INDEX('Saúde'!$F$11:$F$376,B182-IniAno+1)="","",INDEX('Saúde'!$F$11:$F$376,B182-IniAno+1)),"")</f>
        <v/>
      </c>
      <c r="D182" s="133" t="str">
        <f>IF(AND(B182&gt;=IniAno,B182&lt;=FimAno),IF(INDEX('Hábitos'!$O$17:$O$382,B182-IniAno+1)="","",INDEX('Hábitos'!$O$17:$O$382,B182-IniAno+1)),"")</f>
        <v/>
      </c>
    </row>
    <row r="183">
      <c r="B183" s="137">
        <f>Corte-16</f>
        <v>46281.0</v>
      </c>
      <c r="C183" s="128" t="str">
        <f>IF(AND(B183&gt;=IniAno,B183&lt;=FimAno),IF(INDEX('Saúde'!$F$11:$F$376,B183-IniAno+1)="","",INDEX('Saúde'!$F$11:$F$376,B183-IniAno+1)),"")</f>
        <v/>
      </c>
      <c r="D183" s="133" t="str">
        <f>IF(AND(B183&gt;=IniAno,B183&lt;=FimAno),IF(INDEX('Hábitos'!$O$17:$O$382,B183-IniAno+1)="","",INDEX('Hábitos'!$O$17:$O$382,B183-IniAno+1)),"")</f>
        <v/>
      </c>
    </row>
    <row r="184">
      <c r="B184" s="137">
        <f>Corte-15</f>
        <v>46282.0</v>
      </c>
      <c r="C184" s="128" t="str">
        <f>IF(AND(B184&gt;=IniAno,B184&lt;=FimAno),IF(INDEX('Saúde'!$F$11:$F$376,B184-IniAno+1)="","",INDEX('Saúde'!$F$11:$F$376,B184-IniAno+1)),"")</f>
        <v/>
      </c>
      <c r="D184" s="133" t="str">
        <f>IF(AND(B184&gt;=IniAno,B184&lt;=FimAno),IF(INDEX('Hábitos'!$O$17:$O$382,B184-IniAno+1)="","",INDEX('Hábitos'!$O$17:$O$382,B184-IniAno+1)),"")</f>
        <v/>
      </c>
    </row>
    <row r="185">
      <c r="B185" s="137">
        <f>Corte-14</f>
        <v>46283.0</v>
      </c>
      <c r="C185" s="128" t="str">
        <f>IF(AND(B185&gt;=IniAno,B185&lt;=FimAno),IF(INDEX('Saúde'!$F$11:$F$376,B185-IniAno+1)="","",INDEX('Saúde'!$F$11:$F$376,B185-IniAno+1)),"")</f>
        <v/>
      </c>
      <c r="D185" s="133" t="str">
        <f>IF(AND(B185&gt;=IniAno,B185&lt;=FimAno),IF(INDEX('Hábitos'!$O$17:$O$382,B185-IniAno+1)="","",INDEX('Hábitos'!$O$17:$O$382,B185-IniAno+1)),"")</f>
        <v/>
      </c>
    </row>
    <row r="186">
      <c r="B186" s="137">
        <f>Corte-13</f>
        <v>46284.0</v>
      </c>
      <c r="C186" s="128" t="str">
        <f>IF(AND(B186&gt;=IniAno,B186&lt;=FimAno),IF(INDEX('Saúde'!$F$11:$F$376,B186-IniAno+1)="","",INDEX('Saúde'!$F$11:$F$376,B186-IniAno+1)),"")</f>
        <v/>
      </c>
      <c r="D186" s="133" t="str">
        <f>IF(AND(B186&gt;=IniAno,B186&lt;=FimAno),IF(INDEX('Hábitos'!$O$17:$O$382,B186-IniAno+1)="","",INDEX('Hábitos'!$O$17:$O$382,B186-IniAno+1)),"")</f>
        <v/>
      </c>
    </row>
    <row r="187">
      <c r="B187" s="137">
        <f>Corte-12</f>
        <v>46285.0</v>
      </c>
      <c r="C187" s="128" t="str">
        <f>IF(AND(B187&gt;=IniAno,B187&lt;=FimAno),IF(INDEX('Saúde'!$F$11:$F$376,B187-IniAno+1)="","",INDEX('Saúde'!$F$11:$F$376,B187-IniAno+1)),"")</f>
        <v/>
      </c>
      <c r="D187" s="133" t="str">
        <f>IF(AND(B187&gt;=IniAno,B187&lt;=FimAno),IF(INDEX('Hábitos'!$O$17:$O$382,B187-IniAno+1)="","",INDEX('Hábitos'!$O$17:$O$382,B187-IniAno+1)),"")</f>
        <v/>
      </c>
    </row>
    <row r="188">
      <c r="B188" s="137">
        <f>Corte-11</f>
        <v>46286.0</v>
      </c>
      <c r="C188" s="128" t="str">
        <f>IF(AND(B188&gt;=IniAno,B188&lt;=FimAno),IF(INDEX('Saúde'!$F$11:$F$376,B188-IniAno+1)="","",INDEX('Saúde'!$F$11:$F$376,B188-IniAno+1)),"")</f>
        <v/>
      </c>
      <c r="D188" s="133" t="str">
        <f>IF(AND(B188&gt;=IniAno,B188&lt;=FimAno),IF(INDEX('Hábitos'!$O$17:$O$382,B188-IniAno+1)="","",INDEX('Hábitos'!$O$17:$O$382,B188-IniAno+1)),"")</f>
        <v/>
      </c>
    </row>
    <row r="189">
      <c r="B189" s="137">
        <f>Corte-10</f>
        <v>46287.0</v>
      </c>
      <c r="C189" s="128" t="str">
        <f>IF(AND(B189&gt;=IniAno,B189&lt;=FimAno),IF(INDEX('Saúde'!$F$11:$F$376,B189-IniAno+1)="","",INDEX('Saúde'!$F$11:$F$376,B189-IniAno+1)),"")</f>
        <v/>
      </c>
      <c r="D189" s="133" t="str">
        <f>IF(AND(B189&gt;=IniAno,B189&lt;=FimAno),IF(INDEX('Hábitos'!$O$17:$O$382,B189-IniAno+1)="","",INDEX('Hábitos'!$O$17:$O$382,B189-IniAno+1)),"")</f>
        <v/>
      </c>
    </row>
    <row r="190">
      <c r="B190" s="137">
        <f>Corte-9</f>
        <v>46288.0</v>
      </c>
      <c r="C190" s="128" t="str">
        <f>IF(AND(B190&gt;=IniAno,B190&lt;=FimAno),IF(INDEX('Saúde'!$F$11:$F$376,B190-IniAno+1)="","",INDEX('Saúde'!$F$11:$F$376,B190-IniAno+1)),"")</f>
        <v/>
      </c>
      <c r="D190" s="133" t="str">
        <f>IF(AND(B190&gt;=IniAno,B190&lt;=FimAno),IF(INDEX('Hábitos'!$O$17:$O$382,B190-IniAno+1)="","",INDEX('Hábitos'!$O$17:$O$382,B190-IniAno+1)),"")</f>
        <v/>
      </c>
    </row>
    <row r="191">
      <c r="B191" s="137">
        <f>Corte-8</f>
        <v>46289.0</v>
      </c>
      <c r="C191" s="128" t="str">
        <f>IF(AND(B191&gt;=IniAno,B191&lt;=FimAno),IF(INDEX('Saúde'!$F$11:$F$376,B191-IniAno+1)="","",INDEX('Saúde'!$F$11:$F$376,B191-IniAno+1)),"")</f>
        <v/>
      </c>
      <c r="D191" s="133" t="str">
        <f>IF(AND(B191&gt;=IniAno,B191&lt;=FimAno),IF(INDEX('Hábitos'!$O$17:$O$382,B191-IniAno+1)="","",INDEX('Hábitos'!$O$17:$O$382,B191-IniAno+1)),"")</f>
        <v/>
      </c>
    </row>
    <row r="192">
      <c r="B192" s="137">
        <f>Corte-7</f>
        <v>46290.0</v>
      </c>
      <c r="C192" s="128" t="str">
        <f>IF(AND(B192&gt;=IniAno,B192&lt;=FimAno),IF(INDEX('Saúde'!$F$11:$F$376,B192-IniAno+1)="","",INDEX('Saúde'!$F$11:$F$376,B192-IniAno+1)),"")</f>
        <v/>
      </c>
      <c r="D192" s="133" t="str">
        <f>IF(AND(B192&gt;=IniAno,B192&lt;=FimAno),IF(INDEX('Hábitos'!$O$17:$O$382,B192-IniAno+1)="","",INDEX('Hábitos'!$O$17:$O$382,B192-IniAno+1)),"")</f>
        <v/>
      </c>
    </row>
    <row r="193">
      <c r="B193" s="137">
        <f>Corte-6</f>
        <v>46291.0</v>
      </c>
      <c r="C193" s="128" t="str">
        <f>IF(AND(B193&gt;=IniAno,B193&lt;=FimAno),IF(INDEX('Saúde'!$F$11:$F$376,B193-IniAno+1)="","",INDEX('Saúde'!$F$11:$F$376,B193-IniAno+1)),"")</f>
        <v/>
      </c>
      <c r="D193" s="133" t="str">
        <f>IF(AND(B193&gt;=IniAno,B193&lt;=FimAno),IF(INDEX('Hábitos'!$O$17:$O$382,B193-IniAno+1)="","",INDEX('Hábitos'!$O$17:$O$382,B193-IniAno+1)),"")</f>
        <v/>
      </c>
    </row>
    <row r="194">
      <c r="B194" s="137">
        <f>Corte-5</f>
        <v>46292.0</v>
      </c>
      <c r="C194" s="128" t="str">
        <f>IF(AND(B194&gt;=IniAno,B194&lt;=FimAno),IF(INDEX('Saúde'!$F$11:$F$376,B194-IniAno+1)="","",INDEX('Saúde'!$F$11:$F$376,B194-IniAno+1)),"")</f>
        <v/>
      </c>
      <c r="D194" s="133" t="str">
        <f>IF(AND(B194&gt;=IniAno,B194&lt;=FimAno),IF(INDEX('Hábitos'!$O$17:$O$382,B194-IniAno+1)="","",INDEX('Hábitos'!$O$17:$O$382,B194-IniAno+1)),"")</f>
        <v/>
      </c>
    </row>
    <row r="195">
      <c r="B195" s="137">
        <f>Corte-4</f>
        <v>46293.0</v>
      </c>
      <c r="C195" s="128" t="str">
        <f>IF(AND(B195&gt;=IniAno,B195&lt;=FimAno),IF(INDEX('Saúde'!$F$11:$F$376,B195-IniAno+1)="","",INDEX('Saúde'!$F$11:$F$376,B195-IniAno+1)),"")</f>
        <v/>
      </c>
      <c r="D195" s="133" t="str">
        <f>IF(AND(B195&gt;=IniAno,B195&lt;=FimAno),IF(INDEX('Hábitos'!$O$17:$O$382,B195-IniAno+1)="","",INDEX('Hábitos'!$O$17:$O$382,B195-IniAno+1)),"")</f>
        <v/>
      </c>
    </row>
    <row r="196">
      <c r="B196" s="137">
        <f>Corte-3</f>
        <v>46294.0</v>
      </c>
      <c r="C196" s="128" t="str">
        <f>IF(AND(B196&gt;=IniAno,B196&lt;=FimAno),IF(INDEX('Saúde'!$F$11:$F$376,B196-IniAno+1)="","",INDEX('Saúde'!$F$11:$F$376,B196-IniAno+1)),"")</f>
        <v/>
      </c>
      <c r="D196" s="133" t="str">
        <f>IF(AND(B196&gt;=IniAno,B196&lt;=FimAno),IF(INDEX('Hábitos'!$O$17:$O$382,B196-IniAno+1)="","",INDEX('Hábitos'!$O$17:$O$382,B196-IniAno+1)),"")</f>
        <v/>
      </c>
    </row>
    <row r="197">
      <c r="B197" s="137">
        <f>Corte-2</f>
        <v>46295.0</v>
      </c>
      <c r="C197" s="128" t="str">
        <f>IF(AND(B197&gt;=IniAno,B197&lt;=FimAno),IF(INDEX('Saúde'!$F$11:$F$376,B197-IniAno+1)="","",INDEX('Saúde'!$F$11:$F$376,B197-IniAno+1)),"")</f>
        <v/>
      </c>
      <c r="D197" s="133" t="str">
        <f>IF(AND(B197&gt;=IniAno,B197&lt;=FimAno),IF(INDEX('Hábitos'!$O$17:$O$382,B197-IniAno+1)="","",INDEX('Hábitos'!$O$17:$O$382,B197-IniAno+1)),"")</f>
        <v/>
      </c>
    </row>
    <row r="198">
      <c r="B198" s="137">
        <f>Corte-1</f>
        <v>46296.0</v>
      </c>
      <c r="C198" s="128" t="str">
        <f>IF(AND(B198&gt;=IniAno,B198&lt;=FimAno),IF(INDEX('Saúde'!$F$11:$F$376,B198-IniAno+1)="","",INDEX('Saúde'!$F$11:$F$376,B198-IniAno+1)),"")</f>
        <v/>
      </c>
      <c r="D198" s="133" t="str">
        <f>IF(AND(B198&gt;=IniAno,B198&lt;=FimAno),IF(INDEX('Hábitos'!$O$17:$O$382,B198-IniAno+1)="","",INDEX('Hábitos'!$O$17:$O$382,B198-IniAno+1)),"")</f>
        <v/>
      </c>
    </row>
    <row r="199">
      <c r="B199" s="137">
        <f>Corte-0</f>
        <v>46297.0</v>
      </c>
      <c r="C199" s="128" t="str">
        <f>IF(AND(B199&gt;=IniAno,B199&lt;=FimAno),IF(INDEX('Saúde'!$F$11:$F$376,B199-IniAno+1)="","",INDEX('Saúde'!$F$11:$F$376,B199-IniAno+1)),"")</f>
        <v/>
      </c>
      <c r="D199" s="133" t="str">
        <f>IF(AND(B199&gt;=IniAno,B199&lt;=FimAno),IF(INDEX('Hábitos'!$O$17:$O$382,B199-IniAno+1)="","",INDEX('Hábitos'!$O$17:$O$382,B199-IniAno+1)),"")</f>
        <v/>
      </c>
    </row>
  </sheetData>
  <mergeCells count="8">
    <mergeCell ref="C163:N163"/>
    <mergeCell ref="C157:N157"/>
    <mergeCell ref="C165:N165"/>
    <mergeCell ref="C161:N161"/>
    <mergeCell ref="C160:N160"/>
    <mergeCell ref="C164:N164"/>
    <mergeCell ref="C159:N159"/>
    <mergeCell ref="C162:N162"/>
  </mergeCells>
  <conditionalFormatting sqref="L5:L15">
    <cfRule type="expression" priority="1" dxfId="5">
      <formula>LEFT(L5,1)="✔"</formula>
    </cfRule>
    <cfRule type="expression" priority="2" dxfId="6">
      <formula>LEFT(L5,1)="▲"</formula>
    </cfRule>
    <cfRule type="expression" priority="3" dxfId="7">
      <formula>LEFT(L5,1)="✖"</formula>
    </cfRule>
    <cfRule type="expression" priority="4" dxfId="8">
      <formula>LEFT(L5,1)="○"</formula>
    </cfRule>
    <cfRule type="expression" priority="5" dxfId="8">
      <formula>LEFT(L5,1)="‖"</formula>
    </cfRule>
    <cfRule type="expression" priority="6" dxfId="8">
      <formula>LEFT(L5,1)="–"</formula>
    </cfRule>
  </conditionalFormatting>
  <conditionalFormatting sqref="B20:O31">
    <cfRule type="expression" priority="7" dxfId="11">
      <formula>ROW()-19=RefMes</formula>
    </cfRule>
  </conditionalFormatting>
  <hyperlinks>
    <hyperlink ref="O1" location="'Dashboard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2026-10-02T09:31:45Z</dcterms:created>
  <dcterms:modified xsi:type="dcterms:W3CDTF">2026-10-02T09:31:50Z</dcterms:modified>
</cp:coreProperties>
</file>